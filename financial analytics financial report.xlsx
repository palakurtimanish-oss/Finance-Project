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\Desktop\Semester III\Financial analytics\"/>
    </mc:Choice>
  </mc:AlternateContent>
  <xr:revisionPtr revIDLastSave="0" documentId="13_ncr:1_{81FF7540-3D5B-46B8-9156-D0D36CB4CD69}" xr6:coauthVersionLast="47" xr6:coauthVersionMax="47" xr10:uidLastSave="{00000000-0000-0000-0000-000000000000}"/>
  <bookViews>
    <workbookView xWindow="-120" yWindow="-120" windowWidth="20730" windowHeight="11160" firstSheet="5" activeTab="9" xr2:uid="{C0A86F67-9907-489A-9402-DD7A62ACD578}"/>
  </bookViews>
  <sheets>
    <sheet name="BALANCE SHEET " sheetId="1" r:id="rId1"/>
    <sheet name="Percentage Balance sheet" sheetId="6" r:id="rId2"/>
    <sheet name="FINANCIAL RATIOS" sheetId="4" r:id="rId3"/>
    <sheet name="INCOME STATEMENT" sheetId="2" r:id="rId4"/>
    <sheet name="Income statement c" sheetId="5" r:id="rId5"/>
    <sheet name="CASHFLOW STATEMENT" sheetId="3" r:id="rId6"/>
    <sheet name="comparision" sheetId="7" r:id="rId7"/>
    <sheet name="Sheet2" sheetId="8" r:id="rId8"/>
    <sheet name="Sheet3" sheetId="9" r:id="rId9"/>
    <sheet name="Sheet4" sheetId="10" r:id="rId10"/>
    <sheet name="Sheet5" sheetId="11" r:id="rId11"/>
    <sheet name="Sheet6" sheetId="12" r:id="rId12"/>
    <sheet name="Sheet7" sheetId="14" r:id="rId13"/>
    <sheet name="Sheet8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D14" i="4"/>
  <c r="E14" i="4"/>
  <c r="F14" i="4"/>
  <c r="G14" i="4"/>
  <c r="H14" i="4"/>
  <c r="I14" i="4"/>
  <c r="J14" i="4"/>
  <c r="K14" i="4"/>
  <c r="B14" i="4"/>
  <c r="C13" i="4"/>
  <c r="D13" i="4"/>
  <c r="E13" i="4"/>
  <c r="F13" i="4"/>
  <c r="G13" i="4"/>
  <c r="H13" i="4"/>
  <c r="I13" i="4"/>
  <c r="J13" i="4"/>
  <c r="K13" i="4"/>
  <c r="B13" i="4"/>
  <c r="C11" i="4"/>
  <c r="D11" i="4"/>
  <c r="E11" i="4"/>
  <c r="F11" i="4"/>
  <c r="G11" i="4"/>
  <c r="H11" i="4"/>
  <c r="I11" i="4"/>
  <c r="J11" i="4"/>
  <c r="K11" i="4"/>
  <c r="B11" i="4"/>
  <c r="C10" i="4"/>
  <c r="D10" i="4"/>
  <c r="E10" i="4"/>
  <c r="F10" i="4"/>
  <c r="G10" i="4"/>
  <c r="H10" i="4"/>
  <c r="I10" i="4"/>
  <c r="J10" i="4"/>
  <c r="K10" i="4"/>
  <c r="B10" i="4"/>
  <c r="C9" i="4"/>
  <c r="D9" i="4"/>
  <c r="E9" i="4"/>
  <c r="F9" i="4"/>
  <c r="G9" i="4"/>
  <c r="H9" i="4"/>
  <c r="I9" i="4"/>
  <c r="J9" i="4"/>
  <c r="K9" i="4"/>
  <c r="B9" i="4"/>
  <c r="C7" i="4"/>
  <c r="D7" i="4"/>
  <c r="E7" i="4"/>
  <c r="F7" i="4"/>
  <c r="G7" i="4"/>
  <c r="H7" i="4"/>
  <c r="I7" i="4"/>
  <c r="J7" i="4"/>
  <c r="K7" i="4"/>
  <c r="B7" i="4"/>
  <c r="C6" i="4"/>
  <c r="D6" i="4"/>
  <c r="E6" i="4"/>
  <c r="F6" i="4"/>
  <c r="G6" i="4"/>
  <c r="H6" i="4"/>
  <c r="I6" i="4"/>
  <c r="J6" i="4"/>
  <c r="K6" i="4"/>
  <c r="B6" i="4"/>
  <c r="C5" i="4"/>
  <c r="D5" i="4"/>
  <c r="E5" i="4"/>
  <c r="F5" i="4"/>
  <c r="G5" i="4"/>
  <c r="H5" i="4"/>
  <c r="I5" i="4"/>
  <c r="J5" i="4"/>
  <c r="K5" i="4"/>
  <c r="B5" i="4"/>
  <c r="C4" i="4"/>
  <c r="D4" i="4"/>
  <c r="E4" i="4"/>
  <c r="F4" i="4"/>
  <c r="G4" i="4"/>
  <c r="H4" i="4"/>
  <c r="I4" i="4"/>
  <c r="J4" i="4"/>
  <c r="K4" i="4"/>
  <c r="B4" i="4"/>
  <c r="C3" i="4"/>
  <c r="D3" i="4"/>
  <c r="E3" i="4"/>
  <c r="F3" i="4"/>
  <c r="G3" i="4"/>
  <c r="H3" i="4"/>
  <c r="I3" i="4"/>
  <c r="J3" i="4"/>
  <c r="K3" i="4"/>
  <c r="B3" i="4"/>
  <c r="D2" i="4"/>
  <c r="E2" i="4"/>
  <c r="F2" i="4"/>
  <c r="G2" i="4"/>
  <c r="H2" i="4"/>
  <c r="I2" i="4"/>
  <c r="J2" i="4"/>
  <c r="K2" i="4"/>
  <c r="C2" i="4"/>
  <c r="B2" i="4"/>
  <c r="B6" i="6"/>
  <c r="C6" i="6"/>
  <c r="D6" i="6"/>
  <c r="E6" i="6"/>
  <c r="F6" i="6"/>
  <c r="G6" i="6"/>
  <c r="H6" i="6"/>
  <c r="I6" i="6"/>
  <c r="J6" i="6"/>
  <c r="K6" i="6"/>
  <c r="B7" i="6"/>
  <c r="C7" i="6"/>
  <c r="D7" i="6"/>
  <c r="E7" i="6"/>
  <c r="F7" i="6"/>
  <c r="G7" i="6"/>
  <c r="H7" i="6"/>
  <c r="I7" i="6"/>
  <c r="J7" i="6"/>
  <c r="K7" i="6"/>
  <c r="B8" i="6"/>
  <c r="C8" i="6"/>
  <c r="D8" i="6"/>
  <c r="E8" i="6"/>
  <c r="F8" i="6"/>
  <c r="G8" i="6"/>
  <c r="H8" i="6"/>
  <c r="I8" i="6"/>
  <c r="J8" i="6"/>
  <c r="K8" i="6"/>
  <c r="B9" i="6"/>
  <c r="C9" i="6"/>
  <c r="D9" i="6"/>
  <c r="E9" i="6"/>
  <c r="F9" i="6"/>
  <c r="G9" i="6"/>
  <c r="H9" i="6"/>
  <c r="I9" i="6"/>
  <c r="J9" i="6"/>
  <c r="K9" i="6"/>
  <c r="B10" i="6"/>
  <c r="C10" i="6"/>
  <c r="D10" i="6"/>
  <c r="E10" i="6"/>
  <c r="F10" i="6"/>
  <c r="G10" i="6"/>
  <c r="H10" i="6"/>
  <c r="I10" i="6"/>
  <c r="J10" i="6"/>
  <c r="K10" i="6"/>
  <c r="B11" i="6"/>
  <c r="C11" i="6"/>
  <c r="D11" i="6"/>
  <c r="E11" i="6"/>
  <c r="F11" i="6"/>
  <c r="G11" i="6"/>
  <c r="H11" i="6"/>
  <c r="I11" i="6"/>
  <c r="J11" i="6"/>
  <c r="K11" i="6"/>
  <c r="B12" i="6"/>
  <c r="C12" i="6"/>
  <c r="D12" i="6"/>
  <c r="E12" i="6"/>
  <c r="F12" i="6"/>
  <c r="G12" i="6"/>
  <c r="H12" i="6"/>
  <c r="I12" i="6"/>
  <c r="J12" i="6"/>
  <c r="K12" i="6"/>
  <c r="B13" i="6"/>
  <c r="C13" i="6"/>
  <c r="D13" i="6"/>
  <c r="E13" i="6"/>
  <c r="F13" i="6"/>
  <c r="G13" i="6"/>
  <c r="H13" i="6"/>
  <c r="I13" i="6"/>
  <c r="J13" i="6"/>
  <c r="K13" i="6"/>
  <c r="B14" i="6"/>
  <c r="C14" i="6"/>
  <c r="D14" i="6"/>
  <c r="E14" i="6"/>
  <c r="F14" i="6"/>
  <c r="G14" i="6"/>
  <c r="H14" i="6"/>
  <c r="I14" i="6"/>
  <c r="J14" i="6"/>
  <c r="K14" i="6"/>
  <c r="B15" i="6"/>
  <c r="C15" i="6"/>
  <c r="D15" i="6"/>
  <c r="E15" i="6"/>
  <c r="F15" i="6"/>
  <c r="G15" i="6"/>
  <c r="H15" i="6"/>
  <c r="I15" i="6"/>
  <c r="J15" i="6"/>
  <c r="K15" i="6"/>
  <c r="B16" i="6"/>
  <c r="C16" i="6"/>
  <c r="D16" i="6"/>
  <c r="E16" i="6"/>
  <c r="F16" i="6"/>
  <c r="G16" i="6"/>
  <c r="H16" i="6"/>
  <c r="I16" i="6"/>
  <c r="J16" i="6"/>
  <c r="K16" i="6"/>
  <c r="B17" i="6"/>
  <c r="C17" i="6"/>
  <c r="D17" i="6"/>
  <c r="E17" i="6"/>
  <c r="F17" i="6"/>
  <c r="G17" i="6"/>
  <c r="H17" i="6"/>
  <c r="I17" i="6"/>
  <c r="J17" i="6"/>
  <c r="K17" i="6"/>
  <c r="B19" i="6"/>
  <c r="C19" i="6"/>
  <c r="D19" i="6"/>
  <c r="E19" i="6"/>
  <c r="F19" i="6"/>
  <c r="G19" i="6"/>
  <c r="H19" i="6"/>
  <c r="I19" i="6"/>
  <c r="J19" i="6"/>
  <c r="K19" i="6"/>
  <c r="B20" i="6"/>
  <c r="C20" i="6"/>
  <c r="D20" i="6"/>
  <c r="E20" i="6"/>
  <c r="F20" i="6"/>
  <c r="G20" i="6"/>
  <c r="H20" i="6"/>
  <c r="I20" i="6"/>
  <c r="J20" i="6"/>
  <c r="K20" i="6"/>
  <c r="B21" i="6"/>
  <c r="C21" i="6"/>
  <c r="D21" i="6"/>
  <c r="E21" i="6"/>
  <c r="F21" i="6"/>
  <c r="G21" i="6"/>
  <c r="H21" i="6"/>
  <c r="I21" i="6"/>
  <c r="J21" i="6"/>
  <c r="K21" i="6"/>
  <c r="B22" i="6"/>
  <c r="C22" i="6"/>
  <c r="D22" i="6"/>
  <c r="E22" i="6"/>
  <c r="F22" i="6"/>
  <c r="G22" i="6"/>
  <c r="H22" i="6"/>
  <c r="I22" i="6"/>
  <c r="J22" i="6"/>
  <c r="K22" i="6"/>
  <c r="B23" i="6"/>
  <c r="C23" i="6"/>
  <c r="D23" i="6"/>
  <c r="E23" i="6"/>
  <c r="F23" i="6"/>
  <c r="G23" i="6"/>
  <c r="H23" i="6"/>
  <c r="I23" i="6"/>
  <c r="J23" i="6"/>
  <c r="K23" i="6"/>
  <c r="B24" i="6"/>
  <c r="C24" i="6"/>
  <c r="D24" i="6"/>
  <c r="E24" i="6"/>
  <c r="F24" i="6"/>
  <c r="G24" i="6"/>
  <c r="H24" i="6"/>
  <c r="I24" i="6"/>
  <c r="J24" i="6"/>
  <c r="K24" i="6"/>
  <c r="B25" i="6"/>
  <c r="C25" i="6"/>
  <c r="D25" i="6"/>
  <c r="E25" i="6"/>
  <c r="F25" i="6"/>
  <c r="G25" i="6"/>
  <c r="H25" i="6"/>
  <c r="I25" i="6"/>
  <c r="J25" i="6"/>
  <c r="K25" i="6"/>
  <c r="B26" i="6"/>
  <c r="C26" i="6"/>
  <c r="D26" i="6"/>
  <c r="E26" i="6"/>
  <c r="F26" i="6"/>
  <c r="G26" i="6"/>
  <c r="H26" i="6"/>
  <c r="I26" i="6"/>
  <c r="J26" i="6"/>
  <c r="K26" i="6"/>
  <c r="B27" i="6"/>
  <c r="C27" i="6"/>
  <c r="D27" i="6"/>
  <c r="E27" i="6"/>
  <c r="F27" i="6"/>
  <c r="G27" i="6"/>
  <c r="H27" i="6"/>
  <c r="I27" i="6"/>
  <c r="J27" i="6"/>
  <c r="K27" i="6"/>
  <c r="B28" i="6"/>
  <c r="C28" i="6"/>
  <c r="D28" i="6"/>
  <c r="E28" i="6"/>
  <c r="F28" i="6"/>
  <c r="G28" i="6"/>
  <c r="H28" i="6"/>
  <c r="I28" i="6"/>
  <c r="J28" i="6"/>
  <c r="K28" i="6"/>
  <c r="B29" i="6"/>
  <c r="C29" i="6"/>
  <c r="D29" i="6"/>
  <c r="E29" i="6"/>
  <c r="F29" i="6"/>
  <c r="G29" i="6"/>
  <c r="H29" i="6"/>
  <c r="I29" i="6"/>
  <c r="J29" i="6"/>
  <c r="K29" i="6"/>
  <c r="B30" i="6"/>
  <c r="C30" i="6"/>
  <c r="D30" i="6"/>
  <c r="E30" i="6"/>
  <c r="F30" i="6"/>
  <c r="G30" i="6"/>
  <c r="H30" i="6"/>
  <c r="I30" i="6"/>
  <c r="J30" i="6"/>
  <c r="K30" i="6"/>
  <c r="B31" i="6"/>
  <c r="C31" i="6"/>
  <c r="D31" i="6"/>
  <c r="E31" i="6"/>
  <c r="F31" i="6"/>
  <c r="G31" i="6"/>
  <c r="H31" i="6"/>
  <c r="I31" i="6"/>
  <c r="J31" i="6"/>
  <c r="K31" i="6"/>
  <c r="B32" i="6"/>
  <c r="C32" i="6"/>
  <c r="D32" i="6"/>
  <c r="E32" i="6"/>
  <c r="F32" i="6"/>
  <c r="G32" i="6"/>
  <c r="H32" i="6"/>
  <c r="I32" i="6"/>
  <c r="J32" i="6"/>
  <c r="K32" i="6"/>
  <c r="B33" i="6"/>
  <c r="C33" i="6"/>
  <c r="D33" i="6"/>
  <c r="E33" i="6"/>
  <c r="F33" i="6"/>
  <c r="G33" i="6"/>
  <c r="H33" i="6"/>
  <c r="I33" i="6"/>
  <c r="J33" i="6"/>
  <c r="K33" i="6"/>
  <c r="B34" i="6"/>
  <c r="C34" i="6"/>
  <c r="D34" i="6"/>
  <c r="E34" i="6"/>
  <c r="F34" i="6"/>
  <c r="G34" i="6"/>
  <c r="H34" i="6"/>
  <c r="I34" i="6"/>
  <c r="J34" i="6"/>
  <c r="K34" i="6"/>
  <c r="B35" i="6"/>
  <c r="C35" i="6"/>
  <c r="D35" i="6"/>
  <c r="E35" i="6"/>
  <c r="F35" i="6"/>
  <c r="G35" i="6"/>
  <c r="H35" i="6"/>
  <c r="I35" i="6"/>
  <c r="J35" i="6"/>
  <c r="K35" i="6"/>
  <c r="J18" i="6"/>
  <c r="K18" i="6"/>
  <c r="I18" i="6"/>
  <c r="H18" i="6"/>
  <c r="G18" i="6"/>
  <c r="F18" i="6"/>
  <c r="E18" i="6"/>
  <c r="D18" i="6"/>
  <c r="C18" i="6"/>
  <c r="B18" i="6"/>
  <c r="C5" i="5"/>
  <c r="D5" i="5"/>
  <c r="E5" i="5"/>
  <c r="F5" i="5"/>
  <c r="G5" i="5"/>
  <c r="H5" i="5"/>
  <c r="I5" i="5"/>
  <c r="J5" i="5"/>
  <c r="K5" i="5"/>
  <c r="C6" i="5"/>
  <c r="D6" i="5"/>
  <c r="E6" i="5"/>
  <c r="F6" i="5"/>
  <c r="G6" i="5"/>
  <c r="H6" i="5"/>
  <c r="I6" i="5"/>
  <c r="J6" i="5"/>
  <c r="K6" i="5"/>
  <c r="C7" i="5"/>
  <c r="D7" i="5"/>
  <c r="E7" i="5"/>
  <c r="F7" i="5"/>
  <c r="G7" i="5"/>
  <c r="H7" i="5"/>
  <c r="I7" i="5"/>
  <c r="J7" i="5"/>
  <c r="K7" i="5"/>
  <c r="C8" i="5"/>
  <c r="D8" i="5"/>
  <c r="E8" i="5"/>
  <c r="F8" i="5"/>
  <c r="G8" i="5"/>
  <c r="H8" i="5"/>
  <c r="I8" i="5"/>
  <c r="J8" i="5"/>
  <c r="K8" i="5"/>
  <c r="C9" i="5"/>
  <c r="D9" i="5"/>
  <c r="E9" i="5"/>
  <c r="F9" i="5"/>
  <c r="G9" i="5"/>
  <c r="H9" i="5"/>
  <c r="I9" i="5"/>
  <c r="J9" i="5"/>
  <c r="K9" i="5"/>
  <c r="C10" i="5"/>
  <c r="D10" i="5"/>
  <c r="E10" i="5"/>
  <c r="F10" i="5"/>
  <c r="G10" i="5"/>
  <c r="H10" i="5"/>
  <c r="I10" i="5"/>
  <c r="J10" i="5"/>
  <c r="K10" i="5"/>
  <c r="C11" i="5"/>
  <c r="D11" i="5"/>
  <c r="E11" i="5"/>
  <c r="F11" i="5"/>
  <c r="G11" i="5"/>
  <c r="H11" i="5"/>
  <c r="I11" i="5"/>
  <c r="J11" i="5"/>
  <c r="K11" i="5"/>
  <c r="C12" i="5"/>
  <c r="D12" i="5"/>
  <c r="E12" i="5"/>
  <c r="F12" i="5"/>
  <c r="G12" i="5"/>
  <c r="H12" i="5"/>
  <c r="I12" i="5"/>
  <c r="J12" i="5"/>
  <c r="K12" i="5"/>
  <c r="C13" i="5"/>
  <c r="D13" i="5"/>
  <c r="E13" i="5"/>
  <c r="F13" i="5"/>
  <c r="G13" i="5"/>
  <c r="H13" i="5"/>
  <c r="I13" i="5"/>
  <c r="J13" i="5"/>
  <c r="K13" i="5"/>
  <c r="C14" i="5"/>
  <c r="D14" i="5"/>
  <c r="E14" i="5"/>
  <c r="F14" i="5"/>
  <c r="G14" i="5"/>
  <c r="H14" i="5"/>
  <c r="I14" i="5"/>
  <c r="J14" i="5"/>
  <c r="K14" i="5"/>
  <c r="C15" i="5"/>
  <c r="D15" i="5"/>
  <c r="E15" i="5"/>
  <c r="F15" i="5"/>
  <c r="G15" i="5"/>
  <c r="H15" i="5"/>
  <c r="I15" i="5"/>
  <c r="J15" i="5"/>
  <c r="K15" i="5"/>
  <c r="C16" i="5"/>
  <c r="D16" i="5"/>
  <c r="E16" i="5"/>
  <c r="F16" i="5"/>
  <c r="G16" i="5"/>
  <c r="H16" i="5"/>
  <c r="I16" i="5"/>
  <c r="J16" i="5"/>
  <c r="K16" i="5"/>
  <c r="B5" i="5"/>
  <c r="B6" i="5"/>
  <c r="B7" i="5"/>
  <c r="B8" i="5"/>
  <c r="B9" i="5"/>
  <c r="B10" i="5"/>
  <c r="B11" i="5"/>
  <c r="B12" i="5"/>
  <c r="B13" i="5"/>
  <c r="B14" i="5"/>
  <c r="B15" i="5"/>
  <c r="B16" i="5"/>
  <c r="C4" i="5"/>
  <c r="D4" i="5"/>
  <c r="E4" i="5"/>
  <c r="F4" i="5"/>
  <c r="G4" i="5"/>
  <c r="H4" i="5"/>
  <c r="I4" i="5"/>
  <c r="J4" i="5"/>
  <c r="K4" i="5"/>
  <c r="B4" i="5"/>
</calcChain>
</file>

<file path=xl/sharedStrings.xml><?xml version="1.0" encoding="utf-8"?>
<sst xmlns="http://schemas.openxmlformats.org/spreadsheetml/2006/main" count="971" uniqueCount="191">
  <si>
    <t>Total Liabilities &amp; Equity</t>
  </si>
  <si>
    <t>Total Equity</t>
  </si>
  <si>
    <t>-</t>
  </si>
  <si>
    <t>Treasury Stock</t>
  </si>
  <si>
    <t>Accum Other Comprehensive Income</t>
  </si>
  <si>
    <t>Retained Earnings</t>
  </si>
  <si>
    <t>Additional Paid-In Capital</t>
  </si>
  <si>
    <t>Common Share Capital</t>
  </si>
  <si>
    <t>Total Liabilities</t>
  </si>
  <si>
    <t>Other Liabilities</t>
  </si>
  <si>
    <t>Deferred LT Liabilities</t>
  </si>
  <si>
    <t>LT Debt &amp; Leases</t>
  </si>
  <si>
    <t>Total Current Liabilities</t>
  </si>
  <si>
    <t>Other Current Liabilities</t>
  </si>
  <si>
    <t>Current Debt</t>
  </si>
  <si>
    <t>Accrued Expenses</t>
  </si>
  <si>
    <t>Accounts Payable</t>
  </si>
  <si>
    <t>Accounts Payable &amp; Accrued Exps</t>
  </si>
  <si>
    <t>Total Assets</t>
  </si>
  <si>
    <t>Other Assets</t>
  </si>
  <si>
    <t>Intangible Assets</t>
  </si>
  <si>
    <t>Net Property Plant &amp; Equip</t>
  </si>
  <si>
    <t>Accumulated Depreciation</t>
  </si>
  <si>
    <t>Gross Property Plant &amp; Equip</t>
  </si>
  <si>
    <t>Total Current Assets</t>
  </si>
  <si>
    <t>Other Current Assets</t>
  </si>
  <si>
    <t>Inventories</t>
  </si>
  <si>
    <t>Receivables (ST)</t>
  </si>
  <si>
    <t>Cash &amp; Equivs &amp; ST Investments</t>
  </si>
  <si>
    <t>Short Term Investments</t>
  </si>
  <si>
    <t>Cash &amp; Equivalents</t>
  </si>
  <si>
    <t>Thousands</t>
  </si>
  <si>
    <t>Scale</t>
  </si>
  <si>
    <t>Yes</t>
  </si>
  <si>
    <t>Consolidated</t>
  </si>
  <si>
    <t>Not Qualified</t>
  </si>
  <si>
    <t>Audit Status</t>
  </si>
  <si>
    <t>USD</t>
  </si>
  <si>
    <t>Currency</t>
  </si>
  <si>
    <t>01/28/2024</t>
  </si>
  <si>
    <t>01/29/2023</t>
  </si>
  <si>
    <t>01/30/2022</t>
  </si>
  <si>
    <t>01/31/2021</t>
  </si>
  <si>
    <t>01/26/2020</t>
  </si>
  <si>
    <t>01/27/2019</t>
  </si>
  <si>
    <t>01/28/2018</t>
  </si>
  <si>
    <t>01/29/2017</t>
  </si>
  <si>
    <t>01/31/2016</t>
  </si>
  <si>
    <t>01/25/2015</t>
  </si>
  <si>
    <t>Report Date</t>
  </si>
  <si>
    <t xml:space="preserve">Standardized Annual Balance Sheet </t>
  </si>
  <si>
    <t>NVIDIA Corp (NMS: NVDA)</t>
  </si>
  <si>
    <t>Powered by Clearbit</t>
  </si>
  <si>
    <t xml:space="preserve">Standardized Annual Income Statement </t>
  </si>
  <si>
    <t>Sales Revenue</t>
  </si>
  <si>
    <t>Total Revenue</t>
  </si>
  <si>
    <t>Direct Costs</t>
  </si>
  <si>
    <t>Gross Profit</t>
  </si>
  <si>
    <t>Selling General &amp; Admin</t>
  </si>
  <si>
    <t>Research &amp; Development</t>
  </si>
  <si>
    <t>Restruct Remediation &amp; Impair</t>
  </si>
  <si>
    <t>Total Indirect Operating Costs</t>
  </si>
  <si>
    <t>Operating Income</t>
  </si>
  <si>
    <t>Interest Income</t>
  </si>
  <si>
    <t>Other Non-Operating Income</t>
  </si>
  <si>
    <t>Total Non-Operating Income</t>
  </si>
  <si>
    <t>Earnings Before Tax</t>
  </si>
  <si>
    <t>Net Income</t>
  </si>
  <si>
    <t>Net Income to Common</t>
  </si>
  <si>
    <t>Average Shares Basic</t>
  </si>
  <si>
    <t>EPS Net Basic</t>
  </si>
  <si>
    <t>EPS Continuing Basic</t>
  </si>
  <si>
    <t>Average Shares Diluted</t>
  </si>
  <si>
    <t>EPS Net Diluted</t>
  </si>
  <si>
    <t>EPS Continuing Diluted</t>
  </si>
  <si>
    <t>Shares Outstanding</t>
  </si>
  <si>
    <t xml:space="preserve">Standardized Annual Cash Flows </t>
  </si>
  <si>
    <t>Adjustments from Inc to Cash</t>
  </si>
  <si>
    <t>Change in Working Capital</t>
  </si>
  <si>
    <t>Cash Flow from Operations</t>
  </si>
  <si>
    <t>Purchase of Pty Plant &amp; Equip</t>
  </si>
  <si>
    <t>Purchase of Investments</t>
  </si>
  <si>
    <t>Disposal of Investments</t>
  </si>
  <si>
    <t>Change in Business Activities</t>
  </si>
  <si>
    <t>Other Investing Cash Flows</t>
  </si>
  <si>
    <t>Cash Flow from Investing</t>
  </si>
  <si>
    <t>Change in LT Debt</t>
  </si>
  <si>
    <t>Change in Equity</t>
  </si>
  <si>
    <t>Payment of Dividends</t>
  </si>
  <si>
    <t>Other Financing Cash Flows</t>
  </si>
  <si>
    <t>Cash Flow from Financing</t>
  </si>
  <si>
    <t>Change in Cash</t>
  </si>
  <si>
    <t>Opening Cash</t>
  </si>
  <si>
    <t>Closing Cash</t>
  </si>
  <si>
    <t>Depn &amp; Amortn (CF)</t>
  </si>
  <si>
    <t>Net Purch of Pty Plant &amp; Equip</t>
  </si>
  <si>
    <t>Revenue Growth</t>
  </si>
  <si>
    <t xml:space="preserve">Net Profit Margin </t>
  </si>
  <si>
    <t xml:space="preserve">Gross Profit Margin </t>
  </si>
  <si>
    <t>Return On Assets</t>
  </si>
  <si>
    <t xml:space="preserve">Return on equity </t>
  </si>
  <si>
    <t>Liquidity Ratio</t>
  </si>
  <si>
    <t>Current Ratio</t>
  </si>
  <si>
    <t>Quick Ratios</t>
  </si>
  <si>
    <t>Cash Ratio</t>
  </si>
  <si>
    <t>Leverage Ratio</t>
  </si>
  <si>
    <t>Debt to Equity Ratio</t>
  </si>
  <si>
    <t>Debt Ratio</t>
  </si>
  <si>
    <t>Revenue</t>
  </si>
  <si>
    <t>113.27B</t>
  </si>
  <si>
    <t>24.30B</t>
  </si>
  <si>
    <t>54.25B</t>
  </si>
  <si>
    <t>38.96B</t>
  </si>
  <si>
    <t>gross profit</t>
  </si>
  <si>
    <t>85.93B</t>
  </si>
  <si>
    <t>11.75B</t>
  </si>
  <si>
    <t>18.81B</t>
  </si>
  <si>
    <t>21.90B</t>
  </si>
  <si>
    <t>Gross Margin</t>
  </si>
  <si>
    <t>Profit Margin</t>
  </si>
  <si>
    <t>NVDA</t>
  </si>
  <si>
    <t>NVIDIA Corporation</t>
  </si>
  <si>
    <t>AMD</t>
  </si>
  <si>
    <t>Advanced Micro Devices, Inc.</t>
  </si>
  <si>
    <t>INTC</t>
  </si>
  <si>
    <t>Intel Corporation</t>
  </si>
  <si>
    <t>QCOM</t>
  </si>
  <si>
    <t>QUALCOMM Incorporated</t>
  </si>
  <si>
    <t>Advanced Micro Devices Inc (NMS: AMD)</t>
  </si>
  <si>
    <t xml:space="preserve">Exchange rate used is that of the Year End reported date </t>
  </si>
  <si>
    <t>12/30/2023</t>
  </si>
  <si>
    <t>12/31/2022</t>
  </si>
  <si>
    <t>12/25/2021</t>
  </si>
  <si>
    <t>12/26/2020</t>
  </si>
  <si>
    <t>12/28/2019</t>
  </si>
  <si>
    <t>12/29/2018</t>
  </si>
  <si>
    <t>12/30/2017</t>
  </si>
  <si>
    <t>12/31/2016</t>
  </si>
  <si>
    <t>12/26/2015</t>
  </si>
  <si>
    <t>12/27/2014</t>
  </si>
  <si>
    <t>Related Parties (ST Asset)</t>
  </si>
  <si>
    <t>Long Term Investments</t>
  </si>
  <si>
    <t>Prepayments (LT)</t>
  </si>
  <si>
    <t>Deferred LT Assets</t>
  </si>
  <si>
    <t>Minority Interests</t>
  </si>
  <si>
    <t>Other Equity</t>
  </si>
  <si>
    <t>Other Revenue</t>
  </si>
  <si>
    <t>Depreciation &amp; Amortization</t>
  </si>
  <si>
    <t>Other Operating Expense</t>
  </si>
  <si>
    <t>Gains on Sale of Assets</t>
  </si>
  <si>
    <t>Taxation</t>
  </si>
  <si>
    <t>Equity Earnings</t>
  </si>
  <si>
    <t>Extraordinary Items</t>
  </si>
  <si>
    <t>Accounting Changes</t>
  </si>
  <si>
    <t>Preference Dividends &amp; Similar</t>
  </si>
  <si>
    <t>Qualcomm Inc (NMS: QCOM)</t>
  </si>
  <si>
    <t>09/29/2024</t>
  </si>
  <si>
    <t>09/24/2023</t>
  </si>
  <si>
    <t>09/25/2022</t>
  </si>
  <si>
    <t>09/26/2021</t>
  </si>
  <si>
    <t>09/27/2020</t>
  </si>
  <si>
    <t>09/29/2019</t>
  </si>
  <si>
    <t>09/30/2018</t>
  </si>
  <si>
    <t>09/24/2017</t>
  </si>
  <si>
    <t>09/25/2016</t>
  </si>
  <si>
    <t>09/27/2015</t>
  </si>
  <si>
    <t>Current Tax Assets</t>
  </si>
  <si>
    <t>Assets Held for Sale (ST)</t>
  </si>
  <si>
    <t>Assets Held for Sale (LT)</t>
  </si>
  <si>
    <t>For Curr Trans (BS)</t>
  </si>
  <si>
    <t>Foreign Exchange Gains</t>
  </si>
  <si>
    <t>Earnings After Tax</t>
  </si>
  <si>
    <t>Intel Corp  (NMS: INTC)</t>
  </si>
  <si>
    <t>Millions</t>
  </si>
  <si>
    <t>Year</t>
  </si>
  <si>
    <t>EBIT</t>
  </si>
  <si>
    <t>CapEx</t>
  </si>
  <si>
    <t>Depreciation</t>
  </si>
  <si>
    <t>Change in WC</t>
  </si>
  <si>
    <t>Revenue Growth Rate</t>
  </si>
  <si>
    <t>EBIT Margin</t>
  </si>
  <si>
    <t>Effective Tax Rate</t>
  </si>
  <si>
    <t>CapEx Ratio</t>
  </si>
  <si>
    <t>Depreciation Ratio</t>
  </si>
  <si>
    <t>WC Ratio</t>
  </si>
  <si>
    <t>Projected Revenue</t>
  </si>
  <si>
    <t>Projected EBIT</t>
  </si>
  <si>
    <t>NOPAT</t>
  </si>
  <si>
    <t>Free Cash Flow</t>
  </si>
  <si>
    <t>Discounted FCF</t>
  </si>
  <si>
    <t>Terminal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</si>
</sst>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232A31"/>
      <name val="Arial"/>
      <family val="2"/>
    </font>
    <font>
      <b/>
      <sz val="11"/>
      <color rgb="FF232A31"/>
      <name val="Arial"/>
      <family val="2"/>
    </font>
    <font>
      <sz val="8"/>
      <color rgb="FF000000"/>
      <name val="Arial"/>
    </font>
    <font>
      <b/>
      <sz val="16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left"/>
    </xf>
    <xf numFmtId="1" fontId="7" fillId="0" borderId="0" xfId="0" applyNumberFormat="1" applyFont="1"/>
    <xf numFmtId="0" fontId="7" fillId="0" borderId="0" xfId="0" applyFont="1"/>
    <xf numFmtId="2" fontId="0" fillId="0" borderId="0" xfId="0" applyNumberFormat="1"/>
    <xf numFmtId="0" fontId="3" fillId="0" borderId="0" xfId="0" applyFont="1"/>
    <xf numFmtId="0" fontId="8" fillId="0" borderId="0" xfId="0" applyFont="1"/>
    <xf numFmtId="0" fontId="9" fillId="0" borderId="0" xfId="0" applyFont="1"/>
    <xf numFmtId="9" fontId="6" fillId="0" borderId="0" xfId="1" applyFont="1"/>
    <xf numFmtId="0" fontId="2" fillId="0" borderId="0" xfId="0" applyFont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0" fillId="0" borderId="0" xfId="0" applyFont="1" applyAlignment="1">
      <alignment horizontal="left"/>
    </xf>
    <xf numFmtId="164" fontId="10" fillId="0" borderId="0" xfId="0" applyNumberFormat="1" applyFont="1"/>
    <xf numFmtId="0" fontId="10" fillId="0" borderId="0" xfId="0" applyFont="1"/>
    <xf numFmtId="164" fontId="6" fillId="0" borderId="0" xfId="0" applyNumberFormat="1" applyFont="1"/>
    <xf numFmtId="0" fontId="2" fillId="0" borderId="0" xfId="0" applyFont="1" applyAlignment="1">
      <alignment horizontal="center"/>
    </xf>
    <xf numFmtId="1" fontId="2" fillId="0" borderId="0" xfId="0" applyNumberFormat="1" applyFont="1"/>
    <xf numFmtId="0" fontId="2" fillId="0" borderId="0" xfId="0" applyFont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 wrapText="1"/>
    </xf>
    <xf numFmtId="10" fontId="11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right" vertical="top" wrapText="1"/>
    </xf>
    <xf numFmtId="165" fontId="0" fillId="0" borderId="0" xfId="0" applyNumberFormat="1"/>
    <xf numFmtId="0" fontId="16" fillId="0" borderId="0" xfId="2"/>
    <xf numFmtId="0" fontId="13" fillId="0" borderId="0" xfId="2" applyFont="1" applyAlignment="1">
      <alignment horizontal="left"/>
    </xf>
    <xf numFmtId="0" fontId="14" fillId="0" borderId="0" xfId="2" applyFont="1" applyAlignment="1">
      <alignment horizontal="left"/>
    </xf>
    <xf numFmtId="0" fontId="16" fillId="0" borderId="0" xfId="2" applyAlignment="1">
      <alignment horizontal="left" vertical="top" wrapText="1"/>
    </xf>
    <xf numFmtId="0" fontId="15" fillId="0" borderId="0" xfId="2" applyFont="1" applyAlignment="1">
      <alignment vertical="top" wrapText="1"/>
    </xf>
    <xf numFmtId="0" fontId="15" fillId="0" borderId="0" xfId="2" applyFont="1" applyAlignment="1">
      <alignment horizontal="left" vertical="top"/>
    </xf>
    <xf numFmtId="0" fontId="15" fillId="0" borderId="0" xfId="2" applyFont="1" applyAlignment="1">
      <alignment horizontal="right" vertical="top" wrapText="1"/>
    </xf>
    <xf numFmtId="0" fontId="16" fillId="0" borderId="0" xfId="2" applyAlignment="1">
      <alignment horizontal="left"/>
    </xf>
    <xf numFmtId="1" fontId="16" fillId="0" borderId="0" xfId="2" applyNumberFormat="1"/>
    <xf numFmtId="0" fontId="16" fillId="0" borderId="0" xfId="2" applyAlignment="1">
      <alignment horizontal="right"/>
    </xf>
    <xf numFmtId="2" fontId="16" fillId="0" borderId="0" xfId="2" applyNumberFormat="1"/>
    <xf numFmtId="0" fontId="15" fillId="0" borderId="0" xfId="2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3">
    <cellStyle name="Normal" xfId="0" builtinId="0"/>
    <cellStyle name="Normal 2" xfId="2" xr:uid="{986E4AD9-BFB1-41BD-B77C-8E334ED13E6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 '!$A$23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'!$B$23:$L$23</c:f>
              <c:numCache>
                <c:formatCode>[$$-409]#,##0.00</c:formatCode>
                <c:ptCount val="11"/>
                <c:pt idx="0">
                  <c:v>7201368</c:v>
                </c:pt>
                <c:pt idx="1">
                  <c:v>7370000</c:v>
                </c:pt>
                <c:pt idx="2">
                  <c:v>9841000</c:v>
                </c:pt>
                <c:pt idx="3">
                  <c:v>11241000</c:v>
                </c:pt>
                <c:pt idx="4">
                  <c:v>13292000</c:v>
                </c:pt>
                <c:pt idx="5">
                  <c:v>17315000</c:v>
                </c:pt>
                <c:pt idx="6">
                  <c:v>28791000</c:v>
                </c:pt>
                <c:pt idx="7">
                  <c:v>44187000</c:v>
                </c:pt>
                <c:pt idx="8">
                  <c:v>41182000</c:v>
                </c:pt>
                <c:pt idx="9">
                  <c:v>65728000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C-4400-846C-4450D116F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694384"/>
        <c:axId val="805691504"/>
      </c:barChart>
      <c:catAx>
        <c:axId val="8056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91504"/>
        <c:crosses val="autoZero"/>
        <c:auto val="1"/>
        <c:lblAlgn val="ctr"/>
        <c:lblOffset val="100"/>
        <c:noMultiLvlLbl val="0"/>
      </c:catAx>
      <c:valAx>
        <c:axId val="80569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9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</a:t>
            </a:r>
            <a:r>
              <a:rPr lang="en-IN" baseline="0"/>
              <a:t> Assets Vs Total Asserts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SHEET '!$A$17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'!$B$17:$L$17</c:f>
              <c:numCache>
                <c:formatCode>[$$-409]#,##0.00</c:formatCode>
                <c:ptCount val="11"/>
                <c:pt idx="0">
                  <c:v>5713297</c:v>
                </c:pt>
                <c:pt idx="1">
                  <c:v>6053000</c:v>
                </c:pt>
                <c:pt idx="2">
                  <c:v>8536000</c:v>
                </c:pt>
                <c:pt idx="3">
                  <c:v>9255000</c:v>
                </c:pt>
                <c:pt idx="4">
                  <c:v>10557000</c:v>
                </c:pt>
                <c:pt idx="5">
                  <c:v>13690000</c:v>
                </c:pt>
                <c:pt idx="6">
                  <c:v>16055000</c:v>
                </c:pt>
                <c:pt idx="7">
                  <c:v>28829000</c:v>
                </c:pt>
                <c:pt idx="8">
                  <c:v>23073000</c:v>
                </c:pt>
                <c:pt idx="9">
                  <c:v>44345000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D-471E-8080-BB700BFA8BC1}"/>
            </c:ext>
          </c:extLst>
        </c:ser>
        <c:ser>
          <c:idx val="1"/>
          <c:order val="1"/>
          <c:tx>
            <c:strRef>
              <c:f>'BALANCE SHEET '!$A$23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'!$B$23:$L$23</c:f>
              <c:numCache>
                <c:formatCode>[$$-409]#,##0.00</c:formatCode>
                <c:ptCount val="11"/>
                <c:pt idx="0">
                  <c:v>7201368</c:v>
                </c:pt>
                <c:pt idx="1">
                  <c:v>7370000</c:v>
                </c:pt>
                <c:pt idx="2">
                  <c:v>9841000</c:v>
                </c:pt>
                <c:pt idx="3">
                  <c:v>11241000</c:v>
                </c:pt>
                <c:pt idx="4">
                  <c:v>13292000</c:v>
                </c:pt>
                <c:pt idx="5">
                  <c:v>17315000</c:v>
                </c:pt>
                <c:pt idx="6">
                  <c:v>28791000</c:v>
                </c:pt>
                <c:pt idx="7">
                  <c:v>44187000</c:v>
                </c:pt>
                <c:pt idx="8">
                  <c:v>41182000</c:v>
                </c:pt>
                <c:pt idx="9">
                  <c:v>65728000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D-471E-8080-BB700BFA8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179632"/>
        <c:axId val="806178552"/>
      </c:lineChart>
      <c:catAx>
        <c:axId val="80617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78552"/>
        <c:crosses val="autoZero"/>
        <c:auto val="1"/>
        <c:lblAlgn val="ctr"/>
        <c:lblOffset val="100"/>
        <c:noMultiLvlLbl val="0"/>
      </c:catAx>
      <c:valAx>
        <c:axId val="80617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7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Assets Vs Total Liabilities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'BALANCE SHEET '!$A$23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'!$B$23:$L$23</c:f>
              <c:numCache>
                <c:formatCode>[$$-409]#,##0.00</c:formatCode>
                <c:ptCount val="11"/>
                <c:pt idx="0">
                  <c:v>7201368</c:v>
                </c:pt>
                <c:pt idx="1">
                  <c:v>7370000</c:v>
                </c:pt>
                <c:pt idx="2">
                  <c:v>9841000</c:v>
                </c:pt>
                <c:pt idx="3">
                  <c:v>11241000</c:v>
                </c:pt>
                <c:pt idx="4">
                  <c:v>13292000</c:v>
                </c:pt>
                <c:pt idx="5">
                  <c:v>17315000</c:v>
                </c:pt>
                <c:pt idx="6">
                  <c:v>28791000</c:v>
                </c:pt>
                <c:pt idx="7">
                  <c:v>44187000</c:v>
                </c:pt>
                <c:pt idx="8">
                  <c:v>41182000</c:v>
                </c:pt>
                <c:pt idx="9">
                  <c:v>65728000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D-41D3-8A51-A6C78314DE2F}"/>
            </c:ext>
          </c:extLst>
        </c:ser>
        <c:ser>
          <c:idx val="1"/>
          <c:order val="1"/>
          <c:tx>
            <c:strRef>
              <c:f>'BALANCE SHEET '!$A$33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'!$B$33:$L$33</c:f>
              <c:numCache>
                <c:formatCode>[$$-409]#,##0.00</c:formatCode>
                <c:ptCount val="11"/>
                <c:pt idx="0">
                  <c:v>2783386</c:v>
                </c:pt>
                <c:pt idx="1">
                  <c:v>2814000</c:v>
                </c:pt>
                <c:pt idx="2">
                  <c:v>4048000</c:v>
                </c:pt>
                <c:pt idx="3">
                  <c:v>3770000</c:v>
                </c:pt>
                <c:pt idx="4">
                  <c:v>3950000</c:v>
                </c:pt>
                <c:pt idx="5">
                  <c:v>5111000</c:v>
                </c:pt>
                <c:pt idx="6">
                  <c:v>11898000</c:v>
                </c:pt>
                <c:pt idx="7">
                  <c:v>17575000</c:v>
                </c:pt>
                <c:pt idx="8">
                  <c:v>19081000</c:v>
                </c:pt>
                <c:pt idx="9">
                  <c:v>22750000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D-41D3-8A51-A6C78314D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6183592"/>
        <c:axId val="806181072"/>
        <c:axId val="0"/>
      </c:bar3DChart>
      <c:catAx>
        <c:axId val="806183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81072"/>
        <c:crosses val="autoZero"/>
        <c:auto val="1"/>
        <c:lblAlgn val="ctr"/>
        <c:lblOffset val="100"/>
        <c:noMultiLvlLbl val="0"/>
      </c:catAx>
      <c:valAx>
        <c:axId val="80618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8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 Liablities Vs Total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'BALANCE SHEET '!$A$29</c:f>
              <c:strCache>
                <c:ptCount val="1"/>
                <c:pt idx="0">
                  <c:v>Total Current Liabilities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'!$B$29:$L$29</c:f>
              <c:numCache>
                <c:formatCode>[$$-409]#,##0.00</c:formatCode>
                <c:ptCount val="11"/>
                <c:pt idx="0">
                  <c:v>896030</c:v>
                </c:pt>
                <c:pt idx="1">
                  <c:v>2351000</c:v>
                </c:pt>
                <c:pt idx="2">
                  <c:v>1788000</c:v>
                </c:pt>
                <c:pt idx="3">
                  <c:v>1153000</c:v>
                </c:pt>
                <c:pt idx="4">
                  <c:v>1329000</c:v>
                </c:pt>
                <c:pt idx="5">
                  <c:v>1784000</c:v>
                </c:pt>
                <c:pt idx="6">
                  <c:v>3925000</c:v>
                </c:pt>
                <c:pt idx="7">
                  <c:v>4335000</c:v>
                </c:pt>
                <c:pt idx="8">
                  <c:v>6563000</c:v>
                </c:pt>
                <c:pt idx="9">
                  <c:v>10631000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C-4F5E-B87B-D9D3DBDACFF9}"/>
            </c:ext>
          </c:extLst>
        </c:ser>
        <c:ser>
          <c:idx val="1"/>
          <c:order val="1"/>
          <c:tx>
            <c:strRef>
              <c:f>'BALANCE SHEET '!$A$33</c:f>
              <c:strCache>
                <c:ptCount val="1"/>
                <c:pt idx="0">
                  <c:v>Total Liabilities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'!$B$33:$L$33</c:f>
              <c:numCache>
                <c:formatCode>[$$-409]#,##0.00</c:formatCode>
                <c:ptCount val="11"/>
                <c:pt idx="0">
                  <c:v>2783386</c:v>
                </c:pt>
                <c:pt idx="1">
                  <c:v>2814000</c:v>
                </c:pt>
                <c:pt idx="2">
                  <c:v>4048000</c:v>
                </c:pt>
                <c:pt idx="3">
                  <c:v>3770000</c:v>
                </c:pt>
                <c:pt idx="4">
                  <c:v>3950000</c:v>
                </c:pt>
                <c:pt idx="5">
                  <c:v>5111000</c:v>
                </c:pt>
                <c:pt idx="6">
                  <c:v>11898000</c:v>
                </c:pt>
                <c:pt idx="7">
                  <c:v>17575000</c:v>
                </c:pt>
                <c:pt idx="8">
                  <c:v>19081000</c:v>
                </c:pt>
                <c:pt idx="9">
                  <c:v>22750000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C-4F5E-B87B-D9D3DBDAC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010712"/>
        <c:axId val="869005312"/>
      </c:lineChart>
      <c:catAx>
        <c:axId val="86901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05312"/>
        <c:crosses val="autoZero"/>
        <c:auto val="1"/>
        <c:lblAlgn val="ctr"/>
        <c:lblOffset val="100"/>
        <c:noMultiLvlLbl val="0"/>
      </c:catAx>
      <c:valAx>
        <c:axId val="86900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0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</a:t>
            </a:r>
            <a:r>
              <a:rPr lang="en-IN" baseline="0"/>
              <a:t> Assets Vs Current Liabilities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'BALANCE SHEET '!$A$17</c:f>
              <c:strCache>
                <c:ptCount val="1"/>
                <c:pt idx="0">
                  <c:v>Total Current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'!$B$17:$L$17</c:f>
              <c:numCache>
                <c:formatCode>[$$-409]#,##0.00</c:formatCode>
                <c:ptCount val="11"/>
                <c:pt idx="0">
                  <c:v>5713297</c:v>
                </c:pt>
                <c:pt idx="1">
                  <c:v>6053000</c:v>
                </c:pt>
                <c:pt idx="2">
                  <c:v>8536000</c:v>
                </c:pt>
                <c:pt idx="3">
                  <c:v>9255000</c:v>
                </c:pt>
                <c:pt idx="4">
                  <c:v>10557000</c:v>
                </c:pt>
                <c:pt idx="5">
                  <c:v>13690000</c:v>
                </c:pt>
                <c:pt idx="6">
                  <c:v>16055000</c:v>
                </c:pt>
                <c:pt idx="7">
                  <c:v>28829000</c:v>
                </c:pt>
                <c:pt idx="8">
                  <c:v>23073000</c:v>
                </c:pt>
                <c:pt idx="9">
                  <c:v>44345000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A-4E14-BF40-86B28776BF08}"/>
            </c:ext>
          </c:extLst>
        </c:ser>
        <c:ser>
          <c:idx val="1"/>
          <c:order val="1"/>
          <c:tx>
            <c:strRef>
              <c:f>'BALANCE SHEET '!$A$29</c:f>
              <c:strCache>
                <c:ptCount val="1"/>
                <c:pt idx="0">
                  <c:v>Total Current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'BALANCE SHEET 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 '!$B$29:$L$29</c:f>
              <c:numCache>
                <c:formatCode>[$$-409]#,##0.00</c:formatCode>
                <c:ptCount val="11"/>
                <c:pt idx="0">
                  <c:v>896030</c:v>
                </c:pt>
                <c:pt idx="1">
                  <c:v>2351000</c:v>
                </c:pt>
                <c:pt idx="2">
                  <c:v>1788000</c:v>
                </c:pt>
                <c:pt idx="3">
                  <c:v>1153000</c:v>
                </c:pt>
                <c:pt idx="4">
                  <c:v>1329000</c:v>
                </c:pt>
                <c:pt idx="5">
                  <c:v>1784000</c:v>
                </c:pt>
                <c:pt idx="6">
                  <c:v>3925000</c:v>
                </c:pt>
                <c:pt idx="7">
                  <c:v>4335000</c:v>
                </c:pt>
                <c:pt idx="8">
                  <c:v>6563000</c:v>
                </c:pt>
                <c:pt idx="9">
                  <c:v>10631000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A-4E14-BF40-86B28776B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014672"/>
        <c:axId val="869013232"/>
      </c:areaChart>
      <c:catAx>
        <c:axId val="8690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3232"/>
        <c:crosses val="autoZero"/>
        <c:auto val="1"/>
        <c:lblAlgn val="ctr"/>
        <c:lblOffset val="100"/>
        <c:noMultiLvlLbl val="0"/>
      </c:catAx>
      <c:valAx>
        <c:axId val="8690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1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</a:t>
            </a:r>
            <a:r>
              <a:rPr lang="en-IN" baseline="0"/>
              <a:t> Ratio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RATIOS'!$A$2</c:f>
              <c:strCache>
                <c:ptCount val="1"/>
                <c:pt idx="0">
                  <c:v>Revenue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RATIOS'!$B$2:$K$2</c:f>
              <c:numCache>
                <c:formatCode>General</c:formatCode>
                <c:ptCount val="10"/>
                <c:pt idx="0">
                  <c:v>1</c:v>
                </c:pt>
                <c:pt idx="1">
                  <c:v>7.0168217200145169E-2</c:v>
                </c:pt>
                <c:pt idx="2">
                  <c:v>0.37924151696606784</c:v>
                </c:pt>
                <c:pt idx="3">
                  <c:v>0.4057887120115774</c:v>
                </c:pt>
                <c:pt idx="4">
                  <c:v>0.20609429689108502</c:v>
                </c:pt>
                <c:pt idx="5">
                  <c:v>-6.8111983612154314E-2</c:v>
                </c:pt>
                <c:pt idx="6">
                  <c:v>0.52729437625938813</c:v>
                </c:pt>
                <c:pt idx="7">
                  <c:v>0.61403298350824587</c:v>
                </c:pt>
                <c:pt idx="8">
                  <c:v>2.2293230289068887E-3</c:v>
                </c:pt>
                <c:pt idx="9">
                  <c:v>1.2585452658115222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C-44C7-BFD6-2AFDA8DDBA31}"/>
            </c:ext>
          </c:extLst>
        </c:ser>
        <c:ser>
          <c:idx val="1"/>
          <c:order val="1"/>
          <c:tx>
            <c:strRef>
              <c:f>'FINANCIAL RATIOS'!$A$3</c:f>
              <c:strCache>
                <c:ptCount val="1"/>
                <c:pt idx="0">
                  <c:v>Net Profit Margin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RATIOS'!$B$3:$K$3</c:f>
              <c:numCache>
                <c:formatCode>General</c:formatCode>
                <c:ptCount val="10"/>
                <c:pt idx="0">
                  <c:v>0.13469743823943872</c:v>
                </c:pt>
                <c:pt idx="1">
                  <c:v>0.12255489021956088</c:v>
                </c:pt>
                <c:pt idx="2">
                  <c:v>0.24109985528219971</c:v>
                </c:pt>
                <c:pt idx="3">
                  <c:v>0.3136709903232448</c:v>
                </c:pt>
                <c:pt idx="4">
                  <c:v>0.35344827586206895</c:v>
                </c:pt>
                <c:pt idx="5">
                  <c:v>0.25609085913170909</c:v>
                </c:pt>
                <c:pt idx="6">
                  <c:v>0.25979010494752625</c:v>
                </c:pt>
                <c:pt idx="7">
                  <c:v>0.36233930296499961</c:v>
                </c:pt>
                <c:pt idx="8">
                  <c:v>0.16193371394676356</c:v>
                </c:pt>
                <c:pt idx="9">
                  <c:v>0.4884934834706674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C-44C7-BFD6-2AFDA8DDBA31}"/>
            </c:ext>
          </c:extLst>
        </c:ser>
        <c:ser>
          <c:idx val="2"/>
          <c:order val="2"/>
          <c:tx>
            <c:strRef>
              <c:f>'FINANCIAL RATIOS'!$A$4</c:f>
              <c:strCache>
                <c:ptCount val="1"/>
                <c:pt idx="0">
                  <c:v>Gross Profit Margin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RATIOS'!$B$4:$K$4</c:f>
              <c:numCache>
                <c:formatCode>General</c:formatCode>
                <c:ptCount val="10"/>
                <c:pt idx="0">
                  <c:v>0.55526500334187257</c:v>
                </c:pt>
                <c:pt idx="1">
                  <c:v>0.56107784431137719</c:v>
                </c:pt>
                <c:pt idx="2">
                  <c:v>0.58798842257597683</c:v>
                </c:pt>
                <c:pt idx="3">
                  <c:v>0.59934115709285563</c:v>
                </c:pt>
                <c:pt idx="4">
                  <c:v>0.61206896551724133</c:v>
                </c:pt>
                <c:pt idx="5">
                  <c:v>0.61989375343469499</c:v>
                </c:pt>
                <c:pt idx="6">
                  <c:v>0.62344827586206897</c:v>
                </c:pt>
                <c:pt idx="7">
                  <c:v>0.64929033216913135</c:v>
                </c:pt>
                <c:pt idx="8">
                  <c:v>0.56928894490991322</c:v>
                </c:pt>
                <c:pt idx="9">
                  <c:v>0.72717573290436954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8C-44C7-BFD6-2AFDA8DDBA31}"/>
            </c:ext>
          </c:extLst>
        </c:ser>
        <c:ser>
          <c:idx val="3"/>
          <c:order val="3"/>
          <c:tx>
            <c:strRef>
              <c:f>'FINANCIAL RATIOS'!$A$5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RATIOS'!$B$5:$K$5</c:f>
              <c:numCache>
                <c:formatCode>General</c:formatCode>
                <c:ptCount val="10"/>
                <c:pt idx="0">
                  <c:v>0.16212493113862694</c:v>
                </c:pt>
                <c:pt idx="1">
                  <c:v>0.14910179640718563</c:v>
                </c:pt>
                <c:pt idx="2">
                  <c:v>0.27988422575976846</c:v>
                </c:pt>
                <c:pt idx="3">
                  <c:v>0.33045089561457691</c:v>
                </c:pt>
                <c:pt idx="4">
                  <c:v>0.32468419255718678</c:v>
                </c:pt>
                <c:pt idx="5">
                  <c:v>0.2606704524638212</c:v>
                </c:pt>
                <c:pt idx="6">
                  <c:v>0.27178410794602698</c:v>
                </c:pt>
                <c:pt idx="7">
                  <c:v>0.37307720888756779</c:v>
                </c:pt>
                <c:pt idx="8">
                  <c:v>0.1565952398606065</c:v>
                </c:pt>
                <c:pt idx="9">
                  <c:v>0.54121663766783756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8C-44C7-BFD6-2AFDA8DDBA31}"/>
            </c:ext>
          </c:extLst>
        </c:ser>
        <c:ser>
          <c:idx val="4"/>
          <c:order val="4"/>
          <c:tx>
            <c:strRef>
              <c:f>'FINANCIAL RATIOS'!$A$6</c:f>
              <c:strCache>
                <c:ptCount val="1"/>
                <c:pt idx="0">
                  <c:v>Return On Assets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RATIOS'!$B$6:$K$6</c:f>
              <c:numCache>
                <c:formatCode>General</c:formatCode>
                <c:ptCount val="10"/>
                <c:pt idx="0">
                  <c:v>8.7564890448592544E-2</c:v>
                </c:pt>
                <c:pt idx="1">
                  <c:v>8.3310719131614655E-2</c:v>
                </c:pt>
                <c:pt idx="2">
                  <c:v>0.16929173864444672</c:v>
                </c:pt>
                <c:pt idx="3">
                  <c:v>0.27106129347922781</c:v>
                </c:pt>
                <c:pt idx="4">
                  <c:v>0.31154077640686129</c:v>
                </c:pt>
                <c:pt idx="5">
                  <c:v>0.16147848686110308</c:v>
                </c:pt>
                <c:pt idx="6">
                  <c:v>0.15046368656871939</c:v>
                </c:pt>
                <c:pt idx="7">
                  <c:v>0.22069839545567702</c:v>
                </c:pt>
                <c:pt idx="8">
                  <c:v>0.10606575688407557</c:v>
                </c:pt>
                <c:pt idx="9">
                  <c:v>0.45277507302823761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8C-44C7-BFD6-2AFDA8DDBA31}"/>
            </c:ext>
          </c:extLst>
        </c:ser>
        <c:ser>
          <c:idx val="5"/>
          <c:order val="5"/>
          <c:tx>
            <c:strRef>
              <c:f>'FINANCIAL RATIOS'!$A$7</c:f>
              <c:strCache>
                <c:ptCount val="1"/>
                <c:pt idx="0">
                  <c:v>Return on equity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RATIOS'!$B$7:$K$7</c:f>
              <c:numCache>
                <c:formatCode>General</c:formatCode>
                <c:ptCount val="10"/>
                <c:pt idx="0">
                  <c:v>0.14273190791632923</c:v>
                </c:pt>
                <c:pt idx="1">
                  <c:v>0.13476733977172958</c:v>
                </c:pt>
                <c:pt idx="2">
                  <c:v>0.28758846884170552</c:v>
                </c:pt>
                <c:pt idx="3">
                  <c:v>0.40784366216035339</c:v>
                </c:pt>
                <c:pt idx="4">
                  <c:v>0.44326696638835367</c:v>
                </c:pt>
                <c:pt idx="5">
                  <c:v>0.22910521140609635</c:v>
                </c:pt>
                <c:pt idx="6">
                  <c:v>0.25643757769490322</c:v>
                </c:pt>
                <c:pt idx="7">
                  <c:v>0.36645122501127309</c:v>
                </c:pt>
                <c:pt idx="8">
                  <c:v>0.19763811592235644</c:v>
                </c:pt>
                <c:pt idx="9">
                  <c:v>0.69244729861789756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8C-44C7-BFD6-2AFDA8DDB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484416"/>
        <c:axId val="1119486936"/>
      </c:barChart>
      <c:catAx>
        <c:axId val="111948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86936"/>
        <c:crosses val="autoZero"/>
        <c:auto val="1"/>
        <c:lblAlgn val="ctr"/>
        <c:lblOffset val="100"/>
        <c:noMultiLvlLbl val="0"/>
      </c:catAx>
      <c:valAx>
        <c:axId val="111948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8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Liquidity</a:t>
            </a:r>
            <a:r>
              <a:rPr lang="en-IN" baseline="0"/>
              <a:t>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RATIOS'!$A$9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RATIOS'!$B$9:$K$9</c:f>
              <c:numCache>
                <c:formatCode>General</c:formatCode>
                <c:ptCount val="10"/>
                <c:pt idx="0">
                  <c:v>6.3762340546633487</c:v>
                </c:pt>
                <c:pt idx="1">
                  <c:v>2.5746490854955337</c:v>
                </c:pt>
                <c:pt idx="2">
                  <c:v>4.7740492170022373</c:v>
                </c:pt>
                <c:pt idx="3">
                  <c:v>8.0268863833477884</c:v>
                </c:pt>
                <c:pt idx="4">
                  <c:v>7.9435665914221216</c:v>
                </c:pt>
                <c:pt idx="5">
                  <c:v>7.6737668161434973</c:v>
                </c:pt>
                <c:pt idx="6">
                  <c:v>4.0904458598726112</c:v>
                </c:pt>
                <c:pt idx="7">
                  <c:v>6.6502883506343711</c:v>
                </c:pt>
                <c:pt idx="8">
                  <c:v>3.5156178576870332</c:v>
                </c:pt>
                <c:pt idx="9">
                  <c:v>4.1712915059730973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C-4C90-8232-7E8A178F3B6B}"/>
            </c:ext>
          </c:extLst>
        </c:ser>
        <c:ser>
          <c:idx val="1"/>
          <c:order val="1"/>
          <c:tx>
            <c:strRef>
              <c:f>'FINANCIAL RATIOS'!$A$10</c:f>
              <c:strCache>
                <c:ptCount val="1"/>
                <c:pt idx="0">
                  <c:v>Quick Ratios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RATIOS'!$B$10:$K$10</c:f>
              <c:numCache>
                <c:formatCode>General</c:formatCode>
                <c:ptCount val="10"/>
                <c:pt idx="0">
                  <c:v>5.6883988259321674</c:v>
                </c:pt>
                <c:pt idx="1">
                  <c:v>2.3572947681837517</c:v>
                </c:pt>
                <c:pt idx="2">
                  <c:v>4.2639821029082778</c:v>
                </c:pt>
                <c:pt idx="3">
                  <c:v>7.2619254119687771</c:v>
                </c:pt>
                <c:pt idx="4">
                  <c:v>6.6561324303987961</c:v>
                </c:pt>
                <c:pt idx="5">
                  <c:v>7.0369955156950672</c:v>
                </c:pt>
                <c:pt idx="6">
                  <c:v>3.5643312101910829</c:v>
                </c:pt>
                <c:pt idx="7">
                  <c:v>5.9649365628604381</c:v>
                </c:pt>
                <c:pt idx="8">
                  <c:v>2.6090202651226573</c:v>
                </c:pt>
                <c:pt idx="9">
                  <c:v>3.3847239206095381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C-4C90-8232-7E8A178F3B6B}"/>
            </c:ext>
          </c:extLst>
        </c:ser>
        <c:ser>
          <c:idx val="2"/>
          <c:order val="2"/>
          <c:tx>
            <c:strRef>
              <c:f>'FINANCIAL RATIOS'!$A$11</c:f>
              <c:strCache>
                <c:ptCount val="1"/>
                <c:pt idx="0">
                  <c:v>Cash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RATIOS'!$B$11:$K$11</c:f>
              <c:numCache>
                <c:formatCode>General</c:formatCode>
                <c:ptCount val="10"/>
                <c:pt idx="0">
                  <c:v>0.17843518649587228</c:v>
                </c:pt>
                <c:pt idx="1">
                  <c:v>0.21179815209665956</c:v>
                </c:pt>
                <c:pt idx="2">
                  <c:v>0.43626482213438733</c:v>
                </c:pt>
                <c:pt idx="3">
                  <c:v>1.0615384615384615</c:v>
                </c:pt>
                <c:pt idx="4">
                  <c:v>0.19797468354430381</c:v>
                </c:pt>
                <c:pt idx="5">
                  <c:v>2.1318724320093914</c:v>
                </c:pt>
                <c:pt idx="6">
                  <c:v>7.118843503109766E-2</c:v>
                </c:pt>
                <c:pt idx="7">
                  <c:v>0.11322901849217638</c:v>
                </c:pt>
                <c:pt idx="8">
                  <c:v>0.17761123630836959</c:v>
                </c:pt>
                <c:pt idx="9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4C-4C90-8232-7E8A178F3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483336"/>
        <c:axId val="1119480816"/>
      </c:barChart>
      <c:catAx>
        <c:axId val="111948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80816"/>
        <c:crosses val="autoZero"/>
        <c:auto val="1"/>
        <c:lblAlgn val="ctr"/>
        <c:lblOffset val="100"/>
        <c:noMultiLvlLbl val="0"/>
      </c:catAx>
      <c:valAx>
        <c:axId val="11194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8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Leverage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RATIOS'!$A$13</c:f>
              <c:strCache>
                <c:ptCount val="1"/>
                <c:pt idx="0">
                  <c:v>Debt to Equity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RATIOS'!$B$13:$K$13</c:f>
              <c:numCache>
                <c:formatCode>General</c:formatCode>
                <c:ptCount val="10"/>
                <c:pt idx="0">
                  <c:v>0.63001297877628293</c:v>
                </c:pt>
                <c:pt idx="1">
                  <c:v>0.61764705882352944</c:v>
                </c:pt>
                <c:pt idx="2">
                  <c:v>0.69877438287588467</c:v>
                </c:pt>
                <c:pt idx="3">
                  <c:v>0.50461785570874051</c:v>
                </c:pt>
                <c:pt idx="4">
                  <c:v>0.42282166559623208</c:v>
                </c:pt>
                <c:pt idx="5">
                  <c:v>0.41879711569977057</c:v>
                </c:pt>
                <c:pt idx="6">
                  <c:v>0.7043153969099627</c:v>
                </c:pt>
                <c:pt idx="7">
                  <c:v>0.66041635352472572</c:v>
                </c:pt>
                <c:pt idx="8">
                  <c:v>0.8633545993393964</c:v>
                </c:pt>
                <c:pt idx="9">
                  <c:v>0.52934059286146395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E-4CE1-9101-3CE720CCC8E1}"/>
            </c:ext>
          </c:extLst>
        </c:ser>
        <c:ser>
          <c:idx val="1"/>
          <c:order val="1"/>
          <c:tx>
            <c:strRef>
              <c:f>'FINANCIAL RATIOS'!$A$14</c:f>
              <c:strCache>
                <c:ptCount val="1"/>
                <c:pt idx="0">
                  <c:v>Debt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RATIOS'!$B$1:$K$1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'FINANCIAL RATIOS'!$B$14:$K$14</c:f>
              <c:numCache>
                <c:formatCode>General</c:formatCode>
                <c:ptCount val="10"/>
                <c:pt idx="0">
                  <c:v>0.38650795237793706</c:v>
                </c:pt>
                <c:pt idx="1">
                  <c:v>0.38181818181818183</c:v>
                </c:pt>
                <c:pt idx="2">
                  <c:v>0.41134031094400975</c:v>
                </c:pt>
                <c:pt idx="3">
                  <c:v>0.33537941464282539</c:v>
                </c:pt>
                <c:pt idx="4">
                  <c:v>0.29717123081552815</c:v>
                </c:pt>
                <c:pt idx="5">
                  <c:v>0.29517759168351143</c:v>
                </c:pt>
                <c:pt idx="6">
                  <c:v>0.41325414191934978</c:v>
                </c:pt>
                <c:pt idx="7">
                  <c:v>0.39774141715889288</c:v>
                </c:pt>
                <c:pt idx="8">
                  <c:v>0.46333349521635664</c:v>
                </c:pt>
                <c:pt idx="9">
                  <c:v>0.346123417721519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E-4CE1-9101-3CE720CCC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189712"/>
        <c:axId val="806190792"/>
      </c:barChart>
      <c:catAx>
        <c:axId val="80618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90792"/>
        <c:crosses val="autoZero"/>
        <c:auto val="1"/>
        <c:lblAlgn val="ctr"/>
        <c:lblOffset val="100"/>
        <c:noMultiLvlLbl val="0"/>
      </c:catAx>
      <c:valAx>
        <c:axId val="80619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8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'INCOME STATEMENT'!$A$13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'INCOME STATEMENT'!$B$6:$K$6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STATEMENT'!$B$13:$L$13</c:f>
              <c:numCache>
                <c:formatCode>0</c:formatCode>
                <c:ptCount val="11"/>
                <c:pt idx="0">
                  <c:v>4681507</c:v>
                </c:pt>
                <c:pt idx="1">
                  <c:v>5010000</c:v>
                </c:pt>
                <c:pt idx="2">
                  <c:v>6910000</c:v>
                </c:pt>
                <c:pt idx="3">
                  <c:v>9714000</c:v>
                </c:pt>
                <c:pt idx="4">
                  <c:v>11716000</c:v>
                </c:pt>
                <c:pt idx="5">
                  <c:v>10918000</c:v>
                </c:pt>
                <c:pt idx="6">
                  <c:v>16675000</c:v>
                </c:pt>
                <c:pt idx="7">
                  <c:v>26914000</c:v>
                </c:pt>
                <c:pt idx="8">
                  <c:v>26974000</c:v>
                </c:pt>
                <c:pt idx="9">
                  <c:v>60922000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9-484D-BBFE-056FE8F21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882496"/>
        <c:axId val="736883216"/>
      </c:lineChart>
      <c:catAx>
        <c:axId val="73688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83216"/>
        <c:crosses val="autoZero"/>
        <c:auto val="1"/>
        <c:lblAlgn val="ctr"/>
        <c:lblOffset val="100"/>
        <c:noMultiLvlLbl val="0"/>
      </c:catAx>
      <c:valAx>
        <c:axId val="73688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8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STATEMENT'!$A$15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STATEMENT'!$B$15:$L$15</c:f>
              <c:numCache>
                <c:formatCode>0</c:formatCode>
                <c:ptCount val="11"/>
                <c:pt idx="0">
                  <c:v>2599477</c:v>
                </c:pt>
                <c:pt idx="1">
                  <c:v>2811000</c:v>
                </c:pt>
                <c:pt idx="2">
                  <c:v>4063000</c:v>
                </c:pt>
                <c:pt idx="3">
                  <c:v>5822000</c:v>
                </c:pt>
                <c:pt idx="4">
                  <c:v>7171000</c:v>
                </c:pt>
                <c:pt idx="5">
                  <c:v>6768000</c:v>
                </c:pt>
                <c:pt idx="6">
                  <c:v>10396000</c:v>
                </c:pt>
                <c:pt idx="7">
                  <c:v>17475000</c:v>
                </c:pt>
                <c:pt idx="8">
                  <c:v>15356000</c:v>
                </c:pt>
                <c:pt idx="9">
                  <c:v>44301000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1-4EA6-B960-2222163A5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381776"/>
        <c:axId val="778381056"/>
      </c:barChart>
      <c:catAx>
        <c:axId val="77838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81056"/>
        <c:crosses val="autoZero"/>
        <c:auto val="1"/>
        <c:lblAlgn val="ctr"/>
        <c:lblOffset val="100"/>
        <c:noMultiLvlLbl val="0"/>
      </c:catAx>
      <c:valAx>
        <c:axId val="7783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8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STATEMENT'!$A$19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STATEMENT'!$B$19:$L$19</c:f>
              <c:numCache>
                <c:formatCode>0</c:formatCode>
                <c:ptCount val="11"/>
                <c:pt idx="0">
                  <c:v>758989</c:v>
                </c:pt>
                <c:pt idx="1">
                  <c:v>747000</c:v>
                </c:pt>
                <c:pt idx="2">
                  <c:v>1934000</c:v>
                </c:pt>
                <c:pt idx="3">
                  <c:v>3210000</c:v>
                </c:pt>
                <c:pt idx="4">
                  <c:v>3804000</c:v>
                </c:pt>
                <c:pt idx="5">
                  <c:v>2846000</c:v>
                </c:pt>
                <c:pt idx="6">
                  <c:v>4532000</c:v>
                </c:pt>
                <c:pt idx="7">
                  <c:v>10041000</c:v>
                </c:pt>
                <c:pt idx="8">
                  <c:v>4224000</c:v>
                </c:pt>
                <c:pt idx="9">
                  <c:v>32972000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8-4BC9-89D3-76D3AE708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168480"/>
        <c:axId val="778168840"/>
      </c:barChart>
      <c:catAx>
        <c:axId val="7781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68840"/>
        <c:crosses val="autoZero"/>
        <c:auto val="1"/>
        <c:lblAlgn val="ctr"/>
        <c:lblOffset val="100"/>
        <c:noMultiLvlLbl val="0"/>
      </c:catAx>
      <c:valAx>
        <c:axId val="77816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STATEMENT'!$A$24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STATEMENT'!$B$6:$K$6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STATEMENT'!$B$24:$K$24</c:f>
              <c:numCache>
                <c:formatCode>0</c:formatCode>
                <c:ptCount val="10"/>
                <c:pt idx="0">
                  <c:v>630587</c:v>
                </c:pt>
                <c:pt idx="1">
                  <c:v>614000</c:v>
                </c:pt>
                <c:pt idx="2">
                  <c:v>1666000</c:v>
                </c:pt>
                <c:pt idx="3">
                  <c:v>3047000</c:v>
                </c:pt>
                <c:pt idx="4">
                  <c:v>4141000</c:v>
                </c:pt>
                <c:pt idx="5">
                  <c:v>2796000</c:v>
                </c:pt>
                <c:pt idx="6">
                  <c:v>4332000</c:v>
                </c:pt>
                <c:pt idx="7">
                  <c:v>9752000</c:v>
                </c:pt>
                <c:pt idx="8">
                  <c:v>4368000</c:v>
                </c:pt>
                <c:pt idx="9">
                  <c:v>29760000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7-4341-883A-5169106CF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628464"/>
        <c:axId val="735624864"/>
      </c:barChart>
      <c:catAx>
        <c:axId val="73562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24864"/>
        <c:crosses val="autoZero"/>
        <c:auto val="1"/>
        <c:lblAlgn val="ctr"/>
        <c:lblOffset val="100"/>
        <c:tickMarkSkip val="1"/>
        <c:noMultiLvlLbl val="0"/>
      </c:catAx>
      <c:valAx>
        <c:axId val="73562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2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'INCOME STATEMENT'!$A$13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STATEMENT'!$B$13:$L$13</c:f>
              <c:numCache>
                <c:formatCode>0</c:formatCode>
                <c:ptCount val="11"/>
                <c:pt idx="0">
                  <c:v>4681507</c:v>
                </c:pt>
                <c:pt idx="1">
                  <c:v>5010000</c:v>
                </c:pt>
                <c:pt idx="2">
                  <c:v>6910000</c:v>
                </c:pt>
                <c:pt idx="3">
                  <c:v>9714000</c:v>
                </c:pt>
                <c:pt idx="4">
                  <c:v>11716000</c:v>
                </c:pt>
                <c:pt idx="5">
                  <c:v>10918000</c:v>
                </c:pt>
                <c:pt idx="6">
                  <c:v>16675000</c:v>
                </c:pt>
                <c:pt idx="7">
                  <c:v>26914000</c:v>
                </c:pt>
                <c:pt idx="8">
                  <c:v>26974000</c:v>
                </c:pt>
                <c:pt idx="9">
                  <c:v>60922000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A-4A7C-A980-63305320BB7C}"/>
            </c:ext>
          </c:extLst>
        </c:ser>
        <c:ser>
          <c:idx val="1"/>
          <c:order val="1"/>
          <c:tx>
            <c:strRef>
              <c:f>'INCOME STATEMENT'!$A$15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STATEMENT'!$B$15:$L$15</c:f>
              <c:numCache>
                <c:formatCode>0</c:formatCode>
                <c:ptCount val="11"/>
                <c:pt idx="0">
                  <c:v>2599477</c:v>
                </c:pt>
                <c:pt idx="1">
                  <c:v>2811000</c:v>
                </c:pt>
                <c:pt idx="2">
                  <c:v>4063000</c:v>
                </c:pt>
                <c:pt idx="3">
                  <c:v>5822000</c:v>
                </c:pt>
                <c:pt idx="4">
                  <c:v>7171000</c:v>
                </c:pt>
                <c:pt idx="5">
                  <c:v>6768000</c:v>
                </c:pt>
                <c:pt idx="6">
                  <c:v>10396000</c:v>
                </c:pt>
                <c:pt idx="7">
                  <c:v>17475000</c:v>
                </c:pt>
                <c:pt idx="8">
                  <c:v>15356000</c:v>
                </c:pt>
                <c:pt idx="9">
                  <c:v>44301000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A-4A7C-A980-63305320BB7C}"/>
            </c:ext>
          </c:extLst>
        </c:ser>
        <c:ser>
          <c:idx val="2"/>
          <c:order val="2"/>
          <c:tx>
            <c:strRef>
              <c:f>'INCOME STATEMENT'!$A$19</c:f>
              <c:strCache>
                <c:ptCount val="1"/>
                <c:pt idx="0">
                  <c:v>Operating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STATEMENT'!$B$19:$L$19</c:f>
              <c:numCache>
                <c:formatCode>0</c:formatCode>
                <c:ptCount val="11"/>
                <c:pt idx="0">
                  <c:v>758989</c:v>
                </c:pt>
                <c:pt idx="1">
                  <c:v>747000</c:v>
                </c:pt>
                <c:pt idx="2">
                  <c:v>1934000</c:v>
                </c:pt>
                <c:pt idx="3">
                  <c:v>3210000</c:v>
                </c:pt>
                <c:pt idx="4">
                  <c:v>3804000</c:v>
                </c:pt>
                <c:pt idx="5">
                  <c:v>2846000</c:v>
                </c:pt>
                <c:pt idx="6">
                  <c:v>4532000</c:v>
                </c:pt>
                <c:pt idx="7">
                  <c:v>10041000</c:v>
                </c:pt>
                <c:pt idx="8">
                  <c:v>4224000</c:v>
                </c:pt>
                <c:pt idx="9">
                  <c:v>32972000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5A-4A7C-A980-63305320BB7C}"/>
            </c:ext>
          </c:extLst>
        </c:ser>
        <c:ser>
          <c:idx val="3"/>
          <c:order val="3"/>
          <c:tx>
            <c:strRef>
              <c:f>'INCOME STATEMENT'!$A$24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'INCOME STATEMENT'!$B$24:$L$24</c:f>
              <c:numCache>
                <c:formatCode>0</c:formatCode>
                <c:ptCount val="11"/>
                <c:pt idx="0">
                  <c:v>630587</c:v>
                </c:pt>
                <c:pt idx="1">
                  <c:v>614000</c:v>
                </c:pt>
                <c:pt idx="2">
                  <c:v>1666000</c:v>
                </c:pt>
                <c:pt idx="3">
                  <c:v>3047000</c:v>
                </c:pt>
                <c:pt idx="4">
                  <c:v>4141000</c:v>
                </c:pt>
                <c:pt idx="5">
                  <c:v>2796000</c:v>
                </c:pt>
                <c:pt idx="6">
                  <c:v>4332000</c:v>
                </c:pt>
                <c:pt idx="7">
                  <c:v>9752000</c:v>
                </c:pt>
                <c:pt idx="8">
                  <c:v>4368000</c:v>
                </c:pt>
                <c:pt idx="9">
                  <c:v>29760000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5A-4A7C-A980-63305320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725096"/>
        <c:axId val="721722216"/>
      </c:lineChart>
      <c:catAx>
        <c:axId val="72172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22216"/>
        <c:crosses val="autoZero"/>
        <c:auto val="1"/>
        <c:lblAlgn val="ctr"/>
        <c:lblOffset val="100"/>
        <c:noMultiLvlLbl val="0"/>
      </c:catAx>
      <c:valAx>
        <c:axId val="72172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25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 c'!$A$16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 c'!$B$2:$K$2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 c'!$B$16:$K$16</c:f>
              <c:numCache>
                <c:formatCode>0%</c:formatCode>
                <c:ptCount val="10"/>
                <c:pt idx="0">
                  <c:v>0.13469743823943872</c:v>
                </c:pt>
                <c:pt idx="1">
                  <c:v>0.12255489021956088</c:v>
                </c:pt>
                <c:pt idx="2">
                  <c:v>0.24109985528219971</c:v>
                </c:pt>
                <c:pt idx="3">
                  <c:v>0.3136709903232448</c:v>
                </c:pt>
                <c:pt idx="4">
                  <c:v>0.35344827586206895</c:v>
                </c:pt>
                <c:pt idx="5">
                  <c:v>0.25609085913170909</c:v>
                </c:pt>
                <c:pt idx="6">
                  <c:v>0.25979010494752625</c:v>
                </c:pt>
                <c:pt idx="7">
                  <c:v>0.36233930296499961</c:v>
                </c:pt>
                <c:pt idx="8">
                  <c:v>0.16193371394676356</c:v>
                </c:pt>
                <c:pt idx="9">
                  <c:v>0.4884934834706674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B-47E1-80ED-1A4E0F172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911616"/>
        <c:axId val="8049083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'Income statement c'!$B$3</c15:sqref>
                        </c15:formulaRef>
                      </c:ext>
                    </c:extLst>
                    <c:strCache>
                      <c:ptCount val="1"/>
                      <c:pt idx="0">
                        <c:v>01/25/2015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'Income statement c'!$B$2:$K$2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'Income statement c'!$C$3:$K$3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68B-47E1-80ED-1A4E0F172F29}"/>
                  </c:ext>
                </c:extLst>
              </c15:ser>
            </c15:filteredBarSeries>
          </c:ext>
        </c:extLst>
      </c:barChart>
      <c:catAx>
        <c:axId val="80491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08376"/>
        <c:crosses val="autoZero"/>
        <c:auto val="1"/>
        <c:lblAlgn val="ctr"/>
        <c:lblOffset val="100"/>
        <c:noMultiLvlLbl val="0"/>
      </c:catAx>
      <c:valAx>
        <c:axId val="80490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1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 c'!$A$6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 c'!$B$2:$K$2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 c'!$B$6:$K$6</c:f>
              <c:numCache>
                <c:formatCode>0%</c:formatCode>
                <c:ptCount val="10"/>
                <c:pt idx="0">
                  <c:v>0.55526500334187257</c:v>
                </c:pt>
                <c:pt idx="1">
                  <c:v>0.56107784431137719</c:v>
                </c:pt>
                <c:pt idx="2">
                  <c:v>0.58798842257597683</c:v>
                </c:pt>
                <c:pt idx="3">
                  <c:v>0.59934115709285563</c:v>
                </c:pt>
                <c:pt idx="4">
                  <c:v>0.61206896551724133</c:v>
                </c:pt>
                <c:pt idx="5">
                  <c:v>0.61989375343469499</c:v>
                </c:pt>
                <c:pt idx="6">
                  <c:v>0.62344827586206897</c:v>
                </c:pt>
                <c:pt idx="7">
                  <c:v>0.64929033216913135</c:v>
                </c:pt>
                <c:pt idx="8">
                  <c:v>0.56928894490991322</c:v>
                </c:pt>
                <c:pt idx="9">
                  <c:v>0.72717573290436954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8-4EBE-9B16-A80B3F8F8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429384"/>
        <c:axId val="713435144"/>
      </c:barChart>
      <c:catAx>
        <c:axId val="71342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35144"/>
        <c:crosses val="autoZero"/>
        <c:auto val="1"/>
        <c:lblAlgn val="ctr"/>
        <c:lblOffset val="100"/>
        <c:noMultiLvlLbl val="0"/>
      </c:catAx>
      <c:valAx>
        <c:axId val="71343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29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 c'!$A$5</c:f>
              <c:strCache>
                <c:ptCount val="1"/>
                <c:pt idx="0">
                  <c:v>Direct Costs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'Income statement c'!$B$2:$K$2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 c'!$B$5:$K$5</c:f>
              <c:numCache>
                <c:formatCode>0%</c:formatCode>
                <c:ptCount val="10"/>
                <c:pt idx="0">
                  <c:v>0.44473499665812738</c:v>
                </c:pt>
                <c:pt idx="1">
                  <c:v>0.43892215568862275</c:v>
                </c:pt>
                <c:pt idx="2">
                  <c:v>0.41201157742402317</c:v>
                </c:pt>
                <c:pt idx="3">
                  <c:v>0.40065884290714432</c:v>
                </c:pt>
                <c:pt idx="4">
                  <c:v>0.38793103448275862</c:v>
                </c:pt>
                <c:pt idx="5">
                  <c:v>0.38010624656530501</c:v>
                </c:pt>
                <c:pt idx="6">
                  <c:v>0.37655172413793103</c:v>
                </c:pt>
                <c:pt idx="7">
                  <c:v>0.35070966783086871</c:v>
                </c:pt>
                <c:pt idx="8">
                  <c:v>0.43071105509008673</c:v>
                </c:pt>
                <c:pt idx="9">
                  <c:v>0.27282426709563046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6-41D4-823F-38DF7ACF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432984"/>
        <c:axId val="713431544"/>
      </c:barChart>
      <c:catAx>
        <c:axId val="713432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31544"/>
        <c:crosses val="autoZero"/>
        <c:auto val="1"/>
        <c:lblAlgn val="ctr"/>
        <c:lblOffset val="100"/>
        <c:noMultiLvlLbl val="0"/>
      </c:catAx>
      <c:valAx>
        <c:axId val="71343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3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 c'!$A$6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'Income statement c'!$B$6:$K$6</c:f>
              <c:numCache>
                <c:formatCode>0%</c:formatCode>
                <c:ptCount val="10"/>
                <c:pt idx="0">
                  <c:v>0.55526500334187257</c:v>
                </c:pt>
                <c:pt idx="1">
                  <c:v>0.56107784431137719</c:v>
                </c:pt>
                <c:pt idx="2">
                  <c:v>0.58798842257597683</c:v>
                </c:pt>
                <c:pt idx="3">
                  <c:v>0.59934115709285563</c:v>
                </c:pt>
                <c:pt idx="4">
                  <c:v>0.61206896551724133</c:v>
                </c:pt>
                <c:pt idx="5">
                  <c:v>0.61989375343469499</c:v>
                </c:pt>
                <c:pt idx="6">
                  <c:v>0.62344827586206897</c:v>
                </c:pt>
                <c:pt idx="7">
                  <c:v>0.64929033216913135</c:v>
                </c:pt>
                <c:pt idx="8">
                  <c:v>0.56928894490991322</c:v>
                </c:pt>
                <c:pt idx="9">
                  <c:v>0.72717573290436954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8-4C95-B72B-796DE3B5829D}"/>
            </c:ext>
          </c:extLst>
        </c:ser>
        <c:ser>
          <c:idx val="1"/>
          <c:order val="1"/>
          <c:tx>
            <c:strRef>
              <c:f>'Income statement c'!$A$11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'Income statement c'!$B$11:$K$11</c:f>
              <c:numCache>
                <c:formatCode>0%</c:formatCode>
                <c:ptCount val="10"/>
                <c:pt idx="0">
                  <c:v>0.16212493113862694</c:v>
                </c:pt>
                <c:pt idx="1">
                  <c:v>0.14910179640718563</c:v>
                </c:pt>
                <c:pt idx="2">
                  <c:v>0.27988422575976846</c:v>
                </c:pt>
                <c:pt idx="3">
                  <c:v>0.33045089561457691</c:v>
                </c:pt>
                <c:pt idx="4">
                  <c:v>0.32468419255718678</c:v>
                </c:pt>
                <c:pt idx="5">
                  <c:v>0.2606704524638212</c:v>
                </c:pt>
                <c:pt idx="6">
                  <c:v>0.27178410794602698</c:v>
                </c:pt>
                <c:pt idx="7">
                  <c:v>0.37307720888756779</c:v>
                </c:pt>
                <c:pt idx="8">
                  <c:v>0.1565952398606065</c:v>
                </c:pt>
                <c:pt idx="9">
                  <c:v>0.54121663766783756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8-4C95-B72B-796DE3B5829D}"/>
            </c:ext>
          </c:extLst>
        </c:ser>
        <c:ser>
          <c:idx val="2"/>
          <c:order val="2"/>
          <c:tx>
            <c:strRef>
              <c:f>'Income statement c'!$A$16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'Income statement c'!$B$16:$K$16</c:f>
              <c:numCache>
                <c:formatCode>0%</c:formatCode>
                <c:ptCount val="10"/>
                <c:pt idx="0">
                  <c:v>0.13469743823943872</c:v>
                </c:pt>
                <c:pt idx="1">
                  <c:v>0.12255489021956088</c:v>
                </c:pt>
                <c:pt idx="2">
                  <c:v>0.24109985528219971</c:v>
                </c:pt>
                <c:pt idx="3">
                  <c:v>0.3136709903232448</c:v>
                </c:pt>
                <c:pt idx="4">
                  <c:v>0.35344827586206895</c:v>
                </c:pt>
                <c:pt idx="5">
                  <c:v>0.25609085913170909</c:v>
                </c:pt>
                <c:pt idx="6">
                  <c:v>0.25979010494752625</c:v>
                </c:pt>
                <c:pt idx="7">
                  <c:v>0.36233930296499961</c:v>
                </c:pt>
                <c:pt idx="8">
                  <c:v>0.16193371394676356</c:v>
                </c:pt>
                <c:pt idx="9">
                  <c:v>0.4884934834706674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8-4C95-B72B-796DE3B58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706376"/>
        <c:axId val="721712136"/>
      </c:barChart>
      <c:catAx>
        <c:axId val="721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12136"/>
        <c:crosses val="autoZero"/>
        <c:auto val="1"/>
        <c:lblAlgn val="ctr"/>
        <c:lblOffset val="100"/>
        <c:noMultiLvlLbl val="0"/>
      </c:catAx>
      <c:valAx>
        <c:axId val="72171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comparision!$A$5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comparision!$B$1:$E$4</c15:sqref>
                  </c15:fullRef>
                  <c15:levelRef>
                    <c15:sqref>comparision!$B$1:$E$1</c15:sqref>
                  </c15:levelRef>
                </c:ext>
              </c:extLst>
              <c:f>comparision!$B$1:$E$1</c:f>
              <c:strCache>
                <c:ptCount val="4"/>
                <c:pt idx="0">
                  <c:v>NVDA</c:v>
                </c:pt>
                <c:pt idx="1">
                  <c:v>AMD</c:v>
                </c:pt>
                <c:pt idx="2">
                  <c:v>INTC</c:v>
                </c:pt>
                <c:pt idx="3">
                  <c:v>QCOM</c:v>
                </c:pt>
              </c:strCache>
            </c:strRef>
          </c:cat>
          <c:val>
            <c:numRef>
              <c:f>comparision!$B$5:$E$5</c:f>
              <c:numCache>
                <c:formatCode>0.00%</c:formatCode>
                <c:ptCount val="4"/>
                <c:pt idx="0">
                  <c:v>0.75860000000000005</c:v>
                </c:pt>
                <c:pt idx="1">
                  <c:v>0.48380000000000001</c:v>
                </c:pt>
                <c:pt idx="2">
                  <c:v>0.34670000000000001</c:v>
                </c:pt>
                <c:pt idx="3">
                  <c:v>0.56210000000000004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0-4EAF-86F6-9EB9F083469B}"/>
            </c:ext>
          </c:extLst>
        </c:ser>
        <c:ser>
          <c:idx val="1"/>
          <c:order val="1"/>
          <c:tx>
            <c:strRef>
              <c:f>comparision!$A$6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comparision!$B$1:$E$4</c15:sqref>
                  </c15:fullRef>
                  <c15:levelRef>
                    <c15:sqref>comparision!$B$1:$E$1</c15:sqref>
                  </c15:levelRef>
                </c:ext>
              </c:extLst>
              <c:f>comparision!$B$1:$E$1</c:f>
              <c:strCache>
                <c:ptCount val="4"/>
                <c:pt idx="0">
                  <c:v>NVDA</c:v>
                </c:pt>
                <c:pt idx="1">
                  <c:v>AMD</c:v>
                </c:pt>
                <c:pt idx="2">
                  <c:v>INTC</c:v>
                </c:pt>
                <c:pt idx="3">
                  <c:v>QCOM</c:v>
                </c:pt>
              </c:strCache>
            </c:strRef>
          </c:cat>
          <c:val>
            <c:numRef>
              <c:f>comparision!$B$6:$E$6</c:f>
              <c:numCache>
                <c:formatCode>0.00%</c:formatCode>
                <c:ptCount val="4"/>
                <c:pt idx="0">
                  <c:v>0.55689999999999995</c:v>
                </c:pt>
                <c:pt idx="1">
                  <c:v>7.5200000000000003E-2</c:v>
                </c:pt>
                <c:pt idx="2">
                  <c:v>-0.29420000000000002</c:v>
                </c:pt>
                <c:pt idx="3">
                  <c:v>0.26029999999999998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0-4EAF-86F6-9EB9F0834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796016"/>
        <c:axId val="1023793496"/>
      </c:barChart>
      <c:catAx>
        <c:axId val="102379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93496"/>
        <c:crosses val="autoZero"/>
        <c:auto val="1"/>
        <c:lblAlgn val="ctr"/>
        <c:lblOffset val="100"/>
        <c:noMultiLvlLbl val="0"/>
      </c:catAx>
      <c:valAx>
        <c:axId val="102379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9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BB7B9551-4D2C-4A19-A6A4-458CE95EA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  <xdr:twoCellAnchor>
    <xdr:from>
      <xdr:col>1</xdr:col>
      <xdr:colOff>238125</xdr:colOff>
      <xdr:row>40</xdr:row>
      <xdr:rowOff>138112</xdr:rowOff>
    </xdr:from>
    <xdr:to>
      <xdr:col>5</xdr:col>
      <xdr:colOff>47625</xdr:colOff>
      <xdr:row>57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C5A9B7-572E-3DE4-1DD1-54021AF36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238125</xdr:colOff>
      <xdr:row>40</xdr:row>
      <xdr:rowOff>185737</xdr:rowOff>
    </xdr:from>
    <xdr:to>
      <xdr:col>8</xdr:col>
      <xdr:colOff>1066800</xdr:colOff>
      <xdr:row>57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C32E87-8292-BEC2-3B33-8F6AFE292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41</xdr:row>
      <xdr:rowOff>4762</xdr:rowOff>
    </xdr:from>
    <xdr:to>
      <xdr:col>13</xdr:col>
      <xdr:colOff>390525</xdr:colOff>
      <xdr:row>57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7F1153-1CD8-633F-9C9D-E5520E7D5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228600</xdr:colOff>
      <xdr:row>58</xdr:row>
      <xdr:rowOff>4762</xdr:rowOff>
    </xdr:from>
    <xdr:to>
      <xdr:col>5</xdr:col>
      <xdr:colOff>38100</xdr:colOff>
      <xdr:row>74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F7750B-1209-2EC4-9EF5-FBA7B7B7E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314325</xdr:colOff>
      <xdr:row>58</xdr:row>
      <xdr:rowOff>109537</xdr:rowOff>
    </xdr:from>
    <xdr:to>
      <xdr:col>8</xdr:col>
      <xdr:colOff>1143000</xdr:colOff>
      <xdr:row>75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C7ECAF-6719-BE09-81B4-6719D723A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323850</xdr:colOff>
      <xdr:row>0</xdr:row>
      <xdr:rowOff>185737</xdr:rowOff>
    </xdr:from>
    <xdr:to>
      <xdr:col>21</xdr:col>
      <xdr:colOff>19050</xdr:colOff>
      <xdr:row>15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724B9-3F57-21C3-E919-C02B6D4E0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76200</xdr:colOff>
      <xdr:row>14</xdr:row>
      <xdr:rowOff>157162</xdr:rowOff>
    </xdr:from>
    <xdr:to>
      <xdr:col>13</xdr:col>
      <xdr:colOff>95250</xdr:colOff>
      <xdr:row>29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1CA049-B1F8-AF7E-9E8E-7ACBE5CE5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342900</xdr:colOff>
      <xdr:row>16</xdr:row>
      <xdr:rowOff>52387</xdr:rowOff>
    </xdr:from>
    <xdr:to>
      <xdr:col>21</xdr:col>
      <xdr:colOff>38100</xdr:colOff>
      <xdr:row>30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4350C3-F70F-8EA3-DC59-1FF052CB2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88642392-BC79-4B96-B93A-2B8676075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  <xdr:twoCellAnchor>
    <xdr:from>
      <xdr:col>0</xdr:col>
      <xdr:colOff>2314575</xdr:colOff>
      <xdr:row>32</xdr:row>
      <xdr:rowOff>109537</xdr:rowOff>
    </xdr:from>
    <xdr:to>
      <xdr:col>5</xdr:col>
      <xdr:colOff>352425</xdr:colOff>
      <xdr:row>46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148932-233A-8643-EA74-2E23798A3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657225</xdr:colOff>
      <xdr:row>32</xdr:row>
      <xdr:rowOff>109537</xdr:rowOff>
    </xdr:from>
    <xdr:to>
      <xdr:col>11</xdr:col>
      <xdr:colOff>428625</xdr:colOff>
      <xdr:row>46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ED4178-6FFC-892A-AC79-BFE58587B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2314575</xdr:colOff>
      <xdr:row>47</xdr:row>
      <xdr:rowOff>138112</xdr:rowOff>
    </xdr:from>
    <xdr:to>
      <xdr:col>5</xdr:col>
      <xdr:colOff>352425</xdr:colOff>
      <xdr:row>62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73B3C3-7EC9-3ED4-F91F-7A8746313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619125</xdr:colOff>
      <xdr:row>27</xdr:row>
      <xdr:rowOff>14287</xdr:rowOff>
    </xdr:from>
    <xdr:to>
      <xdr:col>17</xdr:col>
      <xdr:colOff>390525</xdr:colOff>
      <xdr:row>41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7112A8-9649-60C1-F1F2-8641E805E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590550</xdr:colOff>
      <xdr:row>11</xdr:row>
      <xdr:rowOff>33337</xdr:rowOff>
    </xdr:from>
    <xdr:to>
      <xdr:col>17</xdr:col>
      <xdr:colOff>361950</xdr:colOff>
      <xdr:row>25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91D3B4-0DDC-D0C3-A5D3-9F722B50E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18</xdr:row>
      <xdr:rowOff>52387</xdr:rowOff>
    </xdr:from>
    <xdr:to>
      <xdr:col>5</xdr:col>
      <xdr:colOff>133350</xdr:colOff>
      <xdr:row>32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5C51C0-E896-6273-1A2A-E51D418A9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18</xdr:row>
      <xdr:rowOff>52387</xdr:rowOff>
    </xdr:from>
    <xdr:to>
      <xdr:col>11</xdr:col>
      <xdr:colOff>447675</xdr:colOff>
      <xdr:row>32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AD2878-54E9-665E-1CCD-871E4D3D3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581025</xdr:colOff>
      <xdr:row>18</xdr:row>
      <xdr:rowOff>42862</xdr:rowOff>
    </xdr:from>
    <xdr:to>
      <xdr:col>19</xdr:col>
      <xdr:colOff>276225</xdr:colOff>
      <xdr:row>32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154B7D-847E-69A7-51D7-0A01C729C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523875</xdr:colOff>
      <xdr:row>1</xdr:row>
      <xdr:rowOff>119062</xdr:rowOff>
    </xdr:from>
    <xdr:to>
      <xdr:col>19</xdr:col>
      <xdr:colOff>219075</xdr:colOff>
      <xdr:row>16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CCBF9B-A20D-4859-5017-78E8E56F7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A56B6423-4B75-4DA9-8298-B1F12A30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</xdr:row>
      <xdr:rowOff>4762</xdr:rowOff>
    </xdr:from>
    <xdr:to>
      <xdr:col>13</xdr:col>
      <xdr:colOff>171450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5909E-1B0E-0317-EF54-2985DE5CD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E681C8CB-72D0-478A-882B-277B5602C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DDCDE5C4-AF6C-4018-8380-AE4F6F604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0F6AB8EB-1514-4E09-8A5C-9F5725BCC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250" cy="4762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71575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673D2499-8272-49D6-A7F3-2F99C2DAA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1575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45FE-D9AE-4373-B691-9A9FDB6D8C3E}">
  <dimension ref="A4:L40"/>
  <sheetViews>
    <sheetView topLeftCell="A32" zoomScale="85" zoomScaleNormal="85" workbookViewId="0">
      <selection activeCell="A41" sqref="A41"/>
    </sheetView>
  </sheetViews>
  <sheetFormatPr defaultRowHeight="15" x14ac:dyDescent="0.25"/>
  <cols>
    <col min="1" max="1" width="34.85546875" bestFit="1" customWidth="1"/>
    <col min="2" max="2" width="16.7109375" bestFit="1" customWidth="1"/>
    <col min="3" max="4" width="18" bestFit="1" customWidth="1"/>
    <col min="5" max="10" width="18.7109375" bestFit="1" customWidth="1"/>
    <col min="11" max="11" width="20.140625" bestFit="1" customWidth="1"/>
    <col min="12" max="191" width="12" customWidth="1"/>
  </cols>
  <sheetData>
    <row r="4" spans="1:12" x14ac:dyDescent="0.25">
      <c r="A4" s="8" t="s">
        <v>52</v>
      </c>
    </row>
    <row r="5" spans="1:12" ht="20.25" x14ac:dyDescent="0.3">
      <c r="A5" s="7" t="s">
        <v>51</v>
      </c>
    </row>
    <row r="6" spans="1:12" x14ac:dyDescent="0.25">
      <c r="A6" s="6" t="s">
        <v>50</v>
      </c>
      <c r="B6" s="27">
        <v>2015</v>
      </c>
      <c r="C6" s="27">
        <v>2016</v>
      </c>
      <c r="D6" s="27">
        <v>2017</v>
      </c>
      <c r="E6" s="27">
        <v>2018</v>
      </c>
      <c r="F6" s="27">
        <v>2019</v>
      </c>
      <c r="G6" s="27">
        <v>2020</v>
      </c>
      <c r="H6" s="27">
        <v>2021</v>
      </c>
      <c r="I6" s="27">
        <v>2022</v>
      </c>
      <c r="J6" s="27">
        <v>2023</v>
      </c>
      <c r="K6" s="27">
        <v>2024</v>
      </c>
    </row>
    <row r="7" spans="1:12" x14ac:dyDescent="0.25">
      <c r="A7" s="4" t="s">
        <v>49</v>
      </c>
      <c r="B7" s="5" t="s">
        <v>48</v>
      </c>
      <c r="C7" s="5" t="s">
        <v>47</v>
      </c>
      <c r="D7" s="5" t="s">
        <v>46</v>
      </c>
      <c r="E7" s="5" t="s">
        <v>45</v>
      </c>
      <c r="F7" s="5" t="s">
        <v>44</v>
      </c>
      <c r="G7" s="5" t="s">
        <v>43</v>
      </c>
      <c r="H7" s="5" t="s">
        <v>42</v>
      </c>
      <c r="I7" s="5" t="s">
        <v>41</v>
      </c>
      <c r="J7" s="5" t="s">
        <v>40</v>
      </c>
      <c r="K7" s="5" t="s">
        <v>39</v>
      </c>
      <c r="L7" s="4"/>
    </row>
    <row r="8" spans="1:12" x14ac:dyDescent="0.25">
      <c r="A8" s="4" t="s">
        <v>38</v>
      </c>
      <c r="B8" s="5" t="s">
        <v>37</v>
      </c>
      <c r="C8" s="5" t="s">
        <v>37</v>
      </c>
      <c r="D8" s="5" t="s">
        <v>37</v>
      </c>
      <c r="E8" s="5" t="s">
        <v>37</v>
      </c>
      <c r="F8" s="5" t="s">
        <v>37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37</v>
      </c>
      <c r="L8" s="4"/>
    </row>
    <row r="9" spans="1:12" x14ac:dyDescent="0.25">
      <c r="A9" s="4" t="s">
        <v>34</v>
      </c>
      <c r="B9" s="5" t="s">
        <v>33</v>
      </c>
      <c r="C9" s="5" t="s">
        <v>33</v>
      </c>
      <c r="D9" s="5" t="s">
        <v>33</v>
      </c>
      <c r="E9" s="5" t="s">
        <v>33</v>
      </c>
      <c r="F9" s="5" t="s">
        <v>33</v>
      </c>
      <c r="G9" s="5" t="s">
        <v>33</v>
      </c>
      <c r="H9" s="5" t="s">
        <v>33</v>
      </c>
      <c r="I9" s="5" t="s">
        <v>33</v>
      </c>
      <c r="J9" s="5" t="s">
        <v>33</v>
      </c>
      <c r="K9" s="5" t="s">
        <v>33</v>
      </c>
      <c r="L9" s="4"/>
    </row>
    <row r="10" spans="1:12" ht="25.5" x14ac:dyDescent="0.25">
      <c r="A10" s="4" t="s">
        <v>32</v>
      </c>
      <c r="B10" s="5" t="s">
        <v>31</v>
      </c>
      <c r="C10" s="5" t="s">
        <v>31</v>
      </c>
      <c r="D10" s="5" t="s">
        <v>31</v>
      </c>
      <c r="E10" s="5" t="s">
        <v>31</v>
      </c>
      <c r="F10" s="5" t="s">
        <v>31</v>
      </c>
      <c r="G10" s="5" t="s">
        <v>31</v>
      </c>
      <c r="H10" s="5" t="s">
        <v>31</v>
      </c>
      <c r="I10" s="5" t="s">
        <v>31</v>
      </c>
      <c r="J10" s="5" t="s">
        <v>31</v>
      </c>
      <c r="K10" s="5" t="s">
        <v>31</v>
      </c>
      <c r="L10" s="4"/>
    </row>
    <row r="11" spans="1:12" ht="12.75" x14ac:dyDescent="0.2">
      <c r="A11" s="1" t="s">
        <v>30</v>
      </c>
      <c r="B11" s="21">
        <v>496654</v>
      </c>
      <c r="C11" s="21">
        <v>596000</v>
      </c>
      <c r="D11" s="21">
        <v>1766000</v>
      </c>
      <c r="E11" s="21">
        <v>4002000</v>
      </c>
      <c r="F11" s="21">
        <v>782000</v>
      </c>
      <c r="G11" s="21">
        <v>10896000</v>
      </c>
      <c r="H11" s="21">
        <v>847000</v>
      </c>
      <c r="I11" s="21">
        <v>1990000</v>
      </c>
      <c r="J11" s="21">
        <v>3389000</v>
      </c>
      <c r="K11" s="21">
        <v>7280000</v>
      </c>
      <c r="L11" s="1"/>
    </row>
    <row r="12" spans="1:12" ht="12.75" x14ac:dyDescent="0.2">
      <c r="A12" s="1" t="s">
        <v>29</v>
      </c>
      <c r="B12" s="21">
        <v>4126685</v>
      </c>
      <c r="C12" s="21">
        <v>4441000</v>
      </c>
      <c r="D12" s="21">
        <v>5032000</v>
      </c>
      <c r="E12" s="21">
        <v>3106000</v>
      </c>
      <c r="F12" s="21">
        <v>6640000</v>
      </c>
      <c r="G12" s="21">
        <v>1000</v>
      </c>
      <c r="H12" s="21">
        <v>10714000</v>
      </c>
      <c r="I12" s="21">
        <v>19218000</v>
      </c>
      <c r="J12" s="21">
        <v>9907000</v>
      </c>
      <c r="K12" s="21">
        <v>18704000</v>
      </c>
      <c r="L12" s="1"/>
    </row>
    <row r="13" spans="1:12" ht="12.75" x14ac:dyDescent="0.2">
      <c r="A13" s="1" t="s">
        <v>28</v>
      </c>
      <c r="B13" s="21">
        <v>4623339</v>
      </c>
      <c r="C13" s="21">
        <v>5037000</v>
      </c>
      <c r="D13" s="21">
        <v>6798000</v>
      </c>
      <c r="E13" s="21">
        <v>7108000</v>
      </c>
      <c r="F13" s="21">
        <v>7422000</v>
      </c>
      <c r="G13" s="21">
        <v>10897000</v>
      </c>
      <c r="H13" s="21">
        <v>11561000</v>
      </c>
      <c r="I13" s="21">
        <v>21208000</v>
      </c>
      <c r="J13" s="21">
        <v>13296000</v>
      </c>
      <c r="K13" s="21">
        <v>25984000</v>
      </c>
      <c r="L13" s="1"/>
    </row>
    <row r="14" spans="1:12" ht="12.75" x14ac:dyDescent="0.2">
      <c r="A14" s="1" t="s">
        <v>27</v>
      </c>
      <c r="B14" s="21">
        <v>473637</v>
      </c>
      <c r="C14" s="21">
        <v>505000</v>
      </c>
      <c r="D14" s="21">
        <v>826000</v>
      </c>
      <c r="E14" s="21">
        <v>1265000</v>
      </c>
      <c r="F14" s="21">
        <v>1424000</v>
      </c>
      <c r="G14" s="21">
        <v>1657000</v>
      </c>
      <c r="H14" s="21">
        <v>2429000</v>
      </c>
      <c r="I14" s="21">
        <v>4650000</v>
      </c>
      <c r="J14" s="21">
        <v>3827000</v>
      </c>
      <c r="K14" s="21">
        <v>9999000</v>
      </c>
      <c r="L14" s="1"/>
    </row>
    <row r="15" spans="1:12" ht="12.75" x14ac:dyDescent="0.2">
      <c r="A15" s="1" t="s">
        <v>26</v>
      </c>
      <c r="B15" s="21">
        <v>482893</v>
      </c>
      <c r="C15" s="21">
        <v>418000</v>
      </c>
      <c r="D15" s="21">
        <v>794000</v>
      </c>
      <c r="E15" s="21">
        <v>796000</v>
      </c>
      <c r="F15" s="21">
        <v>1575000</v>
      </c>
      <c r="G15" s="21">
        <v>979000</v>
      </c>
      <c r="H15" s="21">
        <v>1826000</v>
      </c>
      <c r="I15" s="21">
        <v>2605000</v>
      </c>
      <c r="J15" s="21">
        <v>5159000</v>
      </c>
      <c r="K15" s="21">
        <v>5282000</v>
      </c>
      <c r="L15" s="1"/>
    </row>
    <row r="16" spans="1:12" ht="12.75" x14ac:dyDescent="0.2">
      <c r="A16" s="1" t="s">
        <v>25</v>
      </c>
      <c r="B16" s="21">
        <v>70174</v>
      </c>
      <c r="C16" s="21">
        <v>93000</v>
      </c>
      <c r="D16" s="21">
        <v>118000</v>
      </c>
      <c r="E16" s="21">
        <v>86000</v>
      </c>
      <c r="F16" s="21">
        <v>136000</v>
      </c>
      <c r="G16" s="21">
        <v>157000</v>
      </c>
      <c r="H16" s="21">
        <v>239000</v>
      </c>
      <c r="I16" s="21">
        <v>366000</v>
      </c>
      <c r="J16" s="21">
        <v>791000</v>
      </c>
      <c r="K16" s="21">
        <v>3080000</v>
      </c>
      <c r="L16" s="1"/>
    </row>
    <row r="17" spans="1:12" s="25" customFormat="1" ht="15.75" x14ac:dyDescent="0.25">
      <c r="A17" s="23" t="s">
        <v>24</v>
      </c>
      <c r="B17" s="24">
        <v>5713297</v>
      </c>
      <c r="C17" s="24">
        <v>6053000</v>
      </c>
      <c r="D17" s="24">
        <v>8536000</v>
      </c>
      <c r="E17" s="24">
        <v>9255000</v>
      </c>
      <c r="F17" s="24">
        <v>10557000</v>
      </c>
      <c r="G17" s="24">
        <v>13690000</v>
      </c>
      <c r="H17" s="24">
        <v>16055000</v>
      </c>
      <c r="I17" s="24">
        <v>28829000</v>
      </c>
      <c r="J17" s="24">
        <v>23073000</v>
      </c>
      <c r="K17" s="24">
        <v>44345000</v>
      </c>
      <c r="L17" s="23"/>
    </row>
    <row r="18" spans="1:12" ht="12.75" x14ac:dyDescent="0.2">
      <c r="A18" s="1" t="s">
        <v>23</v>
      </c>
      <c r="B18" s="21">
        <v>1179257</v>
      </c>
      <c r="C18" s="21">
        <v>1100000</v>
      </c>
      <c r="D18" s="21">
        <v>1191000</v>
      </c>
      <c r="E18" s="21">
        <v>1737000</v>
      </c>
      <c r="F18" s="21">
        <v>2171000</v>
      </c>
      <c r="G18" s="21">
        <v>2685000</v>
      </c>
      <c r="H18" s="21">
        <v>3557000</v>
      </c>
      <c r="I18" s="21">
        <v>4681000</v>
      </c>
      <c r="J18" s="21">
        <v>6501000</v>
      </c>
      <c r="K18" s="21">
        <v>7423000</v>
      </c>
      <c r="L18" s="1"/>
    </row>
    <row r="19" spans="1:12" ht="12.75" x14ac:dyDescent="0.2">
      <c r="A19" s="1" t="s">
        <v>22</v>
      </c>
      <c r="B19" s="21">
        <v>621975</v>
      </c>
      <c r="C19" s="21">
        <v>634000</v>
      </c>
      <c r="D19" s="21">
        <v>670000</v>
      </c>
      <c r="E19" s="21">
        <v>740000</v>
      </c>
      <c r="F19" s="21">
        <v>767000</v>
      </c>
      <c r="G19" s="21">
        <v>1011000</v>
      </c>
      <c r="H19" s="21">
        <v>1408000</v>
      </c>
      <c r="I19" s="21">
        <v>1903000</v>
      </c>
      <c r="J19" s="21">
        <v>2694000</v>
      </c>
      <c r="K19" s="21">
        <v>3509000</v>
      </c>
      <c r="L19" s="1"/>
    </row>
    <row r="20" spans="1:12" ht="12.75" x14ac:dyDescent="0.2">
      <c r="A20" s="1" t="s">
        <v>21</v>
      </c>
      <c r="B20" s="21">
        <v>557282</v>
      </c>
      <c r="C20" s="21">
        <v>466000</v>
      </c>
      <c r="D20" s="21">
        <v>521000</v>
      </c>
      <c r="E20" s="21">
        <v>997000</v>
      </c>
      <c r="F20" s="21">
        <v>1404000</v>
      </c>
      <c r="G20" s="21">
        <v>1674000</v>
      </c>
      <c r="H20" s="21">
        <v>2149000</v>
      </c>
      <c r="I20" s="21">
        <v>2778000</v>
      </c>
      <c r="J20" s="21">
        <v>3807000</v>
      </c>
      <c r="K20" s="21">
        <v>3914000</v>
      </c>
      <c r="L20" s="1"/>
    </row>
    <row r="21" spans="1:12" ht="12.75" x14ac:dyDescent="0.2">
      <c r="A21" s="1" t="s">
        <v>20</v>
      </c>
      <c r="B21" s="21">
        <v>839893</v>
      </c>
      <c r="C21" s="21">
        <v>784000</v>
      </c>
      <c r="D21" s="21">
        <v>722000</v>
      </c>
      <c r="E21" s="21">
        <v>670000</v>
      </c>
      <c r="F21" s="21">
        <v>663000</v>
      </c>
      <c r="G21" s="21">
        <v>667000</v>
      </c>
      <c r="H21" s="21">
        <v>6930000</v>
      </c>
      <c r="I21" s="21">
        <v>6688000</v>
      </c>
      <c r="J21" s="21">
        <v>6048000</v>
      </c>
      <c r="K21" s="21">
        <v>5542000</v>
      </c>
      <c r="L21" s="1"/>
    </row>
    <row r="22" spans="1:12" ht="12.75" x14ac:dyDescent="0.2">
      <c r="A22" s="1" t="s">
        <v>19</v>
      </c>
      <c r="B22" s="21">
        <v>90896</v>
      </c>
      <c r="C22" s="21">
        <v>67000</v>
      </c>
      <c r="D22" s="21">
        <v>62000</v>
      </c>
      <c r="E22" s="21">
        <v>319000</v>
      </c>
      <c r="F22" s="21">
        <v>668000</v>
      </c>
      <c r="G22" s="21">
        <v>736000</v>
      </c>
      <c r="H22" s="21">
        <v>2851000</v>
      </c>
      <c r="I22" s="21">
        <v>2248000</v>
      </c>
      <c r="J22" s="21">
        <v>1183000</v>
      </c>
      <c r="K22" s="21">
        <v>5846000</v>
      </c>
      <c r="L22" s="1"/>
    </row>
    <row r="23" spans="1:12" s="11" customFormat="1" x14ac:dyDescent="0.25">
      <c r="A23" s="9" t="s">
        <v>18</v>
      </c>
      <c r="B23" s="26">
        <v>7201368</v>
      </c>
      <c r="C23" s="26">
        <v>7370000</v>
      </c>
      <c r="D23" s="26">
        <v>9841000</v>
      </c>
      <c r="E23" s="26">
        <v>11241000</v>
      </c>
      <c r="F23" s="26">
        <v>13292000</v>
      </c>
      <c r="G23" s="26">
        <v>17315000</v>
      </c>
      <c r="H23" s="26">
        <v>28791000</v>
      </c>
      <c r="I23" s="26">
        <v>44187000</v>
      </c>
      <c r="J23" s="26">
        <v>41182000</v>
      </c>
      <c r="K23" s="26">
        <v>65728000</v>
      </c>
      <c r="L23" s="9"/>
    </row>
    <row r="24" spans="1:12" ht="12.75" x14ac:dyDescent="0.2">
      <c r="A24" s="1" t="s">
        <v>17</v>
      </c>
      <c r="B24" s="21">
        <v>573315</v>
      </c>
      <c r="C24" s="21">
        <v>587000</v>
      </c>
      <c r="D24" s="21">
        <v>861000</v>
      </c>
      <c r="E24" s="21">
        <v>1008000</v>
      </c>
      <c r="F24" s="21">
        <v>1051000</v>
      </c>
      <c r="G24" s="21">
        <v>1334000</v>
      </c>
      <c r="H24" s="21">
        <v>2128000</v>
      </c>
      <c r="I24" s="21">
        <v>3192000</v>
      </c>
      <c r="J24" s="21">
        <v>2919000</v>
      </c>
      <c r="K24" s="21">
        <v>7496000</v>
      </c>
      <c r="L24" s="1"/>
    </row>
    <row r="25" spans="1:12" ht="12.75" x14ac:dyDescent="0.2">
      <c r="A25" s="1" t="s">
        <v>16</v>
      </c>
      <c r="B25" s="21">
        <v>293223</v>
      </c>
      <c r="C25" s="21">
        <v>296000</v>
      </c>
      <c r="D25" s="21">
        <v>485000</v>
      </c>
      <c r="E25" s="21">
        <v>596000</v>
      </c>
      <c r="F25" s="21">
        <v>511000</v>
      </c>
      <c r="G25" s="21">
        <v>687000</v>
      </c>
      <c r="H25" s="21">
        <v>1201000</v>
      </c>
      <c r="I25" s="21">
        <v>1783000</v>
      </c>
      <c r="J25" s="21">
        <v>1193000</v>
      </c>
      <c r="K25" s="21">
        <v>2699000</v>
      </c>
      <c r="L25" s="1"/>
    </row>
    <row r="26" spans="1:12" ht="12.75" x14ac:dyDescent="0.2">
      <c r="A26" s="1" t="s">
        <v>15</v>
      </c>
      <c r="B26" s="21">
        <v>280092</v>
      </c>
      <c r="C26" s="21">
        <v>291000</v>
      </c>
      <c r="D26" s="21">
        <v>376000</v>
      </c>
      <c r="E26" s="21">
        <v>412000</v>
      </c>
      <c r="F26" s="21">
        <v>540000</v>
      </c>
      <c r="G26" s="21">
        <v>647000</v>
      </c>
      <c r="H26" s="21">
        <v>927000</v>
      </c>
      <c r="I26" s="21">
        <v>1409000</v>
      </c>
      <c r="J26" s="21">
        <v>1726000</v>
      </c>
      <c r="K26" s="21">
        <v>4797000</v>
      </c>
      <c r="L26" s="1"/>
    </row>
    <row r="27" spans="1:12" ht="12.75" x14ac:dyDescent="0.2">
      <c r="A27" s="1" t="s">
        <v>14</v>
      </c>
      <c r="B27" s="22">
        <v>0</v>
      </c>
      <c r="C27" s="21">
        <v>1413000</v>
      </c>
      <c r="D27" s="21">
        <v>796000</v>
      </c>
      <c r="E27" s="21">
        <v>15000</v>
      </c>
      <c r="F27" s="22">
        <v>0</v>
      </c>
      <c r="G27" s="22">
        <v>0</v>
      </c>
      <c r="H27" s="21">
        <v>999000</v>
      </c>
      <c r="I27" s="22">
        <v>0</v>
      </c>
      <c r="J27" s="21">
        <v>1250000</v>
      </c>
      <c r="K27" s="21">
        <v>1250000</v>
      </c>
      <c r="L27" s="1"/>
    </row>
    <row r="28" spans="1:12" ht="12.75" x14ac:dyDescent="0.2">
      <c r="A28" s="1" t="s">
        <v>13</v>
      </c>
      <c r="B28" s="21">
        <v>322715</v>
      </c>
      <c r="C28" s="21">
        <v>351000</v>
      </c>
      <c r="D28" s="21">
        <v>131000</v>
      </c>
      <c r="E28" s="21">
        <v>130000</v>
      </c>
      <c r="F28" s="21">
        <v>278000</v>
      </c>
      <c r="G28" s="21">
        <v>450000</v>
      </c>
      <c r="H28" s="21">
        <v>798000</v>
      </c>
      <c r="I28" s="21">
        <v>1143000</v>
      </c>
      <c r="J28" s="21">
        <v>2394000</v>
      </c>
      <c r="K28" s="21">
        <v>1885000</v>
      </c>
      <c r="L28" s="1"/>
    </row>
    <row r="29" spans="1:12" s="25" customFormat="1" ht="15.75" x14ac:dyDescent="0.25">
      <c r="A29" s="23" t="s">
        <v>12</v>
      </c>
      <c r="B29" s="24">
        <v>896030</v>
      </c>
      <c r="C29" s="24">
        <v>2351000</v>
      </c>
      <c r="D29" s="24">
        <v>1788000</v>
      </c>
      <c r="E29" s="24">
        <v>1153000</v>
      </c>
      <c r="F29" s="24">
        <v>1329000</v>
      </c>
      <c r="G29" s="24">
        <v>1784000</v>
      </c>
      <c r="H29" s="24">
        <v>3925000</v>
      </c>
      <c r="I29" s="24">
        <v>4335000</v>
      </c>
      <c r="J29" s="24">
        <v>6563000</v>
      </c>
      <c r="K29" s="24">
        <v>10631000</v>
      </c>
      <c r="L29" s="23"/>
    </row>
    <row r="30" spans="1:12" ht="12.75" x14ac:dyDescent="0.2">
      <c r="A30" s="1" t="s">
        <v>11</v>
      </c>
      <c r="B30" s="21">
        <v>1398428</v>
      </c>
      <c r="C30" s="21">
        <v>10000</v>
      </c>
      <c r="D30" s="21">
        <v>1989000</v>
      </c>
      <c r="E30" s="21">
        <v>1985000</v>
      </c>
      <c r="F30" s="21">
        <v>1988000</v>
      </c>
      <c r="G30" s="21">
        <v>1991000</v>
      </c>
      <c r="H30" s="21">
        <v>5964000</v>
      </c>
      <c r="I30" s="21">
        <v>10946000</v>
      </c>
      <c r="J30" s="21">
        <v>9703000</v>
      </c>
      <c r="K30" s="21">
        <v>8459000</v>
      </c>
      <c r="L30" s="1"/>
    </row>
    <row r="31" spans="1:12" ht="12.75" x14ac:dyDescent="0.2">
      <c r="A31" s="1" t="s">
        <v>10</v>
      </c>
      <c r="B31" s="21">
        <v>340145</v>
      </c>
      <c r="C31" s="21">
        <v>345000</v>
      </c>
      <c r="D31" s="21">
        <v>145000</v>
      </c>
      <c r="E31" s="21">
        <v>33000</v>
      </c>
      <c r="F31" s="21">
        <v>65000</v>
      </c>
      <c r="G31" s="21">
        <v>89000</v>
      </c>
      <c r="H31" s="21">
        <v>404000</v>
      </c>
      <c r="I31" s="21">
        <v>447000</v>
      </c>
      <c r="J31" s="21">
        <v>465000</v>
      </c>
      <c r="K31" s="21">
        <v>1035000</v>
      </c>
      <c r="L31" s="1"/>
    </row>
    <row r="32" spans="1:12" ht="12.75" x14ac:dyDescent="0.2">
      <c r="A32" s="1" t="s">
        <v>9</v>
      </c>
      <c r="B32" s="21">
        <v>148783</v>
      </c>
      <c r="C32" s="21">
        <v>108000</v>
      </c>
      <c r="D32" s="21">
        <v>126000</v>
      </c>
      <c r="E32" s="21">
        <v>599000</v>
      </c>
      <c r="F32" s="21">
        <v>568000</v>
      </c>
      <c r="G32" s="21">
        <v>1247000</v>
      </c>
      <c r="H32" s="21">
        <v>1605000</v>
      </c>
      <c r="I32" s="21">
        <v>1847000</v>
      </c>
      <c r="J32" s="21">
        <v>2350000</v>
      </c>
      <c r="K32" s="21">
        <v>2625000</v>
      </c>
      <c r="L32" s="1"/>
    </row>
    <row r="33" spans="1:12" s="25" customFormat="1" ht="15.75" x14ac:dyDescent="0.25">
      <c r="A33" s="23" t="s">
        <v>8</v>
      </c>
      <c r="B33" s="24">
        <v>2783386</v>
      </c>
      <c r="C33" s="24">
        <v>2814000</v>
      </c>
      <c r="D33" s="24">
        <v>4048000</v>
      </c>
      <c r="E33" s="24">
        <v>3770000</v>
      </c>
      <c r="F33" s="24">
        <v>3950000</v>
      </c>
      <c r="G33" s="24">
        <v>5111000</v>
      </c>
      <c r="H33" s="24">
        <v>11898000</v>
      </c>
      <c r="I33" s="24">
        <v>17575000</v>
      </c>
      <c r="J33" s="24">
        <v>19081000</v>
      </c>
      <c r="K33" s="24">
        <v>22750000</v>
      </c>
      <c r="L33" s="23"/>
    </row>
    <row r="34" spans="1:12" ht="12.75" x14ac:dyDescent="0.2">
      <c r="A34" s="1" t="s">
        <v>7</v>
      </c>
      <c r="B34" s="21">
        <v>754</v>
      </c>
      <c r="C34" s="21">
        <v>1000</v>
      </c>
      <c r="D34" s="21">
        <v>1000</v>
      </c>
      <c r="E34" s="21">
        <v>1000</v>
      </c>
      <c r="F34" s="21">
        <v>1000</v>
      </c>
      <c r="G34" s="21">
        <v>1000</v>
      </c>
      <c r="H34" s="21">
        <v>1000</v>
      </c>
      <c r="I34" s="21">
        <v>3000</v>
      </c>
      <c r="J34" s="21">
        <v>2000</v>
      </c>
      <c r="K34" s="21">
        <v>2000</v>
      </c>
      <c r="L34" s="1"/>
    </row>
    <row r="35" spans="1:12" ht="12.75" x14ac:dyDescent="0.2">
      <c r="A35" s="1" t="s">
        <v>6</v>
      </c>
      <c r="B35" s="21">
        <v>3855092</v>
      </c>
      <c r="C35" s="21">
        <v>4170000</v>
      </c>
      <c r="D35" s="21">
        <v>4708000</v>
      </c>
      <c r="E35" s="21">
        <v>5351000</v>
      </c>
      <c r="F35" s="21">
        <v>6051000</v>
      </c>
      <c r="G35" s="21">
        <v>7045000</v>
      </c>
      <c r="H35" s="21">
        <v>8721000</v>
      </c>
      <c r="I35" s="21">
        <v>10385000</v>
      </c>
      <c r="J35" s="21">
        <v>11971000</v>
      </c>
      <c r="K35" s="21">
        <v>13132000</v>
      </c>
      <c r="L35" s="1"/>
    </row>
    <row r="36" spans="1:12" x14ac:dyDescent="0.25">
      <c r="A36" s="1" t="s">
        <v>5</v>
      </c>
      <c r="B36" s="21">
        <v>3948877</v>
      </c>
      <c r="C36" s="21">
        <v>4350000</v>
      </c>
      <c r="D36" s="21">
        <v>6108000</v>
      </c>
      <c r="E36" s="21">
        <v>8787000</v>
      </c>
      <c r="F36" s="21">
        <v>12565000</v>
      </c>
      <c r="G36" s="21">
        <v>14971000</v>
      </c>
      <c r="H36" s="21">
        <v>18908000</v>
      </c>
      <c r="I36" s="21">
        <v>16235000</v>
      </c>
      <c r="J36" s="21">
        <v>10171000</v>
      </c>
      <c r="K36" s="21">
        <v>29817000</v>
      </c>
      <c r="L36" s="1"/>
    </row>
    <row r="37" spans="1:12" x14ac:dyDescent="0.25">
      <c r="A37" s="1" t="s">
        <v>4</v>
      </c>
      <c r="B37" s="21">
        <v>7844</v>
      </c>
      <c r="C37" s="21">
        <v>-4000</v>
      </c>
      <c r="D37" s="21">
        <v>-16000</v>
      </c>
      <c r="E37" s="21">
        <v>-18000</v>
      </c>
      <c r="F37" s="21">
        <v>-12000</v>
      </c>
      <c r="G37" s="21">
        <v>1000</v>
      </c>
      <c r="H37" s="21">
        <v>19000</v>
      </c>
      <c r="I37" s="21">
        <v>-11000</v>
      </c>
      <c r="J37" s="21">
        <v>-43000</v>
      </c>
      <c r="K37" s="21">
        <v>27000</v>
      </c>
      <c r="L37" s="1"/>
    </row>
    <row r="38" spans="1:12" x14ac:dyDescent="0.25">
      <c r="A38" s="1" t="s">
        <v>3</v>
      </c>
      <c r="B38" s="21">
        <v>3394585</v>
      </c>
      <c r="C38" s="21">
        <v>4048000</v>
      </c>
      <c r="D38" s="21">
        <v>5039000</v>
      </c>
      <c r="E38" s="21">
        <v>6650000</v>
      </c>
      <c r="F38" s="21">
        <v>9263000</v>
      </c>
      <c r="G38" s="21">
        <v>9814000</v>
      </c>
      <c r="H38" s="21">
        <v>10756000</v>
      </c>
      <c r="I38" s="22">
        <v>0</v>
      </c>
      <c r="J38" s="22">
        <v>0</v>
      </c>
      <c r="K38" s="22">
        <v>0</v>
      </c>
      <c r="L38" s="1"/>
    </row>
    <row r="39" spans="1:12" s="25" customFormat="1" ht="15.75" x14ac:dyDescent="0.25">
      <c r="A39" s="23" t="s">
        <v>1</v>
      </c>
      <c r="B39" s="24">
        <v>4417982</v>
      </c>
      <c r="C39" s="24">
        <v>4556000</v>
      </c>
      <c r="D39" s="24">
        <v>5793000</v>
      </c>
      <c r="E39" s="24">
        <v>7471000</v>
      </c>
      <c r="F39" s="24">
        <v>9342000</v>
      </c>
      <c r="G39" s="24">
        <v>12204000</v>
      </c>
      <c r="H39" s="24">
        <v>16893000</v>
      </c>
      <c r="I39" s="24">
        <v>26612000</v>
      </c>
      <c r="J39" s="24">
        <v>22101000</v>
      </c>
      <c r="K39" s="24">
        <v>42978000</v>
      </c>
      <c r="L39" s="23"/>
    </row>
    <row r="40" spans="1:12" s="25" customFormat="1" ht="15.75" x14ac:dyDescent="0.25">
      <c r="A40" s="23" t="s">
        <v>0</v>
      </c>
      <c r="B40" s="24">
        <v>7201368</v>
      </c>
      <c r="C40" s="24">
        <v>7370000</v>
      </c>
      <c r="D40" s="24">
        <v>9841000</v>
      </c>
      <c r="E40" s="24">
        <v>11241000</v>
      </c>
      <c r="F40" s="24">
        <v>13292000</v>
      </c>
      <c r="G40" s="24">
        <v>17315000</v>
      </c>
      <c r="H40" s="24">
        <v>28791000</v>
      </c>
      <c r="I40" s="24">
        <v>44187000</v>
      </c>
      <c r="J40" s="24">
        <v>41182000</v>
      </c>
      <c r="K40" s="24">
        <v>65728000</v>
      </c>
      <c r="L40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41C6-FADA-4A24-9E45-CCAB14D11AB0}">
  <dimension ref="A1:K35"/>
  <sheetViews>
    <sheetView zoomScaleNormal="100" workbookViewId="0">
      <selection activeCell="C38" sqref="C38"/>
    </sheetView>
  </sheetViews>
  <sheetFormatPr defaultRowHeight="15" x14ac:dyDescent="0.25"/>
  <cols>
    <col min="1" max="1" width="34.140625" bestFit="1" customWidth="1"/>
    <col min="2" max="4" width="14.28515625" bestFit="1" customWidth="1"/>
    <col min="5" max="11" width="16" bestFit="1" customWidth="1"/>
  </cols>
  <sheetData>
    <row r="1" spans="1:11" ht="63.75" x14ac:dyDescent="0.25">
      <c r="A1" s="6" t="s">
        <v>50</v>
      </c>
      <c r="B1" s="27">
        <v>2015</v>
      </c>
      <c r="C1" s="27">
        <v>2016</v>
      </c>
      <c r="D1" s="27">
        <v>2017</v>
      </c>
      <c r="E1" s="27">
        <v>2018</v>
      </c>
      <c r="F1" s="27">
        <v>2019</v>
      </c>
      <c r="G1" s="27">
        <v>2020</v>
      </c>
      <c r="H1" s="27">
        <v>2021</v>
      </c>
      <c r="I1" s="27">
        <v>2022</v>
      </c>
      <c r="J1" s="27">
        <v>2023</v>
      </c>
      <c r="K1" s="27">
        <v>2024</v>
      </c>
    </row>
    <row r="2" spans="1:11" ht="25.5" x14ac:dyDescent="0.25">
      <c r="A2" s="4" t="s">
        <v>49</v>
      </c>
      <c r="B2" s="5" t="s">
        <v>48</v>
      </c>
      <c r="C2" s="5" t="s">
        <v>47</v>
      </c>
      <c r="D2" s="5" t="s">
        <v>46</v>
      </c>
      <c r="E2" s="5" t="s">
        <v>45</v>
      </c>
      <c r="F2" s="5" t="s">
        <v>44</v>
      </c>
      <c r="G2" s="5" t="s">
        <v>43</v>
      </c>
      <c r="H2" s="5" t="s">
        <v>42</v>
      </c>
      <c r="I2" s="5" t="s">
        <v>41</v>
      </c>
      <c r="J2" s="5" t="s">
        <v>40</v>
      </c>
      <c r="K2" s="5" t="s">
        <v>39</v>
      </c>
    </row>
    <row r="3" spans="1:11" x14ac:dyDescent="0.25">
      <c r="A3" s="4" t="s">
        <v>38</v>
      </c>
      <c r="B3" s="5" t="s">
        <v>37</v>
      </c>
      <c r="C3" s="5" t="s">
        <v>37</v>
      </c>
      <c r="D3" s="5" t="s">
        <v>37</v>
      </c>
      <c r="E3" s="5" t="s">
        <v>37</v>
      </c>
      <c r="F3" s="5" t="s">
        <v>37</v>
      </c>
      <c r="G3" s="5" t="s">
        <v>37</v>
      </c>
      <c r="H3" s="5" t="s">
        <v>37</v>
      </c>
      <c r="I3" s="5" t="s">
        <v>37</v>
      </c>
      <c r="J3" s="5" t="s">
        <v>37</v>
      </c>
      <c r="K3" s="5" t="s">
        <v>37</v>
      </c>
    </row>
    <row r="4" spans="1:11" x14ac:dyDescent="0.25">
      <c r="A4" s="4" t="s">
        <v>34</v>
      </c>
      <c r="B4" s="5" t="s">
        <v>33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</row>
    <row r="5" spans="1:11" ht="25.5" x14ac:dyDescent="0.25">
      <c r="A5" s="4" t="s">
        <v>32</v>
      </c>
      <c r="B5" s="5" t="s">
        <v>31</v>
      </c>
      <c r="C5" s="5" t="s">
        <v>31</v>
      </c>
      <c r="D5" s="5" t="s">
        <v>31</v>
      </c>
      <c r="E5" s="5" t="s">
        <v>31</v>
      </c>
      <c r="F5" s="5" t="s">
        <v>31</v>
      </c>
      <c r="G5" s="5" t="s">
        <v>31</v>
      </c>
      <c r="H5" s="5" t="s">
        <v>31</v>
      </c>
      <c r="I5" s="5" t="s">
        <v>31</v>
      </c>
      <c r="J5" s="5" t="s">
        <v>31</v>
      </c>
      <c r="K5" s="5" t="s">
        <v>31</v>
      </c>
    </row>
    <row r="6" spans="1:11" x14ac:dyDescent="0.25">
      <c r="A6" s="1" t="s">
        <v>30</v>
      </c>
      <c r="B6" s="19">
        <f>'BALANCE SHEET '!B11/'BALANCE SHEET '!$B$23</f>
        <v>6.8966618564694937E-2</v>
      </c>
      <c r="C6" s="19">
        <f>'BALANCE SHEET '!C11/'BALANCE SHEET '!$C$23</f>
        <v>8.0868385345997287E-2</v>
      </c>
      <c r="D6" s="19">
        <f>'BALANCE SHEET '!D11/'BALANCE SHEET '!$D$23</f>
        <v>0.179453307590692</v>
      </c>
      <c r="E6" s="19">
        <f>'BALANCE SHEET '!E11/'BALANCE SHEET '!$E$23</f>
        <v>0.35601814785161462</v>
      </c>
      <c r="F6" s="19">
        <f>'BALANCE SHEET '!F11/'BALANCE SHEET '!$F$23</f>
        <v>5.8832380379175445E-2</v>
      </c>
      <c r="G6" s="19">
        <f>'BALANCE SHEET '!G11/'BALANCE SHEET '!$G$23</f>
        <v>0.62928097025700258</v>
      </c>
      <c r="H6" s="19">
        <f>'BALANCE SHEET '!H11/'BALANCE SHEET '!$H$23</f>
        <v>2.9418915633357648E-2</v>
      </c>
      <c r="I6" s="19">
        <f>'BALANCE SHEET '!I11/'BALANCE SHEET '!$I$23</f>
        <v>4.5035870278588727E-2</v>
      </c>
      <c r="J6" s="19">
        <f>'BALANCE SHEET '!J11/'BALANCE SHEET '!$J$23</f>
        <v>8.2293234908455151E-2</v>
      </c>
      <c r="K6" s="19">
        <f>'BALANCE SHEET '!K11/'BALANCE SHEET '!$K$23</f>
        <v>0.11075949367088607</v>
      </c>
    </row>
    <row r="7" spans="1:11" x14ac:dyDescent="0.25">
      <c r="A7" s="1" t="s">
        <v>29</v>
      </c>
      <c r="B7" s="19">
        <f>'BALANCE SHEET '!B12/'BALANCE SHEET '!$B$23</f>
        <v>0.57304181649930963</v>
      </c>
      <c r="C7" s="19">
        <f>'BALANCE SHEET '!C12/'BALANCE SHEET '!$C$23</f>
        <v>0.60257801899592944</v>
      </c>
      <c r="D7" s="19">
        <f>'BALANCE SHEET '!D12/'BALANCE SHEET '!$D$23</f>
        <v>0.51133014937506349</v>
      </c>
      <c r="E7" s="19">
        <f>'BALANCE SHEET '!E12/'BALANCE SHEET '!$E$23</f>
        <v>0.27630993683835958</v>
      </c>
      <c r="F7" s="19">
        <f>'BALANCE SHEET '!F12/'BALANCE SHEET '!$F$23</f>
        <v>0.49954860066205237</v>
      </c>
      <c r="G7" s="19">
        <f>'BALANCE SHEET '!G12/'BALANCE SHEET '!$G$23</f>
        <v>5.7753393011839443E-5</v>
      </c>
      <c r="H7" s="19">
        <f>'BALANCE SHEET '!H12/'BALANCE SHEET '!$H$23</f>
        <v>0.37213017957000449</v>
      </c>
      <c r="I7" s="19">
        <f>'BALANCE SHEET '!I12/'BALANCE SHEET '!$I$23</f>
        <v>0.43492429900196888</v>
      </c>
      <c r="J7" s="19">
        <f>'BALANCE SHEET '!J12/'BALANCE SHEET '!$J$23</f>
        <v>0.24056626681559906</v>
      </c>
      <c r="K7" s="19">
        <f>'BALANCE SHEET '!K12/'BALANCE SHEET '!$K$23</f>
        <v>0.28456669912366117</v>
      </c>
    </row>
    <row r="8" spans="1:11" x14ac:dyDescent="0.25">
      <c r="A8" s="1" t="s">
        <v>28</v>
      </c>
      <c r="B8" s="19">
        <f>'BALANCE SHEET '!B13/'BALANCE SHEET '!$B$23</f>
        <v>0.64200843506400451</v>
      </c>
      <c r="C8" s="19">
        <f>'BALANCE SHEET '!C13/'BALANCE SHEET '!$C$23</f>
        <v>0.68344640434192672</v>
      </c>
      <c r="D8" s="19">
        <f>'BALANCE SHEET '!D13/'BALANCE SHEET '!$D$23</f>
        <v>0.69078345696575549</v>
      </c>
      <c r="E8" s="19">
        <f>'BALANCE SHEET '!E13/'BALANCE SHEET '!$E$23</f>
        <v>0.63232808468997426</v>
      </c>
      <c r="F8" s="19">
        <f>'BALANCE SHEET '!F13/'BALANCE SHEET '!$F$23</f>
        <v>0.5583809810412278</v>
      </c>
      <c r="G8" s="19">
        <f>'BALANCE SHEET '!G13/'BALANCE SHEET '!$G$23</f>
        <v>0.62933872365001442</v>
      </c>
      <c r="H8" s="19">
        <f>'BALANCE SHEET '!H13/'BALANCE SHEET '!$H$23</f>
        <v>0.40154909520336218</v>
      </c>
      <c r="I8" s="19">
        <f>'BALANCE SHEET '!I13/'BALANCE SHEET '!$I$23</f>
        <v>0.47996016928055762</v>
      </c>
      <c r="J8" s="19">
        <f>'BALANCE SHEET '!J13/'BALANCE SHEET '!$J$23</f>
        <v>0.3228595017240542</v>
      </c>
      <c r="K8" s="19">
        <f>'BALANCE SHEET '!K13/'BALANCE SHEET '!$K$23</f>
        <v>0.39532619279454723</v>
      </c>
    </row>
    <row r="9" spans="1:11" x14ac:dyDescent="0.25">
      <c r="A9" s="1" t="s">
        <v>27</v>
      </c>
      <c r="B9" s="19">
        <f>'BALANCE SHEET '!B14/'BALANCE SHEET '!$B$23</f>
        <v>6.5770420286812167E-2</v>
      </c>
      <c r="C9" s="19">
        <f>'BALANCE SHEET '!C14/'BALANCE SHEET '!$C$23</f>
        <v>6.8521031207598365E-2</v>
      </c>
      <c r="D9" s="19">
        <f>'BALANCE SHEET '!D14/'BALANCE SHEET '!$D$23</f>
        <v>8.3934559495986175E-2</v>
      </c>
      <c r="E9" s="19">
        <f>'BALANCE SHEET '!E14/'BALANCE SHEET '!$E$23</f>
        <v>0.1125344720220621</v>
      </c>
      <c r="F9" s="19">
        <f>'BALANCE SHEET '!F14/'BALANCE SHEET '!$F$23</f>
        <v>0.10713210953957268</v>
      </c>
      <c r="G9" s="19">
        <f>'BALANCE SHEET '!G14/'BALANCE SHEET '!$G$23</f>
        <v>9.5697372220617957E-2</v>
      </c>
      <c r="H9" s="19">
        <f>'BALANCE SHEET '!H14/'BALANCE SHEET '!$H$23</f>
        <v>8.4366642353513252E-2</v>
      </c>
      <c r="I9" s="19">
        <f>'BALANCE SHEET '!I14/'BALANCE SHEET '!$I$23</f>
        <v>0.10523457125398873</v>
      </c>
      <c r="J9" s="19">
        <f>'BALANCE SHEET '!J14/'BALANCE SHEET '!$J$23</f>
        <v>9.2928949541061623E-2</v>
      </c>
      <c r="K9" s="19">
        <f>'BALANCE SHEET '!K14/'BALANCE SHEET '!$K$23</f>
        <v>0.15212694741966895</v>
      </c>
    </row>
    <row r="10" spans="1:11" x14ac:dyDescent="0.25">
      <c r="A10" s="1" t="s">
        <v>26</v>
      </c>
      <c r="B10" s="19">
        <f>'BALANCE SHEET '!B15/'BALANCE SHEET '!$B$23</f>
        <v>6.7055731633211907E-2</v>
      </c>
      <c r="C10" s="19">
        <f>'BALANCE SHEET '!C15/'BALANCE SHEET '!$C$23</f>
        <v>5.6716417910447764E-2</v>
      </c>
      <c r="D10" s="19">
        <f>'BALANCE SHEET '!D15/'BALANCE SHEET '!$D$23</f>
        <v>8.0682857433187691E-2</v>
      </c>
      <c r="E10" s="19">
        <f>'BALANCE SHEET '!E15/'BALANCE SHEET '!$E$23</f>
        <v>7.0812205319811403E-2</v>
      </c>
      <c r="F10" s="19">
        <f>'BALANCE SHEET '!F15/'BALANCE SHEET '!$F$23</f>
        <v>0.11849232621125488</v>
      </c>
      <c r="G10" s="19">
        <f>'BALANCE SHEET '!G15/'BALANCE SHEET '!$G$23</f>
        <v>5.654057175859082E-2</v>
      </c>
      <c r="H10" s="19">
        <f>'BALANCE SHEET '!H15/'BALANCE SHEET '!$H$23</f>
        <v>6.3422597339446357E-2</v>
      </c>
      <c r="I10" s="19">
        <f>'BALANCE SHEET '!I15/'BALANCE SHEET '!$I$23</f>
        <v>5.8953990992825944E-2</v>
      </c>
      <c r="J10" s="19">
        <f>'BALANCE SHEET '!J15/'BALANCE SHEET '!$J$23</f>
        <v>0.1252731776018649</v>
      </c>
      <c r="K10" s="19">
        <f>'BALANCE SHEET '!K15/'BALANCE SHEET '!$K$23</f>
        <v>8.0361489776046735E-2</v>
      </c>
    </row>
    <row r="11" spans="1:11" x14ac:dyDescent="0.25">
      <c r="A11" s="1" t="s">
        <v>25</v>
      </c>
      <c r="B11" s="19">
        <f>'BALANCE SHEET '!B16/'BALANCE SHEET '!$B$23</f>
        <v>9.7445374267778016E-3</v>
      </c>
      <c r="C11" s="19">
        <f>'BALANCE SHEET '!C16/'BALANCE SHEET '!$C$23</f>
        <v>1.2618724559023067E-2</v>
      </c>
      <c r="D11" s="19">
        <f>'BALANCE SHEET '!D16/'BALANCE SHEET '!$D$23</f>
        <v>1.1990651356569454E-2</v>
      </c>
      <c r="E11" s="19">
        <f>'BALANCE SHEET '!E16/'BALANCE SHEET '!$E$23</f>
        <v>7.6505648963615339E-3</v>
      </c>
      <c r="F11" s="19">
        <f>'BALANCE SHEET '!F16/'BALANCE SHEET '!$F$23</f>
        <v>1.0231718326813121E-2</v>
      </c>
      <c r="G11" s="19">
        <f>'BALANCE SHEET '!G16/'BALANCE SHEET '!$G$23</f>
        <v>9.0672827028587932E-3</v>
      </c>
      <c r="H11" s="19">
        <f>'BALANCE SHEET '!H16/'BALANCE SHEET '!$H$23</f>
        <v>8.3012052377479072E-3</v>
      </c>
      <c r="I11" s="19">
        <f>'BALANCE SHEET '!I16/'BALANCE SHEET '!$I$23</f>
        <v>8.2829791567655651E-3</v>
      </c>
      <c r="J11" s="19">
        <f>'BALANCE SHEET '!J16/'BALANCE SHEET '!$J$23</f>
        <v>1.9207420717789324E-2</v>
      </c>
      <c r="K11" s="19">
        <f>'BALANCE SHEET '!K16/'BALANCE SHEET '!$K$23</f>
        <v>4.6859785783836413E-2</v>
      </c>
    </row>
    <row r="12" spans="1:11" ht="15.75" x14ac:dyDescent="0.25">
      <c r="A12" s="23" t="s">
        <v>24</v>
      </c>
      <c r="B12" s="19">
        <f>'BALANCE SHEET '!B17/'BALANCE SHEET '!$B$23</f>
        <v>0.79336273330289464</v>
      </c>
      <c r="C12" s="19">
        <f>'BALANCE SHEET '!C17/'BALANCE SHEET '!$C$23</f>
        <v>0.82130257801899598</v>
      </c>
      <c r="D12" s="19">
        <f>'BALANCE SHEET '!D17/'BALANCE SHEET '!$D$23</f>
        <v>0.86739152525149887</v>
      </c>
      <c r="E12" s="19">
        <f>'BALANCE SHEET '!E17/'BALANCE SHEET '!$E$23</f>
        <v>0.82332532692820926</v>
      </c>
      <c r="F12" s="19">
        <f>'BALANCE SHEET '!F17/'BALANCE SHEET '!$F$23</f>
        <v>0.79423713511886851</v>
      </c>
      <c r="G12" s="19">
        <f>'BALANCE SHEET '!G17/'BALANCE SHEET '!$G$23</f>
        <v>0.79064395033208201</v>
      </c>
      <c r="H12" s="19">
        <f>'BALANCE SHEET '!H17/'BALANCE SHEET '!$H$23</f>
        <v>0.55763954013406969</v>
      </c>
      <c r="I12" s="19">
        <f>'BALANCE SHEET '!I17/'BALANCE SHEET '!$I$23</f>
        <v>0.65243171068413786</v>
      </c>
      <c r="J12" s="19">
        <f>'BALANCE SHEET '!J17/'BALANCE SHEET '!$J$23</f>
        <v>0.56026904958477008</v>
      </c>
      <c r="K12" s="19">
        <f>'BALANCE SHEET '!K17/'BALANCE SHEET '!$K$23</f>
        <v>0.67467441577409937</v>
      </c>
    </row>
    <row r="13" spans="1:11" x14ac:dyDescent="0.25">
      <c r="A13" s="1" t="s">
        <v>23</v>
      </c>
      <c r="B13" s="19">
        <f>'BALANCE SHEET '!B18/'BALANCE SHEET '!$B$23</f>
        <v>0.16375458107404037</v>
      </c>
      <c r="C13" s="19">
        <f>'BALANCE SHEET '!C18/'BALANCE SHEET '!$C$23</f>
        <v>0.14925373134328357</v>
      </c>
      <c r="D13" s="19">
        <f>'BALANCE SHEET '!D18/'BALANCE SHEET '!$D$23</f>
        <v>0.12102428614978153</v>
      </c>
      <c r="E13" s="19">
        <f>'BALANCE SHEET '!E18/'BALANCE SHEET '!$E$23</f>
        <v>0.15452361889511609</v>
      </c>
      <c r="F13" s="19">
        <f>'BALANCE SHEET '!F18/'BALANCE SHEET '!$F$23</f>
        <v>0.16333132711405357</v>
      </c>
      <c r="G13" s="19">
        <f>'BALANCE SHEET '!G18/'BALANCE SHEET '!$G$23</f>
        <v>0.15506786023678892</v>
      </c>
      <c r="H13" s="19">
        <f>'BALANCE SHEET '!H18/'BALANCE SHEET '!$H$23</f>
        <v>0.12354555242957868</v>
      </c>
      <c r="I13" s="19">
        <f>'BALANCE SHEET '!I18/'BALANCE SHEET '!$I$23</f>
        <v>0.10593613506234865</v>
      </c>
      <c r="J13" s="19">
        <f>'BALANCE SHEET '!J18/'BALANCE SHEET '!$J$23</f>
        <v>0.15786023019765918</v>
      </c>
      <c r="K13" s="19">
        <f>'BALANCE SHEET '!K18/'BALANCE SHEET '!$K$23</f>
        <v>0.11293512658227849</v>
      </c>
    </row>
    <row r="14" spans="1:11" x14ac:dyDescent="0.25">
      <c r="A14" s="1" t="s">
        <v>22</v>
      </c>
      <c r="B14" s="19">
        <f>'BALANCE SHEET '!B19/'BALANCE SHEET '!$B$23</f>
        <v>8.6369006555421138E-2</v>
      </c>
      <c r="C14" s="19">
        <f>'BALANCE SHEET '!C19/'BALANCE SHEET '!$C$23</f>
        <v>8.6024423337856176E-2</v>
      </c>
      <c r="D14" s="19">
        <f>'BALANCE SHEET '!D19/'BALANCE SHEET '!$D$23</f>
        <v>6.8082511939843507E-2</v>
      </c>
      <c r="E14" s="19">
        <f>'BALANCE SHEET '!E19/'BALANCE SHEET '!$E$23</f>
        <v>6.5830442131482966E-2</v>
      </c>
      <c r="F14" s="19">
        <f>'BALANCE SHEET '!F19/'BALANCE SHEET '!$F$23</f>
        <v>5.7703882034306347E-2</v>
      </c>
      <c r="G14" s="19">
        <f>'BALANCE SHEET '!G19/'BALANCE SHEET '!$G$23</f>
        <v>5.8388680334969682E-2</v>
      </c>
      <c r="H14" s="19">
        <f>'BALANCE SHEET '!H19/'BALANCE SHEET '!$H$23</f>
        <v>4.8904171442464658E-2</v>
      </c>
      <c r="I14" s="19">
        <f>'BALANCE SHEET '!I19/'BALANCE SHEET '!$I$23</f>
        <v>4.3066965397062486E-2</v>
      </c>
      <c r="J14" s="19">
        <f>'BALANCE SHEET '!J19/'BALANCE SHEET '!$J$23</f>
        <v>6.5416929726579573E-2</v>
      </c>
      <c r="K14" s="19">
        <f>'BALANCE SHEET '!K19/'BALANCE SHEET '!$K$23</f>
        <v>5.3386684518013629E-2</v>
      </c>
    </row>
    <row r="15" spans="1:11" x14ac:dyDescent="0.25">
      <c r="A15" s="1" t="s">
        <v>21</v>
      </c>
      <c r="B15" s="19">
        <f>'BALANCE SHEET '!B20/'BALANCE SHEET '!$B$23</f>
        <v>7.7385574518619243E-2</v>
      </c>
      <c r="C15" s="19">
        <f>'BALANCE SHEET '!C20/'BALANCE SHEET '!$C$23</f>
        <v>6.3229308005427406E-2</v>
      </c>
      <c r="D15" s="19">
        <f>'BALANCE SHEET '!D20/'BALANCE SHEET '!$D$23</f>
        <v>5.2941774209938015E-2</v>
      </c>
      <c r="E15" s="19">
        <f>'BALANCE SHEET '!E20/'BALANCE SHEET '!$E$23</f>
        <v>8.8693176763633128E-2</v>
      </c>
      <c r="F15" s="19">
        <f>'BALANCE SHEET '!F20/'BALANCE SHEET '!$F$23</f>
        <v>0.10562744507974722</v>
      </c>
      <c r="G15" s="19">
        <f>'BALANCE SHEET '!G20/'BALANCE SHEET '!$G$23</f>
        <v>9.6679179901819234E-2</v>
      </c>
      <c r="H15" s="19">
        <f>'BALANCE SHEET '!H20/'BALANCE SHEET '!$H$23</f>
        <v>7.4641380987114023E-2</v>
      </c>
      <c r="I15" s="19">
        <f>'BALANCE SHEET '!I20/'BALANCE SHEET '!$I$23</f>
        <v>6.2869169665286176E-2</v>
      </c>
      <c r="J15" s="19">
        <f>'BALANCE SHEET '!J20/'BALANCE SHEET '!$J$23</f>
        <v>9.2443300471079598E-2</v>
      </c>
      <c r="K15" s="19">
        <f>'BALANCE SHEET '!K20/'BALANCE SHEET '!$K$23</f>
        <v>5.954844206426485E-2</v>
      </c>
    </row>
    <row r="16" spans="1:11" x14ac:dyDescent="0.25">
      <c r="A16" s="1" t="s">
        <v>20</v>
      </c>
      <c r="B16" s="19">
        <f>'BALANCE SHEET '!B21/'BALANCE SHEET '!$B$23</f>
        <v>0.11662964592283022</v>
      </c>
      <c r="C16" s="19">
        <f>'BALANCE SHEET '!C21/'BALANCE SHEET '!$C$23</f>
        <v>0.10637720488466756</v>
      </c>
      <c r="D16" s="19">
        <f>'BALANCE SHEET '!D21/'BALANCE SHEET '!$D$23</f>
        <v>7.3366527791891067E-2</v>
      </c>
      <c r="E16" s="19">
        <f>'BALANCE SHEET '!E21/'BALANCE SHEET '!$E$23</f>
        <v>5.9603238146072414E-2</v>
      </c>
      <c r="F16" s="19">
        <f>'BALANCE SHEET '!F21/'BALANCE SHEET '!$F$23</f>
        <v>4.987962684321396E-2</v>
      </c>
      <c r="G16" s="19">
        <f>'BALANCE SHEET '!G21/'BALANCE SHEET '!$G$23</f>
        <v>3.8521513138896908E-2</v>
      </c>
      <c r="H16" s="19">
        <f>'BALANCE SHEET '!H21/'BALANCE SHEET '!$H$23</f>
        <v>0.24070021881838075</v>
      </c>
      <c r="I16" s="19">
        <f>'BALANCE SHEET '!I21/'BALANCE SHEET '!$I$23</f>
        <v>0.15135673388100573</v>
      </c>
      <c r="J16" s="19">
        <f>'BALANCE SHEET '!J21/'BALANCE SHEET '!$J$23</f>
        <v>0.14686027876256616</v>
      </c>
      <c r="K16" s="19">
        <f>'BALANCE SHEET '!K21/'BALANCE SHEET '!$K$23</f>
        <v>8.4317185978578388E-2</v>
      </c>
    </row>
    <row r="17" spans="1:11" x14ac:dyDescent="0.25">
      <c r="A17" s="1" t="s">
        <v>19</v>
      </c>
      <c r="B17" s="19">
        <f>'BALANCE SHEET '!B22/'BALANCE SHEET '!$B$23</f>
        <v>1.2622046255655869E-2</v>
      </c>
      <c r="C17" s="19">
        <f>'BALANCE SHEET '!C22/'BALANCE SHEET '!$C$23</f>
        <v>9.0909090909090905E-3</v>
      </c>
      <c r="D17" s="19">
        <f>'BALANCE SHEET '!D22/'BALANCE SHEET '!$D$23</f>
        <v>6.3001727466720859E-3</v>
      </c>
      <c r="E17" s="19">
        <f>'BALANCE SHEET '!E22/'BALANCE SHEET '!$E$23</f>
        <v>2.8378258162085224E-2</v>
      </c>
      <c r="F17" s="19">
        <f>'BALANCE SHEET '!F22/'BALANCE SHEET '!$F$23</f>
        <v>5.0255792958170328E-2</v>
      </c>
      <c r="G17" s="19">
        <f>'BALANCE SHEET '!G22/'BALANCE SHEET '!$G$23</f>
        <v>4.2506497256713835E-2</v>
      </c>
      <c r="H17" s="19">
        <f>'BALANCE SHEET '!H22/'BALANCE SHEET '!$H$23</f>
        <v>9.9024000555729227E-2</v>
      </c>
      <c r="I17" s="19">
        <f>'BALANCE SHEET '!I22/'BALANCE SHEET '!$I$23</f>
        <v>5.0874691651390677E-2</v>
      </c>
      <c r="J17" s="19">
        <f>'BALANCE SHEET '!J22/'BALANCE SHEET '!$J$23</f>
        <v>2.8726142489437133E-2</v>
      </c>
      <c r="K17" s="19">
        <f>'BALANCE SHEET '!K22/'BALANCE SHEET '!$K$23</f>
        <v>8.8942307692307696E-2</v>
      </c>
    </row>
    <row r="18" spans="1:11" x14ac:dyDescent="0.25">
      <c r="A18" s="9" t="s">
        <v>18</v>
      </c>
      <c r="B18" s="19">
        <f>'BALANCE SHEET '!B23/'BALANCE SHEET '!$B$23</f>
        <v>1</v>
      </c>
      <c r="C18" s="19">
        <f>'BALANCE SHEET '!C23/'BALANCE SHEET '!$C$23</f>
        <v>1</v>
      </c>
      <c r="D18" s="19">
        <f>'BALANCE SHEET '!D23/'BALANCE SHEET '!$D$23</f>
        <v>1</v>
      </c>
      <c r="E18" s="19">
        <f>'BALANCE SHEET '!E23/'BALANCE SHEET '!$E$23</f>
        <v>1</v>
      </c>
      <c r="F18" s="19">
        <f>'BALANCE SHEET '!F23/'BALANCE SHEET '!$F$23</f>
        <v>1</v>
      </c>
      <c r="G18" s="19">
        <f>'BALANCE SHEET '!G23/'BALANCE SHEET '!$G$23</f>
        <v>1</v>
      </c>
      <c r="H18" s="19">
        <f>'BALANCE SHEET '!H23/'BALANCE SHEET '!$H$23</f>
        <v>1</v>
      </c>
      <c r="I18" s="19">
        <f>'BALANCE SHEET '!I23/'BALANCE SHEET '!$I$23</f>
        <v>1</v>
      </c>
      <c r="J18" s="19">
        <f>'BALANCE SHEET '!J23/'BALANCE SHEET '!$J$23</f>
        <v>1</v>
      </c>
      <c r="K18" s="19">
        <f>'BALANCE SHEET '!K23/'BALANCE SHEET '!$K$23</f>
        <v>1</v>
      </c>
    </row>
    <row r="19" spans="1:11" x14ac:dyDescent="0.25">
      <c r="A19" s="1" t="s">
        <v>17</v>
      </c>
      <c r="B19" s="19">
        <f>'BALANCE SHEET '!B24/'BALANCE SHEET '!$B$23</f>
        <v>7.9611957061491656E-2</v>
      </c>
      <c r="C19" s="19">
        <f>'BALANCE SHEET '!C24/'BALANCE SHEET '!$C$23</f>
        <v>7.9647218453188603E-2</v>
      </c>
      <c r="D19" s="19">
        <f>'BALANCE SHEET '!D24/'BALANCE SHEET '!$D$23</f>
        <v>8.7491108627172035E-2</v>
      </c>
      <c r="E19" s="19">
        <f>'BALANCE SHEET '!E24/'BALANCE SHEET '!$E$23</f>
        <v>8.9671737389911924E-2</v>
      </c>
      <c r="F19" s="19">
        <f>'BALANCE SHEET '!F24/'BALANCE SHEET '!$F$23</f>
        <v>7.9070117363827866E-2</v>
      </c>
      <c r="G19" s="19">
        <f>'BALANCE SHEET '!G24/'BALANCE SHEET '!$G$23</f>
        <v>7.7043026277793816E-2</v>
      </c>
      <c r="H19" s="19">
        <f>'BALANCE SHEET '!H24/'BALANCE SHEET '!$H$23</f>
        <v>7.3911986384634087E-2</v>
      </c>
      <c r="I19" s="19">
        <f>'BALANCE SHEET '!I24/'BALANCE SHEET '!$I$23</f>
        <v>7.2238441170480006E-2</v>
      </c>
      <c r="J19" s="19">
        <f>'BALANCE SHEET '!J24/'BALANCE SHEET '!$J$23</f>
        <v>7.0880481763877429E-2</v>
      </c>
      <c r="K19" s="19">
        <f>'BALANCE SHEET '!K24/'BALANCE SHEET '!$K$23</f>
        <v>0.11404576436222005</v>
      </c>
    </row>
    <row r="20" spans="1:11" x14ac:dyDescent="0.25">
      <c r="A20" s="1" t="s">
        <v>16</v>
      </c>
      <c r="B20" s="19">
        <f>'BALANCE SHEET '!B25/'BALANCE SHEET '!$B$23</f>
        <v>4.0717680307408258E-2</v>
      </c>
      <c r="C20" s="19">
        <f>'BALANCE SHEET '!C25/'BALANCE SHEET '!$C$23</f>
        <v>4.016282225237449E-2</v>
      </c>
      <c r="D20" s="19">
        <f>'BALANCE SHEET '!D25/'BALANCE SHEET '!$D$23</f>
        <v>4.9283609389289704E-2</v>
      </c>
      <c r="E20" s="19">
        <f>'BALANCE SHEET '!E25/'BALANCE SHEET '!$E$23</f>
        <v>5.302019393292412E-2</v>
      </c>
      <c r="F20" s="19">
        <f>'BALANCE SHEET '!F25/'BALANCE SHEET '!$F$23</f>
        <v>3.8444176948540479E-2</v>
      </c>
      <c r="G20" s="19">
        <f>'BALANCE SHEET '!G25/'BALANCE SHEET '!$G$23</f>
        <v>3.9676580999133702E-2</v>
      </c>
      <c r="H20" s="19">
        <f>'BALANCE SHEET '!H25/'BALANCE SHEET '!$H$23</f>
        <v>4.1714424646590947E-2</v>
      </c>
      <c r="I20" s="19">
        <f>'BALANCE SHEET '!I25/'BALANCE SHEET '!$I$23</f>
        <v>4.0351234525991805E-2</v>
      </c>
      <c r="J20" s="19">
        <f>'BALANCE SHEET '!J25/'BALANCE SHEET '!$J$23</f>
        <v>2.8968967024428149E-2</v>
      </c>
      <c r="K20" s="19">
        <f>'BALANCE SHEET '!K25/'BALANCE SHEET '!$K$23</f>
        <v>4.1063169425511199E-2</v>
      </c>
    </row>
    <row r="21" spans="1:11" x14ac:dyDescent="0.25">
      <c r="A21" s="1" t="s">
        <v>15</v>
      </c>
      <c r="B21" s="19">
        <f>'BALANCE SHEET '!B26/'BALANCE SHEET '!$B$23</f>
        <v>3.8894276754083391E-2</v>
      </c>
      <c r="C21" s="19">
        <f>'BALANCE SHEET '!C26/'BALANCE SHEET '!$C$23</f>
        <v>3.9484396200814113E-2</v>
      </c>
      <c r="D21" s="19">
        <f>'BALANCE SHEET '!D26/'BALANCE SHEET '!$D$23</f>
        <v>3.8207499237882331E-2</v>
      </c>
      <c r="E21" s="19">
        <f>'BALANCE SHEET '!E26/'BALANCE SHEET '!$E$23</f>
        <v>3.665154345698781E-2</v>
      </c>
      <c r="F21" s="19">
        <f>'BALANCE SHEET '!F26/'BALANCE SHEET '!$F$23</f>
        <v>4.0625940415287394E-2</v>
      </c>
      <c r="G21" s="19">
        <f>'BALANCE SHEET '!G26/'BALANCE SHEET '!$G$23</f>
        <v>3.7366445278660121E-2</v>
      </c>
      <c r="H21" s="19">
        <f>'BALANCE SHEET '!H26/'BALANCE SHEET '!$H$23</f>
        <v>3.219756173804314E-2</v>
      </c>
      <c r="I21" s="19">
        <f>'BALANCE SHEET '!I26/'BALANCE SHEET '!$I$23</f>
        <v>3.18872066444882E-2</v>
      </c>
      <c r="J21" s="19">
        <f>'BALANCE SHEET '!J26/'BALANCE SHEET '!$J$23</f>
        <v>4.1911514739449277E-2</v>
      </c>
      <c r="K21" s="19">
        <f>'BALANCE SHEET '!K26/'BALANCE SHEET '!$K$23</f>
        <v>7.2982594936708861E-2</v>
      </c>
    </row>
    <row r="22" spans="1:11" x14ac:dyDescent="0.25">
      <c r="A22" s="1" t="s">
        <v>14</v>
      </c>
      <c r="B22" s="19">
        <f>'BALANCE SHEET '!B27/'BALANCE SHEET '!$B$23</f>
        <v>0</v>
      </c>
      <c r="C22" s="19">
        <f>'BALANCE SHEET '!C27/'BALANCE SHEET '!$C$23</f>
        <v>0.19172320217096336</v>
      </c>
      <c r="D22" s="19">
        <f>'BALANCE SHEET '!D27/'BALANCE SHEET '!$D$23</f>
        <v>8.0886088812112594E-2</v>
      </c>
      <c r="E22" s="19">
        <f>'BALANCE SHEET '!E27/'BALANCE SHEET '!$E$23</f>
        <v>1.3344008540165466E-3</v>
      </c>
      <c r="F22" s="19">
        <f>'BALANCE SHEET '!F27/'BALANCE SHEET '!$F$23</f>
        <v>0</v>
      </c>
      <c r="G22" s="19">
        <f>'BALANCE SHEET '!G27/'BALANCE SHEET '!$G$23</f>
        <v>0</v>
      </c>
      <c r="H22" s="19">
        <f>'BALANCE SHEET '!H27/'BALANCE SHEET '!$H$23</f>
        <v>3.4698343232260079E-2</v>
      </c>
      <c r="I22" s="19">
        <f>'BALANCE SHEET '!I27/'BALANCE SHEET '!$I$23</f>
        <v>0</v>
      </c>
      <c r="J22" s="19">
        <f>'BALANCE SHEET '!J27/'BALANCE SHEET '!$J$23</f>
        <v>3.0353066873876938E-2</v>
      </c>
      <c r="K22" s="19">
        <f>'BALANCE SHEET '!K27/'BALANCE SHEET '!$K$23</f>
        <v>1.9017770204479065E-2</v>
      </c>
    </row>
    <row r="23" spans="1:11" x14ac:dyDescent="0.25">
      <c r="A23" s="1" t="s">
        <v>13</v>
      </c>
      <c r="B23" s="19">
        <f>'BALANCE SHEET '!B28/'BALANCE SHEET '!$B$23</f>
        <v>4.4813013305249783E-2</v>
      </c>
      <c r="C23" s="19">
        <f>'BALANCE SHEET '!C28/'BALANCE SHEET '!$C$23</f>
        <v>4.762550881953867E-2</v>
      </c>
      <c r="D23" s="19">
        <f>'BALANCE SHEET '!D28/'BALANCE SHEET '!$D$23</f>
        <v>1.3311655319581343E-2</v>
      </c>
      <c r="E23" s="19">
        <f>'BALANCE SHEET '!E28/'BALANCE SHEET '!$E$23</f>
        <v>1.1564807401476737E-2</v>
      </c>
      <c r="F23" s="19">
        <f>'BALANCE SHEET '!F28/'BALANCE SHEET '!$F$23</f>
        <v>2.0914835991573878E-2</v>
      </c>
      <c r="G23" s="19">
        <f>'BALANCE SHEET '!G28/'BALANCE SHEET '!$G$23</f>
        <v>2.5989026855327751E-2</v>
      </c>
      <c r="H23" s="19">
        <f>'BALANCE SHEET '!H28/'BALANCE SHEET '!$H$23</f>
        <v>2.7716994894237783E-2</v>
      </c>
      <c r="I23" s="19">
        <f>'BALANCE SHEET '!I28/'BALANCE SHEET '!$I$23</f>
        <v>2.5867336546948196E-2</v>
      </c>
      <c r="J23" s="19">
        <f>'BALANCE SHEET '!J28/'BALANCE SHEET '!$J$23</f>
        <v>5.813219367684911E-2</v>
      </c>
      <c r="K23" s="19">
        <f>'BALANCE SHEET '!K28/'BALANCE SHEET '!$K$23</f>
        <v>2.8678797468354431E-2</v>
      </c>
    </row>
    <row r="24" spans="1:11" ht="15.75" x14ac:dyDescent="0.25">
      <c r="A24" s="23" t="s">
        <v>12</v>
      </c>
      <c r="B24" s="19">
        <f>'BALANCE SHEET '!B29/'BALANCE SHEET '!$B$23</f>
        <v>0.12442497036674142</v>
      </c>
      <c r="C24" s="19">
        <f>'BALANCE SHEET '!C29/'BALANCE SHEET '!$C$23</f>
        <v>0.31899592944369065</v>
      </c>
      <c r="D24" s="19">
        <f>'BALANCE SHEET '!D29/'BALANCE SHEET '!$D$23</f>
        <v>0.18168885275886598</v>
      </c>
      <c r="E24" s="19">
        <f>'BALANCE SHEET '!E29/'BALANCE SHEET '!$E$23</f>
        <v>0.10257094564540521</v>
      </c>
      <c r="F24" s="19">
        <f>'BALANCE SHEET '!F29/'BALANCE SHEET '!$F$23</f>
        <v>9.9984953355401751E-2</v>
      </c>
      <c r="G24" s="19">
        <f>'BALANCE SHEET '!G29/'BALANCE SHEET '!$G$23</f>
        <v>0.10303205313312157</v>
      </c>
      <c r="H24" s="19">
        <f>'BALANCE SHEET '!H29/'BALANCE SHEET '!$H$23</f>
        <v>0.13632732451113194</v>
      </c>
      <c r="I24" s="19">
        <f>'BALANCE SHEET '!I29/'BALANCE SHEET '!$I$23</f>
        <v>9.8105777717428205E-2</v>
      </c>
      <c r="J24" s="19">
        <f>'BALANCE SHEET '!J29/'BALANCE SHEET '!$J$23</f>
        <v>0.15936574231460346</v>
      </c>
      <c r="K24" s="19">
        <f>'BALANCE SHEET '!K29/'BALANCE SHEET '!$K$23</f>
        <v>0.16174233203505356</v>
      </c>
    </row>
    <row r="25" spans="1:11" x14ac:dyDescent="0.25">
      <c r="A25" s="1" t="s">
        <v>11</v>
      </c>
      <c r="B25" s="19">
        <f>'BALANCE SHEET '!B30/'BALANCE SHEET '!$B$23</f>
        <v>0.19418921516023066</v>
      </c>
      <c r="C25" s="19">
        <f>'BALANCE SHEET '!C30/'BALANCE SHEET '!$C$23</f>
        <v>1.3568521031207597E-3</v>
      </c>
      <c r="D25" s="19">
        <f>'BALANCE SHEET '!D30/'BALANCE SHEET '!$D$23</f>
        <v>0.20211360634081901</v>
      </c>
      <c r="E25" s="19">
        <f>'BALANCE SHEET '!E30/'BALANCE SHEET '!$E$23</f>
        <v>0.17658571301485632</v>
      </c>
      <c r="F25" s="19">
        <f>'BALANCE SHEET '!F30/'BALANCE SHEET '!$F$23</f>
        <v>0.14956364730665062</v>
      </c>
      <c r="G25" s="19">
        <f>'BALANCE SHEET '!G30/'BALANCE SHEET '!$G$23</f>
        <v>0.11498700548657234</v>
      </c>
      <c r="H25" s="19">
        <f>'BALANCE SHEET '!H30/'BALANCE SHEET '!$H$23</f>
        <v>0.20714806710430342</v>
      </c>
      <c r="I25" s="19">
        <f>'BALANCE SHEET '!I30/'BALANCE SHEET '!$I$23</f>
        <v>0.24771991762283024</v>
      </c>
      <c r="J25" s="19">
        <f>'BALANCE SHEET '!J30/'BALANCE SHEET '!$J$23</f>
        <v>0.23561264630178233</v>
      </c>
      <c r="K25" s="19">
        <f>'BALANCE SHEET '!K30/'BALANCE SHEET '!$K$23</f>
        <v>0.12869705452775074</v>
      </c>
    </row>
    <row r="26" spans="1:11" x14ac:dyDescent="0.25">
      <c r="A26" s="1" t="s">
        <v>10</v>
      </c>
      <c r="B26" s="19">
        <f>'BALANCE SHEET '!B31/'BALANCE SHEET '!$B$23</f>
        <v>4.7233386767625264E-2</v>
      </c>
      <c r="C26" s="19">
        <f>'BALANCE SHEET '!C31/'BALANCE SHEET '!$C$23</f>
        <v>4.6811397557666216E-2</v>
      </c>
      <c r="D26" s="19">
        <f>'BALANCE SHEET '!D31/'BALANCE SHEET '!$D$23</f>
        <v>1.4734274972055685E-2</v>
      </c>
      <c r="E26" s="19">
        <f>'BALANCE SHEET '!E31/'BALANCE SHEET '!$E$23</f>
        <v>2.9356818788364024E-3</v>
      </c>
      <c r="F26" s="19">
        <f>'BALANCE SHEET '!F31/'BALANCE SHEET '!$F$23</f>
        <v>4.8901594944327411E-3</v>
      </c>
      <c r="G26" s="19">
        <f>'BALANCE SHEET '!G31/'BALANCE SHEET '!$G$23</f>
        <v>5.1400519780537106E-3</v>
      </c>
      <c r="H26" s="19">
        <f>'BALANCE SHEET '!H31/'BALANCE SHEET '!$H$23</f>
        <v>1.4032162828661734E-2</v>
      </c>
      <c r="I26" s="19">
        <f>'BALANCE SHEET '!I31/'BALANCE SHEET '!$I$23</f>
        <v>1.0116097494738272E-2</v>
      </c>
      <c r="J26" s="19">
        <f>'BALANCE SHEET '!J31/'BALANCE SHEET '!$J$23</f>
        <v>1.129134087708222E-2</v>
      </c>
      <c r="K26" s="19">
        <f>'BALANCE SHEET '!K31/'BALANCE SHEET '!$K$23</f>
        <v>1.5746713729308665E-2</v>
      </c>
    </row>
    <row r="27" spans="1:11" x14ac:dyDescent="0.25">
      <c r="A27" s="1" t="s">
        <v>9</v>
      </c>
      <c r="B27" s="19">
        <f>'BALANCE SHEET '!B32/'BALANCE SHEET '!$B$23</f>
        <v>2.066038008333972E-2</v>
      </c>
      <c r="C27" s="19">
        <f>'BALANCE SHEET '!C32/'BALANCE SHEET '!$C$23</f>
        <v>1.4654002713704206E-2</v>
      </c>
      <c r="D27" s="19">
        <f>'BALANCE SHEET '!D32/'BALANCE SHEET '!$D$23</f>
        <v>1.2803576872269079E-2</v>
      </c>
      <c r="E27" s="19">
        <f>'BALANCE SHEET '!E32/'BALANCE SHEET '!$E$23</f>
        <v>5.3287074103727426E-2</v>
      </c>
      <c r="F27" s="19">
        <f>'BALANCE SHEET '!F32/'BALANCE SHEET '!$F$23</f>
        <v>4.273247065904303E-2</v>
      </c>
      <c r="G27" s="19">
        <f>'BALANCE SHEET '!G32/'BALANCE SHEET '!$G$23</f>
        <v>7.2018481085763794E-2</v>
      </c>
      <c r="H27" s="19">
        <f>'BALANCE SHEET '!H32/'BALANCE SHEET '!$H$23</f>
        <v>5.5746587475252685E-2</v>
      </c>
      <c r="I27" s="19">
        <f>'BALANCE SHEET '!I32/'BALANCE SHEET '!$I$23</f>
        <v>4.1799624323896167E-2</v>
      </c>
      <c r="J27" s="19">
        <f>'BALANCE SHEET '!J32/'BALANCE SHEET '!$J$23</f>
        <v>5.706376572288864E-2</v>
      </c>
      <c r="K27" s="19">
        <f>'BALANCE SHEET '!K32/'BALANCE SHEET '!$K$23</f>
        <v>3.9937317429406038E-2</v>
      </c>
    </row>
    <row r="28" spans="1:11" ht="15.75" x14ac:dyDescent="0.25">
      <c r="A28" s="23" t="s">
        <v>8</v>
      </c>
      <c r="B28" s="19">
        <f>'BALANCE SHEET '!B33/'BALANCE SHEET '!$B$23</f>
        <v>0.38650795237793706</v>
      </c>
      <c r="C28" s="19">
        <f>'BALANCE SHEET '!C33/'BALANCE SHEET '!$C$23</f>
        <v>0.38181818181818183</v>
      </c>
      <c r="D28" s="19">
        <f>'BALANCE SHEET '!D33/'BALANCE SHEET '!$D$23</f>
        <v>0.41134031094400975</v>
      </c>
      <c r="E28" s="19">
        <f>'BALANCE SHEET '!E33/'BALANCE SHEET '!$E$23</f>
        <v>0.33537941464282539</v>
      </c>
      <c r="F28" s="19">
        <f>'BALANCE SHEET '!F33/'BALANCE SHEET '!$F$23</f>
        <v>0.29717123081552815</v>
      </c>
      <c r="G28" s="19">
        <f>'BALANCE SHEET '!G33/'BALANCE SHEET '!$G$23</f>
        <v>0.29517759168351143</v>
      </c>
      <c r="H28" s="19">
        <f>'BALANCE SHEET '!H33/'BALANCE SHEET '!$H$23</f>
        <v>0.41325414191934978</v>
      </c>
      <c r="I28" s="19">
        <f>'BALANCE SHEET '!I33/'BALANCE SHEET '!$I$23</f>
        <v>0.39774141715889288</v>
      </c>
      <c r="J28" s="19">
        <f>'BALANCE SHEET '!J33/'BALANCE SHEET '!$J$23</f>
        <v>0.46333349521635664</v>
      </c>
      <c r="K28" s="19">
        <f>'BALANCE SHEET '!K33/'BALANCE SHEET '!$K$23</f>
        <v>0.346123417721519</v>
      </c>
    </row>
    <row r="29" spans="1:11" x14ac:dyDescent="0.25">
      <c r="A29" s="1" t="s">
        <v>7</v>
      </c>
      <c r="B29" s="19">
        <f>'BALANCE SHEET '!B34/'BALANCE SHEET '!$B$23</f>
        <v>1.0470232877975407E-4</v>
      </c>
      <c r="C29" s="19">
        <f>'BALANCE SHEET '!C34/'BALANCE SHEET '!$C$23</f>
        <v>1.3568521031207599E-4</v>
      </c>
      <c r="D29" s="19">
        <f>'BALANCE SHEET '!D34/'BALANCE SHEET '!$D$23</f>
        <v>1.01615689462453E-4</v>
      </c>
      <c r="E29" s="19">
        <f>'BALANCE SHEET '!E34/'BALANCE SHEET '!$E$23</f>
        <v>8.8960056934436443E-5</v>
      </c>
      <c r="F29" s="19">
        <f>'BALANCE SHEET '!F34/'BALANCE SHEET '!$F$23</f>
        <v>7.5233222991272951E-5</v>
      </c>
      <c r="G29" s="19">
        <f>'BALANCE SHEET '!G34/'BALANCE SHEET '!$G$23</f>
        <v>5.7753393011839443E-5</v>
      </c>
      <c r="H29" s="19">
        <f>'BALANCE SHEET '!H34/'BALANCE SHEET '!$H$23</f>
        <v>3.473307630856865E-5</v>
      </c>
      <c r="I29" s="19">
        <f>'BALANCE SHEET '!I34/'BALANCE SHEET '!$I$23</f>
        <v>6.7893271776766926E-5</v>
      </c>
      <c r="J29" s="19">
        <f>'BALANCE SHEET '!J34/'BALANCE SHEET '!$J$23</f>
        <v>4.8564906998203096E-5</v>
      </c>
      <c r="K29" s="19">
        <f>'BALANCE SHEET '!K34/'BALANCE SHEET '!$K$23</f>
        <v>3.0428432327166505E-5</v>
      </c>
    </row>
    <row r="30" spans="1:11" x14ac:dyDescent="0.25">
      <c r="A30" s="1" t="s">
        <v>6</v>
      </c>
      <c r="B30" s="19">
        <f>'BALANCE SHEET '!B35/'BALANCE SHEET '!$B$23</f>
        <v>0.53532773217533114</v>
      </c>
      <c r="C30" s="19">
        <f>'BALANCE SHEET '!C35/'BALANCE SHEET '!$C$23</f>
        <v>0.56580732700135683</v>
      </c>
      <c r="D30" s="19">
        <f>'BALANCE SHEET '!D35/'BALANCE SHEET '!$D$23</f>
        <v>0.47840666598922876</v>
      </c>
      <c r="E30" s="19">
        <f>'BALANCE SHEET '!E35/'BALANCE SHEET '!$E$23</f>
        <v>0.4760252646561694</v>
      </c>
      <c r="F30" s="19">
        <f>'BALANCE SHEET '!F35/'BALANCE SHEET '!$F$23</f>
        <v>0.45523623232019261</v>
      </c>
      <c r="G30" s="19">
        <f>'BALANCE SHEET '!G35/'BALANCE SHEET '!$G$23</f>
        <v>0.40687265376840892</v>
      </c>
      <c r="H30" s="19">
        <f>'BALANCE SHEET '!H35/'BALANCE SHEET '!$H$23</f>
        <v>0.30290715848702721</v>
      </c>
      <c r="I30" s="19">
        <f>'BALANCE SHEET '!I35/'BALANCE SHEET '!$I$23</f>
        <v>0.23502387580057482</v>
      </c>
      <c r="J30" s="19">
        <f>'BALANCE SHEET '!J35/'BALANCE SHEET '!$J$23</f>
        <v>0.29068525083774466</v>
      </c>
      <c r="K30" s="19">
        <f>'BALANCE SHEET '!K35/'BALANCE SHEET '!$K$23</f>
        <v>0.19979308666017526</v>
      </c>
    </row>
    <row r="31" spans="1:11" x14ac:dyDescent="0.25">
      <c r="A31" s="1" t="s">
        <v>5</v>
      </c>
      <c r="B31" s="19">
        <f>'BALANCE SHEET '!B36/'BALANCE SHEET '!$B$23</f>
        <v>0.54835095220796937</v>
      </c>
      <c r="C31" s="19">
        <f>'BALANCE SHEET '!C36/'BALANCE SHEET '!$C$23</f>
        <v>0.59023066485753051</v>
      </c>
      <c r="D31" s="19">
        <f>'BALANCE SHEET '!D36/'BALANCE SHEET '!$D$23</f>
        <v>0.62066863123666294</v>
      </c>
      <c r="E31" s="19">
        <f>'BALANCE SHEET '!E36/'BALANCE SHEET '!$E$23</f>
        <v>0.78169202028289297</v>
      </c>
      <c r="F31" s="19">
        <f>'BALANCE SHEET '!F36/'BALANCE SHEET '!$F$23</f>
        <v>0.94530544688534457</v>
      </c>
      <c r="G31" s="19">
        <f>'BALANCE SHEET '!G36/'BALANCE SHEET '!$G$23</f>
        <v>0.86462604678024835</v>
      </c>
      <c r="H31" s="19">
        <f>'BALANCE SHEET '!H36/'BALANCE SHEET '!$H$23</f>
        <v>0.65673300684241598</v>
      </c>
      <c r="I31" s="19">
        <f>'BALANCE SHEET '!I36/'BALANCE SHEET '!$I$23</f>
        <v>0.3674157557652703</v>
      </c>
      <c r="J31" s="19">
        <f>'BALANCE SHEET '!J36/'BALANCE SHEET '!$J$23</f>
        <v>0.24697683453936187</v>
      </c>
      <c r="K31" s="19">
        <f>'BALANCE SHEET '!K36/'BALANCE SHEET '!$K$23</f>
        <v>0.4536422833495618</v>
      </c>
    </row>
    <row r="32" spans="1:11" x14ac:dyDescent="0.25">
      <c r="A32" s="1" t="s">
        <v>4</v>
      </c>
      <c r="B32" s="19">
        <f>'BALANCE SHEET '!B37/'BALANCE SHEET '!$B$23</f>
        <v>1.0892374893214734E-3</v>
      </c>
      <c r="C32" s="19">
        <f>'BALANCE SHEET '!C37/'BALANCE SHEET '!$C$23</f>
        <v>-5.4274084124830398E-4</v>
      </c>
      <c r="D32" s="19">
        <f>'BALANCE SHEET '!D37/'BALANCE SHEET '!$D$23</f>
        <v>-1.625851031399248E-3</v>
      </c>
      <c r="E32" s="19">
        <f>'BALANCE SHEET '!E37/'BALANCE SHEET '!$E$23</f>
        <v>-1.6012810248198558E-3</v>
      </c>
      <c r="F32" s="19">
        <f>'BALANCE SHEET '!F37/'BALANCE SHEET '!$F$23</f>
        <v>-9.0279867589527531E-4</v>
      </c>
      <c r="G32" s="19">
        <f>'BALANCE SHEET '!G37/'BALANCE SHEET '!$G$23</f>
        <v>5.7753393011839443E-5</v>
      </c>
      <c r="H32" s="19">
        <f>'BALANCE SHEET '!H37/'BALANCE SHEET '!$H$23</f>
        <v>6.599284498628044E-4</v>
      </c>
      <c r="I32" s="19">
        <f>'BALANCE SHEET '!I37/'BALANCE SHEET '!$I$23</f>
        <v>-2.4894199651481205E-4</v>
      </c>
      <c r="J32" s="19">
        <f>'BALANCE SHEET '!J37/'BALANCE SHEET '!$J$23</f>
        <v>-1.0441455004613666E-3</v>
      </c>
      <c r="K32" s="19">
        <f>'BALANCE SHEET '!K37/'BALANCE SHEET '!$K$23</f>
        <v>4.1078383641674783E-4</v>
      </c>
    </row>
    <row r="33" spans="1:11" x14ac:dyDescent="0.25">
      <c r="A33" s="1" t="s">
        <v>3</v>
      </c>
      <c r="B33" s="19">
        <f>'BALANCE SHEET '!B38/'BALANCE SHEET '!$B$23</f>
        <v>0.47138057657933879</v>
      </c>
      <c r="C33" s="19">
        <f>'BALANCE SHEET '!C38/'BALANCE SHEET '!$C$23</f>
        <v>0.54925373134328359</v>
      </c>
      <c r="D33" s="19">
        <f>'BALANCE SHEET '!D38/'BALANCE SHEET '!$D$23</f>
        <v>0.51204145920130073</v>
      </c>
      <c r="E33" s="19">
        <f>'BALANCE SHEET '!E38/'BALANCE SHEET '!$E$23</f>
        <v>0.59158437861400226</v>
      </c>
      <c r="F33" s="19">
        <f>'BALANCE SHEET '!F38/'BALANCE SHEET '!$F$23</f>
        <v>0.69688534456816131</v>
      </c>
      <c r="G33" s="19">
        <f>'BALANCE SHEET '!G38/'BALANCE SHEET '!$G$23</f>
        <v>0.56679179901819232</v>
      </c>
      <c r="H33" s="19">
        <f>'BALANCE SHEET '!H38/'BALANCE SHEET '!$H$23</f>
        <v>0.37358896877496439</v>
      </c>
      <c r="I33" s="19">
        <f>'BALANCE SHEET '!I38/'BALANCE SHEET '!$I$23</f>
        <v>0</v>
      </c>
      <c r="J33" s="19">
        <f>'BALANCE SHEET '!J38/'BALANCE SHEET '!$J$23</f>
        <v>0</v>
      </c>
      <c r="K33" s="19">
        <f>'BALANCE SHEET '!K38/'BALANCE SHEET '!$K$23</f>
        <v>0</v>
      </c>
    </row>
    <row r="34" spans="1:11" ht="15.75" x14ac:dyDescent="0.25">
      <c r="A34" s="23" t="s">
        <v>1</v>
      </c>
      <c r="B34" s="19">
        <f>'BALANCE SHEET '!B39/'BALANCE SHEET '!$B$23</f>
        <v>0.61349204762206289</v>
      </c>
      <c r="C34" s="19">
        <f>'BALANCE SHEET '!C39/'BALANCE SHEET '!$C$23</f>
        <v>0.61818181818181817</v>
      </c>
      <c r="D34" s="19">
        <f>'BALANCE SHEET '!D39/'BALANCE SHEET '!$D$23</f>
        <v>0.5886596890559902</v>
      </c>
      <c r="E34" s="19">
        <f>'BALANCE SHEET '!E39/'BALANCE SHEET '!$E$23</f>
        <v>0.66462058535717461</v>
      </c>
      <c r="F34" s="19">
        <f>'BALANCE SHEET '!F39/'BALANCE SHEET '!$F$23</f>
        <v>0.7028287691844719</v>
      </c>
      <c r="G34" s="19">
        <f>'BALANCE SHEET '!G39/'BALANCE SHEET '!$G$23</f>
        <v>0.70482240831648857</v>
      </c>
      <c r="H34" s="19">
        <f>'BALANCE SHEET '!H39/'BALANCE SHEET '!$H$23</f>
        <v>0.58674585808065016</v>
      </c>
      <c r="I34" s="19">
        <f>'BALANCE SHEET '!I39/'BALANCE SHEET '!$I$23</f>
        <v>0.60225858284110712</v>
      </c>
      <c r="J34" s="19">
        <f>'BALANCE SHEET '!J39/'BALANCE SHEET '!$J$23</f>
        <v>0.53666650478364331</v>
      </c>
      <c r="K34" s="19">
        <f>'BALANCE SHEET '!K39/'BALANCE SHEET '!$K$23</f>
        <v>0.653876582278481</v>
      </c>
    </row>
    <row r="35" spans="1:11" ht="15.75" x14ac:dyDescent="0.25">
      <c r="A35" s="23" t="s">
        <v>0</v>
      </c>
      <c r="B35" s="19">
        <f>'BALANCE SHEET '!B40/'BALANCE SHEET '!$B$23</f>
        <v>1</v>
      </c>
      <c r="C35" s="19">
        <f>'BALANCE SHEET '!C40/'BALANCE SHEET '!$C$23</f>
        <v>1</v>
      </c>
      <c r="D35" s="19">
        <f>'BALANCE SHEET '!D40/'BALANCE SHEET '!$D$23</f>
        <v>1</v>
      </c>
      <c r="E35" s="19">
        <f>'BALANCE SHEET '!E40/'BALANCE SHEET '!$E$23</f>
        <v>1</v>
      </c>
      <c r="F35" s="19">
        <f>'BALANCE SHEET '!F40/'BALANCE SHEET '!$F$23</f>
        <v>1</v>
      </c>
      <c r="G35" s="19">
        <f>'BALANCE SHEET '!G40/'BALANCE SHEET '!$G$23</f>
        <v>1</v>
      </c>
      <c r="H35" s="19">
        <f>'BALANCE SHEET '!H40/'BALANCE SHEET '!$H$23</f>
        <v>1</v>
      </c>
      <c r="I35" s="19">
        <f>'BALANCE SHEET '!I40/'BALANCE SHEET '!$I$23</f>
        <v>1</v>
      </c>
      <c r="J35" s="19">
        <f>'BALANCE SHEET '!J40/'BALANCE SHEET '!$J$23</f>
        <v>1</v>
      </c>
      <c r="K35" s="19">
        <f>'BALANCE SHEET '!K40/'BALANCE SHEET '!$K$23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E1F8-D52E-4B0D-8CCA-779018CFEF5D}">
  <dimension ref="A1:K25"/>
  <sheetViews>
    <sheetView topLeftCell="F10" workbookViewId="0">
      <selection activeCell="W14" sqref="W14"/>
    </sheetView>
  </sheetViews>
  <sheetFormatPr defaultRowHeight="15" x14ac:dyDescent="0.25"/>
  <cols>
    <col min="1" max="1" width="27" bestFit="1" customWidth="1"/>
    <col min="2" max="11" width="5" bestFit="1" customWidth="1"/>
  </cols>
  <sheetData>
    <row r="1" spans="1:11" x14ac:dyDescent="0.25">
      <c r="A1" s="4" t="s">
        <v>49</v>
      </c>
      <c r="B1" s="27">
        <v>2015</v>
      </c>
      <c r="C1" s="27">
        <v>2016</v>
      </c>
      <c r="D1" s="27">
        <v>2017</v>
      </c>
      <c r="E1" s="27">
        <v>2018</v>
      </c>
      <c r="F1" s="27">
        <v>2019</v>
      </c>
      <c r="G1" s="27">
        <v>2020</v>
      </c>
      <c r="H1" s="27">
        <v>2021</v>
      </c>
      <c r="I1" s="27">
        <v>2022</v>
      </c>
      <c r="J1" s="27">
        <v>2023</v>
      </c>
      <c r="K1" s="27">
        <v>2024</v>
      </c>
    </row>
    <row r="2" spans="1:11" x14ac:dyDescent="0.25">
      <c r="A2" s="9" t="s">
        <v>96</v>
      </c>
      <c r="B2">
        <f>'INCOME STATEMENT'!B13/'INCOME STATEMENT'!B13</f>
        <v>1</v>
      </c>
      <c r="C2">
        <f>('INCOME STATEMENT'!C13-'INCOME STATEMENT'!B13)/'INCOME STATEMENT'!B13</f>
        <v>7.0168217200145169E-2</v>
      </c>
      <c r="D2">
        <f>('INCOME STATEMENT'!D13-'INCOME STATEMENT'!C13)/'INCOME STATEMENT'!C13</f>
        <v>0.37924151696606784</v>
      </c>
      <c r="E2">
        <f>('INCOME STATEMENT'!E13-'INCOME STATEMENT'!D13)/'INCOME STATEMENT'!D13</f>
        <v>0.4057887120115774</v>
      </c>
      <c r="F2">
        <f>('INCOME STATEMENT'!F13-'INCOME STATEMENT'!E13)/'INCOME STATEMENT'!E13</f>
        <v>0.20609429689108502</v>
      </c>
      <c r="G2">
        <f>('INCOME STATEMENT'!G13-'INCOME STATEMENT'!F13)/'INCOME STATEMENT'!F13</f>
        <v>-6.8111983612154314E-2</v>
      </c>
      <c r="H2">
        <f>('INCOME STATEMENT'!H13-'INCOME STATEMENT'!G13)/'INCOME STATEMENT'!G13</f>
        <v>0.52729437625938813</v>
      </c>
      <c r="I2">
        <f>('INCOME STATEMENT'!I13-'INCOME STATEMENT'!H13)/'INCOME STATEMENT'!H13</f>
        <v>0.61403298350824587</v>
      </c>
      <c r="J2">
        <f>('INCOME STATEMENT'!J13-'INCOME STATEMENT'!I13)/'INCOME STATEMENT'!I13</f>
        <v>2.2293230289068887E-3</v>
      </c>
      <c r="K2">
        <f>('INCOME STATEMENT'!K13-'INCOME STATEMENT'!J13)/'INCOME STATEMENT'!J13</f>
        <v>1.2585452658115222</v>
      </c>
    </row>
    <row r="3" spans="1:11" x14ac:dyDescent="0.25">
      <c r="A3" s="16" t="s">
        <v>97</v>
      </c>
      <c r="B3">
        <f>'INCOME STATEMENT'!B24/'INCOME STATEMENT'!B13</f>
        <v>0.13469743823943872</v>
      </c>
      <c r="C3">
        <f>'INCOME STATEMENT'!C24/'INCOME STATEMENT'!C13</f>
        <v>0.12255489021956088</v>
      </c>
      <c r="D3">
        <f>'INCOME STATEMENT'!D24/'INCOME STATEMENT'!D13</f>
        <v>0.24109985528219971</v>
      </c>
      <c r="E3">
        <f>'INCOME STATEMENT'!E24/'INCOME STATEMENT'!E13</f>
        <v>0.3136709903232448</v>
      </c>
      <c r="F3">
        <f>'INCOME STATEMENT'!F24/'INCOME STATEMENT'!F13</f>
        <v>0.35344827586206895</v>
      </c>
      <c r="G3">
        <f>'INCOME STATEMENT'!G24/'INCOME STATEMENT'!G13</f>
        <v>0.25609085913170909</v>
      </c>
      <c r="H3">
        <f>'INCOME STATEMENT'!H24/'INCOME STATEMENT'!H13</f>
        <v>0.25979010494752625</v>
      </c>
      <c r="I3">
        <f>'INCOME STATEMENT'!I24/'INCOME STATEMENT'!I13</f>
        <v>0.36233930296499961</v>
      </c>
      <c r="J3">
        <f>'INCOME STATEMENT'!J24/'INCOME STATEMENT'!J13</f>
        <v>0.16193371394676356</v>
      </c>
      <c r="K3">
        <f>'INCOME STATEMENT'!K24/'INCOME STATEMENT'!K13</f>
        <v>0.4884934834706674</v>
      </c>
    </row>
    <row r="4" spans="1:11" x14ac:dyDescent="0.25">
      <c r="A4" s="16" t="s">
        <v>98</v>
      </c>
      <c r="B4">
        <f>'INCOME STATEMENT'!B15/'INCOME STATEMENT'!B13</f>
        <v>0.55526500334187257</v>
      </c>
      <c r="C4">
        <f>'INCOME STATEMENT'!C15/'INCOME STATEMENT'!C13</f>
        <v>0.56107784431137719</v>
      </c>
      <c r="D4">
        <f>'INCOME STATEMENT'!D15/'INCOME STATEMENT'!D13</f>
        <v>0.58798842257597683</v>
      </c>
      <c r="E4">
        <f>'INCOME STATEMENT'!E15/'INCOME STATEMENT'!E13</f>
        <v>0.59934115709285563</v>
      </c>
      <c r="F4">
        <f>'INCOME STATEMENT'!F15/'INCOME STATEMENT'!F13</f>
        <v>0.61206896551724133</v>
      </c>
      <c r="G4">
        <f>'INCOME STATEMENT'!G15/'INCOME STATEMENT'!G13</f>
        <v>0.61989375343469499</v>
      </c>
      <c r="H4">
        <f>'INCOME STATEMENT'!H15/'INCOME STATEMENT'!H13</f>
        <v>0.62344827586206897</v>
      </c>
      <c r="I4">
        <f>'INCOME STATEMENT'!I15/'INCOME STATEMENT'!I13</f>
        <v>0.64929033216913135</v>
      </c>
      <c r="J4">
        <f>'INCOME STATEMENT'!J15/'INCOME STATEMENT'!J13</f>
        <v>0.56928894490991322</v>
      </c>
      <c r="K4">
        <f>'INCOME STATEMENT'!K15/'INCOME STATEMENT'!K13</f>
        <v>0.72717573290436954</v>
      </c>
    </row>
    <row r="5" spans="1:11" x14ac:dyDescent="0.25">
      <c r="A5" s="16" t="s">
        <v>62</v>
      </c>
      <c r="B5">
        <f>'INCOME STATEMENT'!B19/'INCOME STATEMENT'!B13</f>
        <v>0.16212493113862694</v>
      </c>
      <c r="C5">
        <f>'INCOME STATEMENT'!C19/'INCOME STATEMENT'!C13</f>
        <v>0.14910179640718563</v>
      </c>
      <c r="D5">
        <f>'INCOME STATEMENT'!D19/'INCOME STATEMENT'!D13</f>
        <v>0.27988422575976846</v>
      </c>
      <c r="E5">
        <f>'INCOME STATEMENT'!E19/'INCOME STATEMENT'!E13</f>
        <v>0.33045089561457691</v>
      </c>
      <c r="F5">
        <f>'INCOME STATEMENT'!F19/'INCOME STATEMENT'!F13</f>
        <v>0.32468419255718678</v>
      </c>
      <c r="G5">
        <f>'INCOME STATEMENT'!G19/'INCOME STATEMENT'!G13</f>
        <v>0.2606704524638212</v>
      </c>
      <c r="H5">
        <f>'INCOME STATEMENT'!H19/'INCOME STATEMENT'!H13</f>
        <v>0.27178410794602698</v>
      </c>
      <c r="I5">
        <f>'INCOME STATEMENT'!I19/'INCOME STATEMENT'!I13</f>
        <v>0.37307720888756779</v>
      </c>
      <c r="J5">
        <f>'INCOME STATEMENT'!J19/'INCOME STATEMENT'!J13</f>
        <v>0.1565952398606065</v>
      </c>
      <c r="K5">
        <f>'INCOME STATEMENT'!K19/'INCOME STATEMENT'!K13</f>
        <v>0.54121663766783756</v>
      </c>
    </row>
    <row r="6" spans="1:11" x14ac:dyDescent="0.25">
      <c r="A6" s="16" t="s">
        <v>99</v>
      </c>
      <c r="B6">
        <f>'INCOME STATEMENT'!B24/'BALANCE SHEET '!B23</f>
        <v>8.7564890448592544E-2</v>
      </c>
      <c r="C6">
        <f>'INCOME STATEMENT'!C24/'BALANCE SHEET '!C23</f>
        <v>8.3310719131614655E-2</v>
      </c>
      <c r="D6">
        <f>'INCOME STATEMENT'!D24/'BALANCE SHEET '!D23</f>
        <v>0.16929173864444672</v>
      </c>
      <c r="E6">
        <f>'INCOME STATEMENT'!E24/'BALANCE SHEET '!E23</f>
        <v>0.27106129347922781</v>
      </c>
      <c r="F6">
        <f>'INCOME STATEMENT'!F24/'BALANCE SHEET '!F23</f>
        <v>0.31154077640686129</v>
      </c>
      <c r="G6">
        <f>'INCOME STATEMENT'!G24/'BALANCE SHEET '!G23</f>
        <v>0.16147848686110308</v>
      </c>
      <c r="H6">
        <f>'INCOME STATEMENT'!H24/'BALANCE SHEET '!H23</f>
        <v>0.15046368656871939</v>
      </c>
      <c r="I6">
        <f>'INCOME STATEMENT'!I24/'BALANCE SHEET '!I23</f>
        <v>0.22069839545567702</v>
      </c>
      <c r="J6">
        <f>'INCOME STATEMENT'!J24/'BALANCE SHEET '!J23</f>
        <v>0.10606575688407557</v>
      </c>
      <c r="K6">
        <f>'INCOME STATEMENT'!K24/'BALANCE SHEET '!K23</f>
        <v>0.45277507302823761</v>
      </c>
    </row>
    <row r="7" spans="1:11" x14ac:dyDescent="0.25">
      <c r="A7" s="16" t="s">
        <v>100</v>
      </c>
      <c r="B7">
        <f>'INCOME STATEMENT'!B24/'BALANCE SHEET '!B39</f>
        <v>0.14273190791632923</v>
      </c>
      <c r="C7">
        <f>'INCOME STATEMENT'!C24/'BALANCE SHEET '!C39</f>
        <v>0.13476733977172958</v>
      </c>
      <c r="D7">
        <f>'INCOME STATEMENT'!D24/'BALANCE SHEET '!D39</f>
        <v>0.28758846884170552</v>
      </c>
      <c r="E7">
        <f>'INCOME STATEMENT'!E24/'BALANCE SHEET '!E39</f>
        <v>0.40784366216035339</v>
      </c>
      <c r="F7">
        <f>'INCOME STATEMENT'!F24/'BALANCE SHEET '!F39</f>
        <v>0.44326696638835367</v>
      </c>
      <c r="G7">
        <f>'INCOME STATEMENT'!G24/'BALANCE SHEET '!G39</f>
        <v>0.22910521140609635</v>
      </c>
      <c r="H7">
        <f>'INCOME STATEMENT'!H24/'BALANCE SHEET '!H39</f>
        <v>0.25643757769490322</v>
      </c>
      <c r="I7">
        <f>'INCOME STATEMENT'!I24/'BALANCE SHEET '!I39</f>
        <v>0.36645122501127309</v>
      </c>
      <c r="J7">
        <f>'INCOME STATEMENT'!J24/'BALANCE SHEET '!J39</f>
        <v>0.19763811592235644</v>
      </c>
      <c r="K7">
        <f>'INCOME STATEMENT'!K24/'BALANCE SHEET '!K39</f>
        <v>0.69244729861789756</v>
      </c>
    </row>
    <row r="8" spans="1:11" x14ac:dyDescent="0.25">
      <c r="A8" s="11" t="s">
        <v>101</v>
      </c>
    </row>
    <row r="9" spans="1:11" x14ac:dyDescent="0.25">
      <c r="A9" s="16" t="s">
        <v>102</v>
      </c>
      <c r="B9">
        <f>'BALANCE SHEET '!B17/'BALANCE SHEET '!B29</f>
        <v>6.3762340546633487</v>
      </c>
      <c r="C9">
        <f>'BALANCE SHEET '!C17/'BALANCE SHEET '!C29</f>
        <v>2.5746490854955337</v>
      </c>
      <c r="D9">
        <f>'BALANCE SHEET '!D17/'BALANCE SHEET '!D29</f>
        <v>4.7740492170022373</v>
      </c>
      <c r="E9">
        <f>'BALANCE SHEET '!E17/'BALANCE SHEET '!E29</f>
        <v>8.0268863833477884</v>
      </c>
      <c r="F9">
        <f>'BALANCE SHEET '!F17/'BALANCE SHEET '!F29</f>
        <v>7.9435665914221216</v>
      </c>
      <c r="G9">
        <f>'BALANCE SHEET '!G17/'BALANCE SHEET '!G29</f>
        <v>7.6737668161434973</v>
      </c>
      <c r="H9">
        <f>'BALANCE SHEET '!H17/'BALANCE SHEET '!H29</f>
        <v>4.0904458598726112</v>
      </c>
      <c r="I9">
        <f>'BALANCE SHEET '!I17/'BALANCE SHEET '!I29</f>
        <v>6.6502883506343711</v>
      </c>
      <c r="J9">
        <f>'BALANCE SHEET '!J17/'BALANCE SHEET '!J29</f>
        <v>3.5156178576870332</v>
      </c>
      <c r="K9">
        <f>'BALANCE SHEET '!K17/'BALANCE SHEET '!K29</f>
        <v>4.1712915059730973</v>
      </c>
    </row>
    <row r="10" spans="1:11" x14ac:dyDescent="0.25">
      <c r="A10" s="16" t="s">
        <v>103</v>
      </c>
      <c r="B10">
        <f>('BALANCE SHEET '!B11+'BALANCE SHEET '!B12+'BALANCE SHEET '!B14)/'BALANCE SHEET '!B29</f>
        <v>5.6883988259321674</v>
      </c>
      <c r="C10">
        <f>('BALANCE SHEET '!C11+'BALANCE SHEET '!C12+'BALANCE SHEET '!C14)/'BALANCE SHEET '!C29</f>
        <v>2.3572947681837517</v>
      </c>
      <c r="D10">
        <f>('BALANCE SHEET '!D11+'BALANCE SHEET '!D12+'BALANCE SHEET '!D14)/'BALANCE SHEET '!D29</f>
        <v>4.2639821029082778</v>
      </c>
      <c r="E10">
        <f>('BALANCE SHEET '!E11+'BALANCE SHEET '!E12+'BALANCE SHEET '!E14)/'BALANCE SHEET '!E29</f>
        <v>7.2619254119687771</v>
      </c>
      <c r="F10">
        <f>('BALANCE SHEET '!F11+'BALANCE SHEET '!F12+'BALANCE SHEET '!F14)/'BALANCE SHEET '!F29</f>
        <v>6.6561324303987961</v>
      </c>
      <c r="G10">
        <f>('BALANCE SHEET '!G11+'BALANCE SHEET '!G12+'BALANCE SHEET '!G14)/'BALANCE SHEET '!G29</f>
        <v>7.0369955156950672</v>
      </c>
      <c r="H10">
        <f>('BALANCE SHEET '!H11+'BALANCE SHEET '!H12+'BALANCE SHEET '!H14)/'BALANCE SHEET '!H29</f>
        <v>3.5643312101910829</v>
      </c>
      <c r="I10">
        <f>('BALANCE SHEET '!I11+'BALANCE SHEET '!I12+'BALANCE SHEET '!I14)/'BALANCE SHEET '!I29</f>
        <v>5.9649365628604381</v>
      </c>
      <c r="J10">
        <f>('BALANCE SHEET '!J11+'BALANCE SHEET '!J12+'BALANCE SHEET '!J14)/'BALANCE SHEET '!J29</f>
        <v>2.6090202651226573</v>
      </c>
      <c r="K10">
        <f>('BALANCE SHEET '!K11+'BALANCE SHEET '!K12+'BALANCE SHEET '!K14)/'BALANCE SHEET '!K29</f>
        <v>3.3847239206095381</v>
      </c>
    </row>
    <row r="11" spans="1:11" x14ac:dyDescent="0.25">
      <c r="A11" s="16" t="s">
        <v>104</v>
      </c>
      <c r="B11">
        <f>'BALANCE SHEET '!B11/'BALANCE SHEET '!B33</f>
        <v>0.17843518649587228</v>
      </c>
      <c r="C11">
        <f>'BALANCE SHEET '!C11/'BALANCE SHEET '!C33</f>
        <v>0.21179815209665956</v>
      </c>
      <c r="D11">
        <f>'BALANCE SHEET '!D11/'BALANCE SHEET '!D33</f>
        <v>0.43626482213438733</v>
      </c>
      <c r="E11">
        <f>'BALANCE SHEET '!E11/'BALANCE SHEET '!E33</f>
        <v>1.0615384615384615</v>
      </c>
      <c r="F11">
        <f>'BALANCE SHEET '!F11/'BALANCE SHEET '!F33</f>
        <v>0.19797468354430381</v>
      </c>
      <c r="G11">
        <f>'BALANCE SHEET '!G11/'BALANCE SHEET '!G33</f>
        <v>2.1318724320093914</v>
      </c>
      <c r="H11">
        <f>'BALANCE SHEET '!H11/'BALANCE SHEET '!H33</f>
        <v>7.118843503109766E-2</v>
      </c>
      <c r="I11">
        <f>'BALANCE SHEET '!I11/'BALANCE SHEET '!I33</f>
        <v>0.11322901849217638</v>
      </c>
      <c r="J11">
        <f>'BALANCE SHEET '!J11/'BALANCE SHEET '!J33</f>
        <v>0.17761123630836959</v>
      </c>
      <c r="K11">
        <f>'BALANCE SHEET '!K11/'BALANCE SHEET '!K33</f>
        <v>0.32</v>
      </c>
    </row>
    <row r="12" spans="1:11" ht="15.75" x14ac:dyDescent="0.25">
      <c r="A12" s="14" t="s">
        <v>105</v>
      </c>
    </row>
    <row r="13" spans="1:11" x14ac:dyDescent="0.25">
      <c r="A13" s="16" t="s">
        <v>106</v>
      </c>
      <c r="B13">
        <f>'BALANCE SHEET '!B33/'BALANCE SHEET '!B39</f>
        <v>0.63001297877628293</v>
      </c>
      <c r="C13">
        <f>'BALANCE SHEET '!C33/'BALANCE SHEET '!C39</f>
        <v>0.61764705882352944</v>
      </c>
      <c r="D13">
        <f>'BALANCE SHEET '!D33/'BALANCE SHEET '!D39</f>
        <v>0.69877438287588467</v>
      </c>
      <c r="E13">
        <f>'BALANCE SHEET '!E33/'BALANCE SHEET '!E39</f>
        <v>0.50461785570874051</v>
      </c>
      <c r="F13">
        <f>'BALANCE SHEET '!F33/'BALANCE SHEET '!F39</f>
        <v>0.42282166559623208</v>
      </c>
      <c r="G13">
        <f>'BALANCE SHEET '!G33/'BALANCE SHEET '!G39</f>
        <v>0.41879711569977057</v>
      </c>
      <c r="H13">
        <f>'BALANCE SHEET '!H33/'BALANCE SHEET '!H39</f>
        <v>0.7043153969099627</v>
      </c>
      <c r="I13">
        <f>'BALANCE SHEET '!I33/'BALANCE SHEET '!I39</f>
        <v>0.66041635352472572</v>
      </c>
      <c r="J13">
        <f>'BALANCE SHEET '!J33/'BALANCE SHEET '!J39</f>
        <v>0.8633545993393964</v>
      </c>
      <c r="K13">
        <f>'BALANCE SHEET '!K33/'BALANCE SHEET '!K39</f>
        <v>0.52934059286146395</v>
      </c>
    </row>
    <row r="14" spans="1:11" x14ac:dyDescent="0.25">
      <c r="A14" s="16" t="s">
        <v>107</v>
      </c>
      <c r="B14">
        <f>'BALANCE SHEET '!B33/'BALANCE SHEET '!B23</f>
        <v>0.38650795237793706</v>
      </c>
      <c r="C14">
        <f>'BALANCE SHEET '!C33/'BALANCE SHEET '!C23</f>
        <v>0.38181818181818183</v>
      </c>
      <c r="D14">
        <f>'BALANCE SHEET '!D33/'BALANCE SHEET '!D23</f>
        <v>0.41134031094400975</v>
      </c>
      <c r="E14">
        <f>'BALANCE SHEET '!E33/'BALANCE SHEET '!E23</f>
        <v>0.33537941464282539</v>
      </c>
      <c r="F14">
        <f>'BALANCE SHEET '!F33/'BALANCE SHEET '!F23</f>
        <v>0.29717123081552815</v>
      </c>
      <c r="G14">
        <f>'BALANCE SHEET '!G33/'BALANCE SHEET '!G23</f>
        <v>0.29517759168351143</v>
      </c>
      <c r="H14">
        <f>'BALANCE SHEET '!H33/'BALANCE SHEET '!H23</f>
        <v>0.41325414191934978</v>
      </c>
      <c r="I14">
        <f>'BALANCE SHEET '!I33/'BALANCE SHEET '!I23</f>
        <v>0.39774141715889288</v>
      </c>
      <c r="J14">
        <f>'BALANCE SHEET '!J33/'BALANCE SHEET '!J23</f>
        <v>0.46333349521635664</v>
      </c>
      <c r="K14">
        <f>'BALANCE SHEET '!K33/'BALANCE SHEET '!K23</f>
        <v>0.346123417721519</v>
      </c>
    </row>
    <row r="15" spans="1:11" ht="15.75" x14ac:dyDescent="0.25">
      <c r="A15" s="14"/>
    </row>
    <row r="16" spans="1:11" x14ac:dyDescent="0.25">
      <c r="A16" s="16"/>
    </row>
    <row r="17" spans="1:1" x14ac:dyDescent="0.25">
      <c r="A17" s="11"/>
    </row>
    <row r="18" spans="1:1" x14ac:dyDescent="0.25">
      <c r="A18" s="17"/>
    </row>
    <row r="19" spans="1:1" x14ac:dyDescent="0.25">
      <c r="A19" s="16"/>
    </row>
    <row r="20" spans="1:1" x14ac:dyDescent="0.25">
      <c r="A20" s="17"/>
    </row>
    <row r="21" spans="1:1" x14ac:dyDescent="0.25">
      <c r="A21" s="16"/>
    </row>
    <row r="22" spans="1:1" x14ac:dyDescent="0.25">
      <c r="A22" s="16"/>
    </row>
    <row r="23" spans="1:1" x14ac:dyDescent="0.25">
      <c r="A23" s="17"/>
    </row>
    <row r="24" spans="1:1" x14ac:dyDescent="0.25">
      <c r="A24" s="18"/>
    </row>
    <row r="25" spans="1:1" x14ac:dyDescent="0.25">
      <c r="A25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1C36-61A2-4D87-8215-24EDCFFD7684}">
  <dimension ref="A4:L32"/>
  <sheetViews>
    <sheetView workbookViewId="0">
      <selection activeCell="N9" sqref="N9"/>
    </sheetView>
  </sheetViews>
  <sheetFormatPr defaultRowHeight="15" x14ac:dyDescent="0.25"/>
  <cols>
    <col min="1" max="1" width="50" customWidth="1"/>
    <col min="2" max="191" width="12" customWidth="1"/>
  </cols>
  <sheetData>
    <row r="4" spans="1:12" x14ac:dyDescent="0.25">
      <c r="A4" s="8" t="s">
        <v>52</v>
      </c>
    </row>
    <row r="5" spans="1:12" ht="20.25" x14ac:dyDescent="0.3">
      <c r="A5" s="7" t="s">
        <v>51</v>
      </c>
    </row>
    <row r="6" spans="1:12" x14ac:dyDescent="0.25">
      <c r="A6" s="6" t="s">
        <v>53</v>
      </c>
      <c r="B6" s="27">
        <v>2015</v>
      </c>
      <c r="C6" s="27">
        <v>2016</v>
      </c>
      <c r="D6" s="27">
        <v>2017</v>
      </c>
      <c r="E6" s="27">
        <v>2018</v>
      </c>
      <c r="F6" s="27">
        <v>2019</v>
      </c>
      <c r="G6" s="27">
        <v>2020</v>
      </c>
      <c r="H6" s="27">
        <v>2021</v>
      </c>
      <c r="I6" s="27">
        <v>2022</v>
      </c>
      <c r="J6" s="27">
        <v>2023</v>
      </c>
      <c r="K6" s="27">
        <v>2024</v>
      </c>
    </row>
    <row r="7" spans="1:12" x14ac:dyDescent="0.25">
      <c r="A7" s="4" t="s">
        <v>49</v>
      </c>
      <c r="B7" s="5" t="s">
        <v>48</v>
      </c>
      <c r="C7" s="5" t="s">
        <v>47</v>
      </c>
      <c r="D7" s="5" t="s">
        <v>46</v>
      </c>
      <c r="E7" s="5" t="s">
        <v>45</v>
      </c>
      <c r="F7" s="5" t="s">
        <v>44</v>
      </c>
      <c r="G7" s="5" t="s">
        <v>43</v>
      </c>
      <c r="H7" s="5" t="s">
        <v>42</v>
      </c>
      <c r="I7" s="5" t="s">
        <v>41</v>
      </c>
      <c r="J7" s="5" t="s">
        <v>40</v>
      </c>
      <c r="K7" s="5" t="s">
        <v>39</v>
      </c>
      <c r="L7" s="4"/>
    </row>
    <row r="8" spans="1:12" x14ac:dyDescent="0.25">
      <c r="A8" s="4" t="s">
        <v>38</v>
      </c>
      <c r="B8" s="5" t="s">
        <v>37</v>
      </c>
      <c r="C8" s="5" t="s">
        <v>37</v>
      </c>
      <c r="D8" s="5" t="s">
        <v>37</v>
      </c>
      <c r="E8" s="5" t="s">
        <v>37</v>
      </c>
      <c r="F8" s="5" t="s">
        <v>37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37</v>
      </c>
      <c r="L8" s="4"/>
    </row>
    <row r="9" spans="1:12" ht="25.5" x14ac:dyDescent="0.25">
      <c r="A9" s="4" t="s">
        <v>36</v>
      </c>
      <c r="B9" s="5" t="s">
        <v>35</v>
      </c>
      <c r="C9" s="5" t="s">
        <v>35</v>
      </c>
      <c r="D9" s="5" t="s">
        <v>35</v>
      </c>
      <c r="E9" s="5" t="s">
        <v>35</v>
      </c>
      <c r="F9" s="5" t="s">
        <v>35</v>
      </c>
      <c r="G9" s="5" t="s">
        <v>35</v>
      </c>
      <c r="H9" s="5" t="s">
        <v>35</v>
      </c>
      <c r="I9" s="5" t="s">
        <v>35</v>
      </c>
      <c r="J9" s="5" t="s">
        <v>35</v>
      </c>
      <c r="K9" s="5" t="s">
        <v>35</v>
      </c>
      <c r="L9" s="4"/>
    </row>
    <row r="10" spans="1:12" x14ac:dyDescent="0.25">
      <c r="A10" s="4" t="s">
        <v>34</v>
      </c>
      <c r="B10" s="5" t="s">
        <v>33</v>
      </c>
      <c r="C10" s="5" t="s">
        <v>33</v>
      </c>
      <c r="D10" s="5" t="s">
        <v>33</v>
      </c>
      <c r="E10" s="5" t="s">
        <v>33</v>
      </c>
      <c r="F10" s="5" t="s">
        <v>33</v>
      </c>
      <c r="G10" s="5" t="s">
        <v>33</v>
      </c>
      <c r="H10" s="5" t="s">
        <v>33</v>
      </c>
      <c r="I10" s="5" t="s">
        <v>33</v>
      </c>
      <c r="J10" s="5" t="s">
        <v>33</v>
      </c>
      <c r="K10" s="5" t="s">
        <v>33</v>
      </c>
      <c r="L10" s="4"/>
    </row>
    <row r="11" spans="1:12" x14ac:dyDescent="0.25">
      <c r="A11" s="4" t="s">
        <v>32</v>
      </c>
      <c r="B11" s="5" t="s">
        <v>31</v>
      </c>
      <c r="C11" s="5" t="s">
        <v>31</v>
      </c>
      <c r="D11" s="5" t="s">
        <v>31</v>
      </c>
      <c r="E11" s="5" t="s">
        <v>31</v>
      </c>
      <c r="F11" s="5" t="s">
        <v>31</v>
      </c>
      <c r="G11" s="5" t="s">
        <v>31</v>
      </c>
      <c r="H11" s="5" t="s">
        <v>31</v>
      </c>
      <c r="I11" s="5" t="s">
        <v>31</v>
      </c>
      <c r="J11" s="5" t="s">
        <v>31</v>
      </c>
      <c r="K11" s="5" t="s">
        <v>31</v>
      </c>
      <c r="L11" s="4"/>
    </row>
    <row r="12" spans="1:12" x14ac:dyDescent="0.25">
      <c r="A12" s="1" t="s">
        <v>54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  <c r="J12" s="3" t="s">
        <v>2</v>
      </c>
      <c r="K12" s="2">
        <v>60922000</v>
      </c>
      <c r="L12" s="1"/>
    </row>
    <row r="13" spans="1:12" s="11" customFormat="1" x14ac:dyDescent="0.25">
      <c r="A13" s="9" t="s">
        <v>55</v>
      </c>
      <c r="B13" s="10">
        <v>4681507</v>
      </c>
      <c r="C13" s="10">
        <v>5010000</v>
      </c>
      <c r="D13" s="10">
        <v>6910000</v>
      </c>
      <c r="E13" s="10">
        <v>9714000</v>
      </c>
      <c r="F13" s="10">
        <v>11716000</v>
      </c>
      <c r="G13" s="10">
        <v>10918000</v>
      </c>
      <c r="H13" s="10">
        <v>16675000</v>
      </c>
      <c r="I13" s="10">
        <v>26914000</v>
      </c>
      <c r="J13" s="10">
        <v>26974000</v>
      </c>
      <c r="K13" s="10">
        <v>60922000</v>
      </c>
      <c r="L13" s="9"/>
    </row>
    <row r="14" spans="1:12" x14ac:dyDescent="0.25">
      <c r="A14" s="1" t="s">
        <v>56</v>
      </c>
      <c r="B14" s="2">
        <v>2082030</v>
      </c>
      <c r="C14" s="2">
        <v>2199000</v>
      </c>
      <c r="D14" s="2">
        <v>2847000</v>
      </c>
      <c r="E14" s="2">
        <v>3892000</v>
      </c>
      <c r="F14" s="2">
        <v>4545000</v>
      </c>
      <c r="G14" s="2">
        <v>4150000</v>
      </c>
      <c r="H14" s="2">
        <v>6279000</v>
      </c>
      <c r="I14" s="2">
        <v>9439000</v>
      </c>
      <c r="J14" s="2">
        <v>11618000</v>
      </c>
      <c r="K14" s="2">
        <v>16621000</v>
      </c>
      <c r="L14" s="1"/>
    </row>
    <row r="15" spans="1:12" s="14" customFormat="1" ht="15.75" x14ac:dyDescent="0.25">
      <c r="A15" s="12" t="s">
        <v>57</v>
      </c>
      <c r="B15" s="13">
        <v>2599477</v>
      </c>
      <c r="C15" s="13">
        <v>2811000</v>
      </c>
      <c r="D15" s="13">
        <v>4063000</v>
      </c>
      <c r="E15" s="13">
        <v>5822000</v>
      </c>
      <c r="F15" s="13">
        <v>7171000</v>
      </c>
      <c r="G15" s="13">
        <v>6768000</v>
      </c>
      <c r="H15" s="13">
        <v>10396000</v>
      </c>
      <c r="I15" s="13">
        <v>17475000</v>
      </c>
      <c r="J15" s="13">
        <v>15356000</v>
      </c>
      <c r="K15" s="13">
        <v>44301000</v>
      </c>
      <c r="L15" s="12"/>
    </row>
    <row r="16" spans="1:12" x14ac:dyDescent="0.25">
      <c r="A16" s="1" t="s">
        <v>58</v>
      </c>
      <c r="B16" s="2">
        <v>480763</v>
      </c>
      <c r="C16" s="2">
        <v>602000</v>
      </c>
      <c r="D16" s="2">
        <v>663000</v>
      </c>
      <c r="E16" s="2">
        <v>815000</v>
      </c>
      <c r="F16" s="2">
        <v>991000</v>
      </c>
      <c r="G16" s="2">
        <v>1093000</v>
      </c>
      <c r="H16" s="2">
        <v>1940000</v>
      </c>
      <c r="I16" s="2">
        <v>2166000</v>
      </c>
      <c r="J16" s="2">
        <v>2440000</v>
      </c>
      <c r="K16" s="2">
        <v>2654000</v>
      </c>
      <c r="L16" s="1"/>
    </row>
    <row r="17" spans="1:12" x14ac:dyDescent="0.25">
      <c r="A17" s="1" t="s">
        <v>59</v>
      </c>
      <c r="B17" s="2">
        <v>1359725</v>
      </c>
      <c r="C17" s="2">
        <v>1331000</v>
      </c>
      <c r="D17" s="2">
        <v>1463000</v>
      </c>
      <c r="E17" s="2">
        <v>1797000</v>
      </c>
      <c r="F17" s="2">
        <v>2376000</v>
      </c>
      <c r="G17" s="2">
        <v>2829000</v>
      </c>
      <c r="H17" s="2">
        <v>3924000</v>
      </c>
      <c r="I17" s="2">
        <v>5268000</v>
      </c>
      <c r="J17" s="2">
        <v>7339000</v>
      </c>
      <c r="K17" s="2">
        <v>8675000</v>
      </c>
      <c r="L17" s="1"/>
    </row>
    <row r="18" spans="1:12" x14ac:dyDescent="0.25">
      <c r="A18" s="1" t="s">
        <v>61</v>
      </c>
      <c r="B18" s="2">
        <v>1840488</v>
      </c>
      <c r="C18" s="2">
        <v>2064000</v>
      </c>
      <c r="D18" s="2">
        <v>2129000</v>
      </c>
      <c r="E18" s="2">
        <v>2612000</v>
      </c>
      <c r="F18" s="2">
        <v>3367000</v>
      </c>
      <c r="G18" s="2">
        <v>3922000</v>
      </c>
      <c r="H18" s="2">
        <v>5864000</v>
      </c>
      <c r="I18" s="2">
        <v>7434000</v>
      </c>
      <c r="J18" s="2">
        <v>11132000</v>
      </c>
      <c r="K18" s="2">
        <v>11329000</v>
      </c>
      <c r="L18" s="1"/>
    </row>
    <row r="19" spans="1:12" x14ac:dyDescent="0.25">
      <c r="A19" s="1" t="s">
        <v>62</v>
      </c>
      <c r="B19" s="2">
        <v>758989</v>
      </c>
      <c r="C19" s="2">
        <v>747000</v>
      </c>
      <c r="D19" s="2">
        <v>1934000</v>
      </c>
      <c r="E19" s="2">
        <v>3210000</v>
      </c>
      <c r="F19" s="2">
        <v>3804000</v>
      </c>
      <c r="G19" s="2">
        <v>2846000</v>
      </c>
      <c r="H19" s="2">
        <v>4532000</v>
      </c>
      <c r="I19" s="2">
        <v>10041000</v>
      </c>
      <c r="J19" s="2">
        <v>4224000</v>
      </c>
      <c r="K19" s="2">
        <v>32972000</v>
      </c>
      <c r="L19" s="1"/>
    </row>
    <row r="20" spans="1:12" x14ac:dyDescent="0.25">
      <c r="A20" s="1" t="s">
        <v>63</v>
      </c>
      <c r="B20" s="2">
        <v>-18043</v>
      </c>
      <c r="C20" s="2">
        <v>-8000</v>
      </c>
      <c r="D20" s="2">
        <v>-4000</v>
      </c>
      <c r="E20" s="2">
        <v>8000</v>
      </c>
      <c r="F20" s="2">
        <v>78000</v>
      </c>
      <c r="G20" s="2">
        <v>126000</v>
      </c>
      <c r="H20" s="2">
        <v>-127000</v>
      </c>
      <c r="I20" s="2">
        <v>-207000</v>
      </c>
      <c r="J20" s="2">
        <v>5000</v>
      </c>
      <c r="K20" s="2">
        <v>609000</v>
      </c>
      <c r="L20" s="1"/>
    </row>
    <row r="21" spans="1:12" x14ac:dyDescent="0.25">
      <c r="A21" s="1" t="s">
        <v>64</v>
      </c>
      <c r="B21" s="2">
        <v>13890</v>
      </c>
      <c r="C21" s="2">
        <v>4000</v>
      </c>
      <c r="D21" s="2">
        <v>-25000</v>
      </c>
      <c r="E21" s="2">
        <v>-22000</v>
      </c>
      <c r="F21" s="2">
        <v>14000</v>
      </c>
      <c r="G21" s="2">
        <v>-2000</v>
      </c>
      <c r="H21" s="2">
        <v>4000</v>
      </c>
      <c r="I21" s="2">
        <v>107000</v>
      </c>
      <c r="J21" s="2">
        <v>-48000</v>
      </c>
      <c r="K21" s="2">
        <v>237000</v>
      </c>
      <c r="L21" s="1"/>
    </row>
    <row r="22" spans="1:12" x14ac:dyDescent="0.25">
      <c r="A22" s="1" t="s">
        <v>65</v>
      </c>
      <c r="B22" s="2">
        <v>-4153</v>
      </c>
      <c r="C22" s="2">
        <v>-4000</v>
      </c>
      <c r="D22" s="2">
        <v>-29000</v>
      </c>
      <c r="E22" s="2">
        <v>-14000</v>
      </c>
      <c r="F22" s="2">
        <v>92000</v>
      </c>
      <c r="G22" s="2">
        <v>124000</v>
      </c>
      <c r="H22" s="2">
        <v>-123000</v>
      </c>
      <c r="I22" s="2">
        <v>-100000</v>
      </c>
      <c r="J22" s="2">
        <v>-43000</v>
      </c>
      <c r="K22" s="2">
        <v>846000</v>
      </c>
      <c r="L22" s="1"/>
    </row>
    <row r="23" spans="1:12" x14ac:dyDescent="0.25">
      <c r="A23" s="1" t="s">
        <v>66</v>
      </c>
      <c r="B23" s="2">
        <v>754836</v>
      </c>
      <c r="C23" s="2">
        <v>743000</v>
      </c>
      <c r="D23" s="2">
        <v>1905000</v>
      </c>
      <c r="E23" s="2">
        <v>3196000</v>
      </c>
      <c r="F23" s="2">
        <v>3896000</v>
      </c>
      <c r="G23" s="2">
        <v>2970000</v>
      </c>
      <c r="H23" s="2">
        <v>4409000</v>
      </c>
      <c r="I23" s="2">
        <v>9941000</v>
      </c>
      <c r="J23" s="2">
        <v>4181000</v>
      </c>
      <c r="K23" s="2">
        <v>33818000</v>
      </c>
      <c r="L23" s="1"/>
    </row>
    <row r="24" spans="1:12" s="29" customFormat="1" x14ac:dyDescent="0.25">
      <c r="A24" s="20" t="s">
        <v>67</v>
      </c>
      <c r="B24" s="28">
        <v>630587</v>
      </c>
      <c r="C24" s="28">
        <v>614000</v>
      </c>
      <c r="D24" s="28">
        <v>1666000</v>
      </c>
      <c r="E24" s="28">
        <v>3047000</v>
      </c>
      <c r="F24" s="28">
        <v>4141000</v>
      </c>
      <c r="G24" s="28">
        <v>2796000</v>
      </c>
      <c r="H24" s="28">
        <v>4332000</v>
      </c>
      <c r="I24" s="28">
        <v>9752000</v>
      </c>
      <c r="J24" s="28">
        <v>4368000</v>
      </c>
      <c r="K24" s="28">
        <v>29760000</v>
      </c>
      <c r="L24" s="20"/>
    </row>
    <row r="25" spans="1:12" x14ac:dyDescent="0.25">
      <c r="A25" s="1" t="s">
        <v>68</v>
      </c>
      <c r="B25" s="2">
        <v>630587</v>
      </c>
      <c r="C25" s="2">
        <v>614000</v>
      </c>
      <c r="D25" s="2">
        <v>1666000</v>
      </c>
      <c r="E25" s="2">
        <v>3047000</v>
      </c>
      <c r="F25" s="2">
        <v>4141000</v>
      </c>
      <c r="G25" s="2">
        <v>2796000</v>
      </c>
      <c r="H25" s="2">
        <v>4332000</v>
      </c>
      <c r="I25" s="2">
        <v>9752000</v>
      </c>
      <c r="J25" s="2">
        <v>4368000</v>
      </c>
      <c r="K25" s="2">
        <v>29760000</v>
      </c>
      <c r="L25" s="1"/>
    </row>
    <row r="26" spans="1:12" x14ac:dyDescent="0.25">
      <c r="A26" s="1" t="s">
        <v>69</v>
      </c>
      <c r="B26" s="2">
        <v>22092760</v>
      </c>
      <c r="C26" s="2">
        <v>21720000</v>
      </c>
      <c r="D26" s="2">
        <v>21640000</v>
      </c>
      <c r="E26" s="2">
        <v>23960000</v>
      </c>
      <c r="F26" s="2">
        <v>24320000</v>
      </c>
      <c r="G26" s="2">
        <v>24360000</v>
      </c>
      <c r="H26" s="2">
        <v>24680000</v>
      </c>
      <c r="I26" s="2">
        <v>24960000</v>
      </c>
      <c r="J26" s="2">
        <v>24870000</v>
      </c>
      <c r="K26" s="2">
        <v>24690000</v>
      </c>
      <c r="L26" s="1"/>
    </row>
    <row r="27" spans="1:12" x14ac:dyDescent="0.25">
      <c r="A27" s="1" t="s">
        <v>70</v>
      </c>
      <c r="B27" s="15">
        <v>0.03</v>
      </c>
      <c r="C27" s="15">
        <v>0.03</v>
      </c>
      <c r="D27" s="15">
        <v>0.08</v>
      </c>
      <c r="E27" s="15">
        <v>0.13</v>
      </c>
      <c r="F27" s="15">
        <v>0.17</v>
      </c>
      <c r="G27" s="15">
        <v>0.11</v>
      </c>
      <c r="H27" s="15">
        <v>0.18</v>
      </c>
      <c r="I27" s="15">
        <v>0.39</v>
      </c>
      <c r="J27" s="15">
        <v>0.18</v>
      </c>
      <c r="K27" s="15">
        <v>1.21</v>
      </c>
      <c r="L27" s="1"/>
    </row>
    <row r="28" spans="1:12" x14ac:dyDescent="0.25">
      <c r="A28" s="1" t="s">
        <v>71</v>
      </c>
      <c r="B28" s="15">
        <v>0.03</v>
      </c>
      <c r="C28" s="15">
        <v>0.03</v>
      </c>
      <c r="D28" s="15">
        <v>0.08</v>
      </c>
      <c r="E28" s="15">
        <v>0.13</v>
      </c>
      <c r="F28" s="15">
        <v>0.17</v>
      </c>
      <c r="G28" s="15">
        <v>0.11</v>
      </c>
      <c r="H28" s="15">
        <v>0.18</v>
      </c>
      <c r="I28" s="15">
        <v>0.39</v>
      </c>
      <c r="J28" s="15">
        <v>0.18</v>
      </c>
      <c r="K28" s="15">
        <v>1.21</v>
      </c>
      <c r="L28" s="1"/>
    </row>
    <row r="29" spans="1:12" x14ac:dyDescent="0.25">
      <c r="A29" s="1" t="s">
        <v>72</v>
      </c>
      <c r="B29" s="2">
        <v>22522720</v>
      </c>
      <c r="C29" s="2">
        <v>22760000</v>
      </c>
      <c r="D29" s="2">
        <v>25960000</v>
      </c>
      <c r="E29" s="2">
        <v>25280000</v>
      </c>
      <c r="F29" s="2">
        <v>25000000</v>
      </c>
      <c r="G29" s="2">
        <v>24720000</v>
      </c>
      <c r="H29" s="2">
        <v>25120000</v>
      </c>
      <c r="I29" s="2">
        <v>25350000</v>
      </c>
      <c r="J29" s="2">
        <v>25070000</v>
      </c>
      <c r="K29" s="2">
        <v>24940000</v>
      </c>
      <c r="L29" s="1"/>
    </row>
    <row r="30" spans="1:12" x14ac:dyDescent="0.25">
      <c r="A30" s="1" t="s">
        <v>73</v>
      </c>
      <c r="B30" s="15">
        <v>0.03</v>
      </c>
      <c r="C30" s="15">
        <v>0.03</v>
      </c>
      <c r="D30" s="15">
        <v>0.06</v>
      </c>
      <c r="E30" s="15">
        <v>0.12</v>
      </c>
      <c r="F30" s="15">
        <v>0.17</v>
      </c>
      <c r="G30" s="15">
        <v>0.11</v>
      </c>
      <c r="H30" s="15">
        <v>0.17</v>
      </c>
      <c r="I30" s="15">
        <v>0.39</v>
      </c>
      <c r="J30" s="15">
        <v>0.17</v>
      </c>
      <c r="K30" s="15">
        <v>1.19</v>
      </c>
      <c r="L30" s="1"/>
    </row>
    <row r="31" spans="1:12" x14ac:dyDescent="0.25">
      <c r="A31" s="1" t="s">
        <v>74</v>
      </c>
      <c r="B31" s="15">
        <v>0.03</v>
      </c>
      <c r="C31" s="15">
        <v>0.03</v>
      </c>
      <c r="D31" s="15">
        <v>0.06</v>
      </c>
      <c r="E31" s="15">
        <v>0.12</v>
      </c>
      <c r="F31" s="15">
        <v>0.17</v>
      </c>
      <c r="G31" s="15">
        <v>0.11</v>
      </c>
      <c r="H31" s="15">
        <v>0.17</v>
      </c>
      <c r="I31" s="15">
        <v>0.39</v>
      </c>
      <c r="J31" s="15">
        <v>0.17</v>
      </c>
      <c r="K31" s="15">
        <v>1.19</v>
      </c>
      <c r="L31" s="1"/>
    </row>
    <row r="32" spans="1:12" x14ac:dyDescent="0.25">
      <c r="A32" s="1" t="s">
        <v>75</v>
      </c>
      <c r="B32" s="2">
        <v>21796520</v>
      </c>
      <c r="C32" s="2">
        <v>21560000</v>
      </c>
      <c r="D32" s="2">
        <v>23400000</v>
      </c>
      <c r="E32" s="2">
        <v>24240000</v>
      </c>
      <c r="F32" s="2">
        <v>24240000</v>
      </c>
      <c r="G32" s="2">
        <v>24480000</v>
      </c>
      <c r="H32" s="2">
        <v>24800000</v>
      </c>
      <c r="I32" s="2">
        <v>25060000</v>
      </c>
      <c r="J32" s="2">
        <v>24660000</v>
      </c>
      <c r="K32" s="2">
        <v>24640000</v>
      </c>
      <c r="L32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312A-7B2C-4E9F-B76A-3E568A6CEA39}">
  <dimension ref="A2:K16"/>
  <sheetViews>
    <sheetView topLeftCell="A6" workbookViewId="0">
      <selection activeCell="B18" sqref="B18"/>
    </sheetView>
  </sheetViews>
  <sheetFormatPr defaultRowHeight="15" x14ac:dyDescent="0.25"/>
  <cols>
    <col min="1" max="1" width="28.28515625" bestFit="1" customWidth="1"/>
    <col min="2" max="2" width="10.28515625" bestFit="1" customWidth="1"/>
    <col min="3" max="3" width="11.140625" bestFit="1" customWidth="1"/>
    <col min="4" max="7" width="10.28515625" bestFit="1" customWidth="1"/>
    <col min="8" max="11" width="11.5703125" bestFit="1" customWidth="1"/>
  </cols>
  <sheetData>
    <row r="2" spans="1:11" x14ac:dyDescent="0.25">
      <c r="B2" s="27">
        <v>2015</v>
      </c>
      <c r="C2" s="27">
        <v>2016</v>
      </c>
      <c r="D2" s="27">
        <v>2017</v>
      </c>
      <c r="E2" s="27">
        <v>2018</v>
      </c>
      <c r="F2" s="27">
        <v>2019</v>
      </c>
      <c r="G2" s="27">
        <v>2020</v>
      </c>
      <c r="H2" s="27">
        <v>2021</v>
      </c>
      <c r="I2" s="27">
        <v>2022</v>
      </c>
      <c r="J2" s="27">
        <v>2023</v>
      </c>
      <c r="K2" s="27">
        <v>2024</v>
      </c>
    </row>
    <row r="3" spans="1:11" ht="25.5" x14ac:dyDescent="0.25">
      <c r="A3" s="4" t="s">
        <v>49</v>
      </c>
      <c r="B3" s="5" t="s">
        <v>48</v>
      </c>
      <c r="C3" s="5" t="s">
        <v>47</v>
      </c>
      <c r="D3" s="5" t="s">
        <v>46</v>
      </c>
      <c r="E3" s="5" t="s">
        <v>45</v>
      </c>
      <c r="F3" s="5" t="s">
        <v>44</v>
      </c>
      <c r="G3" s="5" t="s">
        <v>43</v>
      </c>
      <c r="H3" s="5" t="s">
        <v>42</v>
      </c>
      <c r="I3" s="5" t="s">
        <v>41</v>
      </c>
      <c r="J3" s="5" t="s">
        <v>40</v>
      </c>
      <c r="K3" s="5" t="s">
        <v>39</v>
      </c>
    </row>
    <row r="4" spans="1:11" x14ac:dyDescent="0.25">
      <c r="A4" s="9" t="s">
        <v>55</v>
      </c>
      <c r="B4" s="19">
        <f>'INCOME STATEMENT'!B13/'INCOME STATEMENT'!B$13</f>
        <v>1</v>
      </c>
      <c r="C4" s="19">
        <f>'INCOME STATEMENT'!C13/'INCOME STATEMENT'!C$13</f>
        <v>1</v>
      </c>
      <c r="D4" s="19">
        <f>'INCOME STATEMENT'!D13/'INCOME STATEMENT'!D$13</f>
        <v>1</v>
      </c>
      <c r="E4" s="19">
        <f>'INCOME STATEMENT'!E13/'INCOME STATEMENT'!E$13</f>
        <v>1</v>
      </c>
      <c r="F4" s="19">
        <f>'INCOME STATEMENT'!F13/'INCOME STATEMENT'!F$13</f>
        <v>1</v>
      </c>
      <c r="G4" s="19">
        <f>'INCOME STATEMENT'!G13/'INCOME STATEMENT'!G$13</f>
        <v>1</v>
      </c>
      <c r="H4" s="19">
        <f>'INCOME STATEMENT'!H13/'INCOME STATEMENT'!H$13</f>
        <v>1</v>
      </c>
      <c r="I4" s="19">
        <f>'INCOME STATEMENT'!I13/'INCOME STATEMENT'!I$13</f>
        <v>1</v>
      </c>
      <c r="J4" s="19">
        <f>'INCOME STATEMENT'!J13/'INCOME STATEMENT'!J$13</f>
        <v>1</v>
      </c>
      <c r="K4" s="19">
        <f>'INCOME STATEMENT'!K13/'INCOME STATEMENT'!K$13</f>
        <v>1</v>
      </c>
    </row>
    <row r="5" spans="1:11" x14ac:dyDescent="0.25">
      <c r="A5" s="1" t="s">
        <v>56</v>
      </c>
      <c r="B5" s="19">
        <f>'INCOME STATEMENT'!B14/'INCOME STATEMENT'!B$13</f>
        <v>0.44473499665812738</v>
      </c>
      <c r="C5" s="19">
        <f>'INCOME STATEMENT'!C14/'INCOME STATEMENT'!C$13</f>
        <v>0.43892215568862275</v>
      </c>
      <c r="D5" s="19">
        <f>'INCOME STATEMENT'!D14/'INCOME STATEMENT'!D$13</f>
        <v>0.41201157742402317</v>
      </c>
      <c r="E5" s="19">
        <f>'INCOME STATEMENT'!E14/'INCOME STATEMENT'!E$13</f>
        <v>0.40065884290714432</v>
      </c>
      <c r="F5" s="19">
        <f>'INCOME STATEMENT'!F14/'INCOME STATEMENT'!F$13</f>
        <v>0.38793103448275862</v>
      </c>
      <c r="G5" s="19">
        <f>'INCOME STATEMENT'!G14/'INCOME STATEMENT'!G$13</f>
        <v>0.38010624656530501</v>
      </c>
      <c r="H5" s="19">
        <f>'INCOME STATEMENT'!H14/'INCOME STATEMENT'!H$13</f>
        <v>0.37655172413793103</v>
      </c>
      <c r="I5" s="19">
        <f>'INCOME STATEMENT'!I14/'INCOME STATEMENT'!I$13</f>
        <v>0.35070966783086871</v>
      </c>
      <c r="J5" s="19">
        <f>'INCOME STATEMENT'!J14/'INCOME STATEMENT'!J$13</f>
        <v>0.43071105509008673</v>
      </c>
      <c r="K5" s="19">
        <f>'INCOME STATEMENT'!K14/'INCOME STATEMENT'!K$13</f>
        <v>0.27282426709563046</v>
      </c>
    </row>
    <row r="6" spans="1:11" ht="15.75" x14ac:dyDescent="0.25">
      <c r="A6" s="12" t="s">
        <v>57</v>
      </c>
      <c r="B6" s="19">
        <f>'INCOME STATEMENT'!B15/'INCOME STATEMENT'!B$13</f>
        <v>0.55526500334187257</v>
      </c>
      <c r="C6" s="19">
        <f>'INCOME STATEMENT'!C15/'INCOME STATEMENT'!C$13</f>
        <v>0.56107784431137719</v>
      </c>
      <c r="D6" s="19">
        <f>'INCOME STATEMENT'!D15/'INCOME STATEMENT'!D$13</f>
        <v>0.58798842257597683</v>
      </c>
      <c r="E6" s="19">
        <f>'INCOME STATEMENT'!E15/'INCOME STATEMENT'!E$13</f>
        <v>0.59934115709285563</v>
      </c>
      <c r="F6" s="19">
        <f>'INCOME STATEMENT'!F15/'INCOME STATEMENT'!F$13</f>
        <v>0.61206896551724133</v>
      </c>
      <c r="G6" s="19">
        <f>'INCOME STATEMENT'!G15/'INCOME STATEMENT'!G$13</f>
        <v>0.61989375343469499</v>
      </c>
      <c r="H6" s="19">
        <f>'INCOME STATEMENT'!H15/'INCOME STATEMENT'!H$13</f>
        <v>0.62344827586206897</v>
      </c>
      <c r="I6" s="19">
        <f>'INCOME STATEMENT'!I15/'INCOME STATEMENT'!I$13</f>
        <v>0.64929033216913135</v>
      </c>
      <c r="J6" s="19">
        <f>'INCOME STATEMENT'!J15/'INCOME STATEMENT'!J$13</f>
        <v>0.56928894490991322</v>
      </c>
      <c r="K6" s="19">
        <f>'INCOME STATEMENT'!K15/'INCOME STATEMENT'!K$13</f>
        <v>0.72717573290436954</v>
      </c>
    </row>
    <row r="7" spans="1:11" x14ac:dyDescent="0.25">
      <c r="A7" s="1" t="s">
        <v>58</v>
      </c>
      <c r="B7" s="19">
        <f>'INCOME STATEMENT'!B16/'INCOME STATEMENT'!B$13</f>
        <v>0.10269406838438989</v>
      </c>
      <c r="C7" s="19">
        <f>'INCOME STATEMENT'!C16/'INCOME STATEMENT'!C$13</f>
        <v>0.12015968063872255</v>
      </c>
      <c r="D7" s="19">
        <f>'INCOME STATEMENT'!D16/'INCOME STATEMENT'!D$13</f>
        <v>9.5947901591895798E-2</v>
      </c>
      <c r="E7" s="19">
        <f>'INCOME STATEMENT'!E16/'INCOME STATEMENT'!E$13</f>
        <v>8.3899526456660489E-2</v>
      </c>
      <c r="F7" s="19">
        <f>'INCOME STATEMENT'!F16/'INCOME STATEMENT'!F$13</f>
        <v>8.4585182656196647E-2</v>
      </c>
      <c r="G7" s="19">
        <f>'INCOME STATEMENT'!G16/'INCOME STATEMENT'!G$13</f>
        <v>0.10010991023997069</v>
      </c>
      <c r="H7" s="19">
        <f>'INCOME STATEMENT'!H16/'INCOME STATEMENT'!H$13</f>
        <v>0.11634182908545727</v>
      </c>
      <c r="I7" s="19">
        <f>'INCOME STATEMENT'!I16/'INCOME STATEMENT'!I$13</f>
        <v>8.0478561343538674E-2</v>
      </c>
      <c r="J7" s="19">
        <f>'INCOME STATEMENT'!J16/'INCOME STATEMENT'!J$13</f>
        <v>9.0457477570994288E-2</v>
      </c>
      <c r="K7" s="19">
        <f>'INCOME STATEMENT'!K16/'INCOME STATEMENT'!K$13</f>
        <v>4.3563901382095135E-2</v>
      </c>
    </row>
    <row r="8" spans="1:11" x14ac:dyDescent="0.25">
      <c r="A8" s="1" t="s">
        <v>59</v>
      </c>
      <c r="B8" s="19">
        <f>'INCOME STATEMENT'!B17/'INCOME STATEMENT'!B$13</f>
        <v>0.29044600381885577</v>
      </c>
      <c r="C8" s="19">
        <f>'INCOME STATEMENT'!C17/'INCOME STATEMENT'!C$13</f>
        <v>0.26566866267465072</v>
      </c>
      <c r="D8" s="19">
        <f>'INCOME STATEMENT'!D17/'INCOME STATEMENT'!D$13</f>
        <v>0.21172214182344429</v>
      </c>
      <c r="E8" s="19">
        <f>'INCOME STATEMENT'!E17/'INCOME STATEMENT'!E$13</f>
        <v>0.18499073502161828</v>
      </c>
      <c r="F8" s="19">
        <f>'INCOME STATEMENT'!F17/'INCOME STATEMENT'!F$13</f>
        <v>0.20279959030385797</v>
      </c>
      <c r="G8" s="19">
        <f>'INCOME STATEMENT'!G17/'INCOME STATEMENT'!G$13</f>
        <v>0.25911339073090311</v>
      </c>
      <c r="H8" s="19">
        <f>'INCOME STATEMENT'!H17/'INCOME STATEMENT'!H$13</f>
        <v>0.2353223388305847</v>
      </c>
      <c r="I8" s="19">
        <f>'INCOME STATEMENT'!I17/'INCOME STATEMENT'!I$13</f>
        <v>0.19573456193802483</v>
      </c>
      <c r="J8" s="19">
        <f>'INCOME STATEMENT'!J17/'INCOME STATEMENT'!J$13</f>
        <v>0.27207681471046191</v>
      </c>
      <c r="K8" s="19">
        <f>'INCOME STATEMENT'!K17/'INCOME STATEMENT'!K$13</f>
        <v>0.14239519385443683</v>
      </c>
    </row>
    <row r="9" spans="1:11" hidden="1" x14ac:dyDescent="0.25">
      <c r="A9" s="1" t="s">
        <v>60</v>
      </c>
      <c r="B9" s="19" t="e">
        <f>'INCOME STATEMENT'!#REF!/'INCOME STATEMENT'!B$13</f>
        <v>#REF!</v>
      </c>
      <c r="C9" s="19" t="e">
        <f>'INCOME STATEMENT'!#REF!/'INCOME STATEMENT'!C$13</f>
        <v>#REF!</v>
      </c>
      <c r="D9" s="19" t="e">
        <f>'INCOME STATEMENT'!#REF!/'INCOME STATEMENT'!D$13</f>
        <v>#REF!</v>
      </c>
      <c r="E9" s="19" t="e">
        <f>'INCOME STATEMENT'!#REF!/'INCOME STATEMENT'!E$13</f>
        <v>#REF!</v>
      </c>
      <c r="F9" s="19" t="e">
        <f>'INCOME STATEMENT'!#REF!/'INCOME STATEMENT'!F$13</f>
        <v>#REF!</v>
      </c>
      <c r="G9" s="19" t="e">
        <f>'INCOME STATEMENT'!#REF!/'INCOME STATEMENT'!G$13</f>
        <v>#REF!</v>
      </c>
      <c r="H9" s="19" t="e">
        <f>'INCOME STATEMENT'!#REF!/'INCOME STATEMENT'!H$13</f>
        <v>#REF!</v>
      </c>
      <c r="I9" s="19" t="e">
        <f>'INCOME STATEMENT'!#REF!/'INCOME STATEMENT'!I$13</f>
        <v>#REF!</v>
      </c>
      <c r="J9" s="19" t="e">
        <f>'INCOME STATEMENT'!#REF!/'INCOME STATEMENT'!J$13</f>
        <v>#REF!</v>
      </c>
      <c r="K9" s="19" t="e">
        <f>'INCOME STATEMENT'!#REF!/'INCOME STATEMENT'!K$13</f>
        <v>#REF!</v>
      </c>
    </row>
    <row r="10" spans="1:11" x14ac:dyDescent="0.25">
      <c r="A10" s="1" t="s">
        <v>61</v>
      </c>
      <c r="B10" s="19">
        <f>'INCOME STATEMENT'!B18/'INCOME STATEMENT'!B$13</f>
        <v>0.39314007220324565</v>
      </c>
      <c r="C10" s="19">
        <f>'INCOME STATEMENT'!C18/'INCOME STATEMENT'!C$13</f>
        <v>0.41197604790419162</v>
      </c>
      <c r="D10" s="19">
        <f>'INCOME STATEMENT'!D18/'INCOME STATEMENT'!D$13</f>
        <v>0.30810419681620838</v>
      </c>
      <c r="E10" s="19">
        <f>'INCOME STATEMENT'!E18/'INCOME STATEMENT'!E$13</f>
        <v>0.26889026147827877</v>
      </c>
      <c r="F10" s="19">
        <f>'INCOME STATEMENT'!F18/'INCOME STATEMENT'!F$13</f>
        <v>0.2873847729600546</v>
      </c>
      <c r="G10" s="19">
        <f>'INCOME STATEMENT'!G18/'INCOME STATEMENT'!G$13</f>
        <v>0.35922330097087379</v>
      </c>
      <c r="H10" s="19">
        <f>'INCOME STATEMENT'!H18/'INCOME STATEMENT'!H$13</f>
        <v>0.35166416791604199</v>
      </c>
      <c r="I10" s="19">
        <f>'INCOME STATEMENT'!I18/'INCOME STATEMENT'!I$13</f>
        <v>0.2762131232815635</v>
      </c>
      <c r="J10" s="19">
        <f>'INCOME STATEMENT'!J18/'INCOME STATEMENT'!J$13</f>
        <v>0.41269370504930675</v>
      </c>
      <c r="K10" s="19">
        <f>'INCOME STATEMENT'!K18/'INCOME STATEMENT'!K$13</f>
        <v>0.18595909523653195</v>
      </c>
    </row>
    <row r="11" spans="1:11" x14ac:dyDescent="0.25">
      <c r="A11" s="1" t="s">
        <v>62</v>
      </c>
      <c r="B11" s="19">
        <f>'INCOME STATEMENT'!B19/'INCOME STATEMENT'!B$13</f>
        <v>0.16212493113862694</v>
      </c>
      <c r="C11" s="19">
        <f>'INCOME STATEMENT'!C19/'INCOME STATEMENT'!C$13</f>
        <v>0.14910179640718563</v>
      </c>
      <c r="D11" s="19">
        <f>'INCOME STATEMENT'!D19/'INCOME STATEMENT'!D$13</f>
        <v>0.27988422575976846</v>
      </c>
      <c r="E11" s="19">
        <f>'INCOME STATEMENT'!E19/'INCOME STATEMENT'!E$13</f>
        <v>0.33045089561457691</v>
      </c>
      <c r="F11" s="19">
        <f>'INCOME STATEMENT'!F19/'INCOME STATEMENT'!F$13</f>
        <v>0.32468419255718678</v>
      </c>
      <c r="G11" s="19">
        <f>'INCOME STATEMENT'!G19/'INCOME STATEMENT'!G$13</f>
        <v>0.2606704524638212</v>
      </c>
      <c r="H11" s="19">
        <f>'INCOME STATEMENT'!H19/'INCOME STATEMENT'!H$13</f>
        <v>0.27178410794602698</v>
      </c>
      <c r="I11" s="19">
        <f>'INCOME STATEMENT'!I19/'INCOME STATEMENT'!I$13</f>
        <v>0.37307720888756779</v>
      </c>
      <c r="J11" s="19">
        <f>'INCOME STATEMENT'!J19/'INCOME STATEMENT'!J$13</f>
        <v>0.1565952398606065</v>
      </c>
      <c r="K11" s="19">
        <f>'INCOME STATEMENT'!K19/'INCOME STATEMENT'!K$13</f>
        <v>0.54121663766783756</v>
      </c>
    </row>
    <row r="12" spans="1:11" x14ac:dyDescent="0.25">
      <c r="A12" s="1" t="s">
        <v>63</v>
      </c>
      <c r="B12" s="19">
        <f>'INCOME STATEMENT'!B20/'INCOME STATEMENT'!B$13</f>
        <v>-3.8541008269345747E-3</v>
      </c>
      <c r="C12" s="19">
        <f>'INCOME STATEMENT'!C20/'INCOME STATEMENT'!C$13</f>
        <v>-1.5968063872255488E-3</v>
      </c>
      <c r="D12" s="19">
        <f>'INCOME STATEMENT'!D20/'INCOME STATEMENT'!D$13</f>
        <v>-5.7887120115774238E-4</v>
      </c>
      <c r="E12" s="19">
        <f>'INCOME STATEMENT'!E20/'INCOME STATEMENT'!E$13</f>
        <v>8.2355363393040967E-4</v>
      </c>
      <c r="F12" s="19">
        <f>'INCOME STATEMENT'!F20/'INCOME STATEMENT'!F$13</f>
        <v>6.6575623079549338E-3</v>
      </c>
      <c r="G12" s="19">
        <f>'INCOME STATEMENT'!G20/'INCOME STATEMENT'!G$13</f>
        <v>1.1540575196922514E-2</v>
      </c>
      <c r="H12" s="19">
        <f>'INCOME STATEMENT'!H20/'INCOME STATEMENT'!H$13</f>
        <v>-7.6161919040479758E-3</v>
      </c>
      <c r="I12" s="19">
        <f>'INCOME STATEMENT'!I20/'INCOME STATEMENT'!I$13</f>
        <v>-7.6911644497287658E-3</v>
      </c>
      <c r="J12" s="19">
        <f>'INCOME STATEMENT'!J20/'INCOME STATEMENT'!J$13</f>
        <v>1.8536368354711945E-4</v>
      </c>
      <c r="K12" s="19">
        <f>'INCOME STATEMENT'!K20/'INCOME STATEMENT'!K$13</f>
        <v>9.996388825054988E-3</v>
      </c>
    </row>
    <row r="13" spans="1:11" x14ac:dyDescent="0.25">
      <c r="A13" s="1" t="s">
        <v>64</v>
      </c>
      <c r="B13" s="19">
        <f>'INCOME STATEMENT'!B21/'INCOME STATEMENT'!B$13</f>
        <v>2.966993320740522E-3</v>
      </c>
      <c r="C13" s="19">
        <f>'INCOME STATEMENT'!C21/'INCOME STATEMENT'!C$13</f>
        <v>7.9840319361277441E-4</v>
      </c>
      <c r="D13" s="19">
        <f>'INCOME STATEMENT'!D21/'INCOME STATEMENT'!D$13</f>
        <v>-3.6179450072358899E-3</v>
      </c>
      <c r="E13" s="19">
        <f>'INCOME STATEMENT'!E21/'INCOME STATEMENT'!E$13</f>
        <v>-2.2647724933086266E-3</v>
      </c>
      <c r="F13" s="19">
        <f>'INCOME STATEMENT'!F21/'INCOME STATEMENT'!F$13</f>
        <v>1.1949470809149881E-3</v>
      </c>
      <c r="G13" s="19">
        <f>'INCOME STATEMENT'!G21/'INCOME STATEMENT'!G$13</f>
        <v>-1.8318373328448433E-4</v>
      </c>
      <c r="H13" s="19">
        <f>'INCOME STATEMENT'!H21/'INCOME STATEMENT'!H$13</f>
        <v>2.39880059970015E-4</v>
      </c>
      <c r="I13" s="19">
        <f>'INCOME STATEMENT'!I21/'INCOME STATEMENT'!I$13</f>
        <v>3.9756260682172846E-3</v>
      </c>
      <c r="J13" s="19">
        <f>'INCOME STATEMENT'!J21/'INCOME STATEMENT'!J$13</f>
        <v>-1.7794913620523467E-3</v>
      </c>
      <c r="K13" s="19">
        <f>'INCOME STATEMENT'!K21/'INCOME STATEMENT'!K$13</f>
        <v>3.8902202816716459E-3</v>
      </c>
    </row>
    <row r="14" spans="1:11" x14ac:dyDescent="0.25">
      <c r="A14" s="1" t="s">
        <v>65</v>
      </c>
      <c r="B14" s="19">
        <f>'INCOME STATEMENT'!B22/'INCOME STATEMENT'!B$13</f>
        <v>-8.8710750619405243E-4</v>
      </c>
      <c r="C14" s="19">
        <f>'INCOME STATEMENT'!C22/'INCOME STATEMENT'!C$13</f>
        <v>-7.9840319361277441E-4</v>
      </c>
      <c r="D14" s="19">
        <f>'INCOME STATEMENT'!D22/'INCOME STATEMENT'!D$13</f>
        <v>-4.1968162083936321E-3</v>
      </c>
      <c r="E14" s="19">
        <f>'INCOME STATEMENT'!E22/'INCOME STATEMENT'!E$13</f>
        <v>-1.441218859378217E-3</v>
      </c>
      <c r="F14" s="19">
        <f>'INCOME STATEMENT'!F22/'INCOME STATEMENT'!F$13</f>
        <v>7.8525093888699212E-3</v>
      </c>
      <c r="G14" s="19">
        <f>'INCOME STATEMENT'!G22/'INCOME STATEMENT'!G$13</f>
        <v>1.1357391463638029E-2</v>
      </c>
      <c r="H14" s="19">
        <f>'INCOME STATEMENT'!H22/'INCOME STATEMENT'!H$13</f>
        <v>-7.3763118440779612E-3</v>
      </c>
      <c r="I14" s="19">
        <f>'INCOME STATEMENT'!I22/'INCOME STATEMENT'!I$13</f>
        <v>-3.7155383815114808E-3</v>
      </c>
      <c r="J14" s="19">
        <f>'INCOME STATEMENT'!J22/'INCOME STATEMENT'!J$13</f>
        <v>-1.5941276785052274E-3</v>
      </c>
      <c r="K14" s="19">
        <f>'INCOME STATEMENT'!K22/'INCOME STATEMENT'!K$13</f>
        <v>1.3886609106726634E-2</v>
      </c>
    </row>
    <row r="15" spans="1:11" x14ac:dyDescent="0.25">
      <c r="A15" s="1" t="s">
        <v>66</v>
      </c>
      <c r="B15" s="19">
        <f>'INCOME STATEMENT'!B23/'INCOME STATEMENT'!B$13</f>
        <v>0.16123782363243289</v>
      </c>
      <c r="C15" s="19">
        <f>'INCOME STATEMENT'!C23/'INCOME STATEMENT'!C$13</f>
        <v>0.14830339321357286</v>
      </c>
      <c r="D15" s="19">
        <f>'INCOME STATEMENT'!D23/'INCOME STATEMENT'!D$13</f>
        <v>0.27568740955137483</v>
      </c>
      <c r="E15" s="19">
        <f>'INCOME STATEMENT'!E23/'INCOME STATEMENT'!E$13</f>
        <v>0.32900967675519871</v>
      </c>
      <c r="F15" s="19">
        <f>'INCOME STATEMENT'!F23/'INCOME STATEMENT'!F$13</f>
        <v>0.33253670194605667</v>
      </c>
      <c r="G15" s="19">
        <f>'INCOME STATEMENT'!G23/'INCOME STATEMENT'!G$13</f>
        <v>0.27202784392745927</v>
      </c>
      <c r="H15" s="19">
        <f>'INCOME STATEMENT'!H23/'INCOME STATEMENT'!H$13</f>
        <v>0.26440779610194903</v>
      </c>
      <c r="I15" s="19">
        <f>'INCOME STATEMENT'!I23/'INCOME STATEMENT'!I$13</f>
        <v>0.36936167050605634</v>
      </c>
      <c r="J15" s="19">
        <f>'INCOME STATEMENT'!J23/'INCOME STATEMENT'!J$13</f>
        <v>0.15500111218210127</v>
      </c>
      <c r="K15" s="19">
        <f>'INCOME STATEMENT'!K23/'INCOME STATEMENT'!K$13</f>
        <v>0.55510324677456424</v>
      </c>
    </row>
    <row r="16" spans="1:11" x14ac:dyDescent="0.25">
      <c r="A16" s="20" t="s">
        <v>67</v>
      </c>
      <c r="B16" s="19">
        <f>'INCOME STATEMENT'!B24/'INCOME STATEMENT'!B$13</f>
        <v>0.13469743823943872</v>
      </c>
      <c r="C16" s="19">
        <f>'INCOME STATEMENT'!C24/'INCOME STATEMENT'!C$13</f>
        <v>0.12255489021956088</v>
      </c>
      <c r="D16" s="19">
        <f>'INCOME STATEMENT'!D24/'INCOME STATEMENT'!D$13</f>
        <v>0.24109985528219971</v>
      </c>
      <c r="E16" s="19">
        <f>'INCOME STATEMENT'!E24/'INCOME STATEMENT'!E$13</f>
        <v>0.3136709903232448</v>
      </c>
      <c r="F16" s="19">
        <f>'INCOME STATEMENT'!F24/'INCOME STATEMENT'!F$13</f>
        <v>0.35344827586206895</v>
      </c>
      <c r="G16" s="19">
        <f>'INCOME STATEMENT'!G24/'INCOME STATEMENT'!G$13</f>
        <v>0.25609085913170909</v>
      </c>
      <c r="H16" s="19">
        <f>'INCOME STATEMENT'!H24/'INCOME STATEMENT'!H$13</f>
        <v>0.25979010494752625</v>
      </c>
      <c r="I16" s="19">
        <f>'INCOME STATEMENT'!I24/'INCOME STATEMENT'!I$13</f>
        <v>0.36233930296499961</v>
      </c>
      <c r="J16" s="19">
        <f>'INCOME STATEMENT'!J24/'INCOME STATEMENT'!J$13</f>
        <v>0.16193371394676356</v>
      </c>
      <c r="K16" s="19">
        <f>'INCOME STATEMENT'!K24/'INCOME STATEMENT'!K$13</f>
        <v>0.4884934834706674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E3B3-0A25-47A8-B3C6-AF46A7E78297}">
  <dimension ref="A4:L31"/>
  <sheetViews>
    <sheetView topLeftCell="N1" workbookViewId="0">
      <selection activeCell="S5" sqref="S5"/>
    </sheetView>
  </sheetViews>
  <sheetFormatPr defaultRowHeight="15" x14ac:dyDescent="0.25"/>
  <cols>
    <col min="1" max="1" width="50" customWidth="1"/>
    <col min="2" max="191" width="12" customWidth="1"/>
  </cols>
  <sheetData>
    <row r="4" spans="1:12" x14ac:dyDescent="0.25">
      <c r="A4" s="8" t="s">
        <v>52</v>
      </c>
    </row>
    <row r="5" spans="1:12" ht="20.25" x14ac:dyDescent="0.3">
      <c r="A5" s="7" t="s">
        <v>51</v>
      </c>
    </row>
    <row r="6" spans="1:12" x14ac:dyDescent="0.25">
      <c r="A6" s="6" t="s">
        <v>76</v>
      </c>
      <c r="B6" s="27">
        <v>2015</v>
      </c>
      <c r="C6" s="27">
        <v>2016</v>
      </c>
      <c r="D6" s="27">
        <v>2017</v>
      </c>
      <c r="E6" s="27">
        <v>2018</v>
      </c>
      <c r="F6" s="27">
        <v>2019</v>
      </c>
      <c r="G6" s="27">
        <v>2020</v>
      </c>
      <c r="H6" s="27">
        <v>2021</v>
      </c>
      <c r="I6" s="27">
        <v>2022</v>
      </c>
      <c r="J6" s="27">
        <v>2023</v>
      </c>
      <c r="K6" s="27">
        <v>2024</v>
      </c>
    </row>
    <row r="7" spans="1:12" x14ac:dyDescent="0.25">
      <c r="A7" s="4" t="s">
        <v>49</v>
      </c>
      <c r="B7" s="5" t="s">
        <v>48</v>
      </c>
      <c r="C7" s="5" t="s">
        <v>47</v>
      </c>
      <c r="D7" s="5" t="s">
        <v>46</v>
      </c>
      <c r="E7" s="5" t="s">
        <v>45</v>
      </c>
      <c r="F7" s="5" t="s">
        <v>44</v>
      </c>
      <c r="G7" s="5" t="s">
        <v>43</v>
      </c>
      <c r="H7" s="5" t="s">
        <v>42</v>
      </c>
      <c r="I7" s="5" t="s">
        <v>41</v>
      </c>
      <c r="J7" s="5" t="s">
        <v>40</v>
      </c>
      <c r="K7" s="5" t="s">
        <v>39</v>
      </c>
      <c r="L7" s="4"/>
    </row>
    <row r="8" spans="1:12" x14ac:dyDescent="0.25">
      <c r="A8" s="4" t="s">
        <v>38</v>
      </c>
      <c r="B8" s="5" t="s">
        <v>37</v>
      </c>
      <c r="C8" s="5" t="s">
        <v>37</v>
      </c>
      <c r="D8" s="5" t="s">
        <v>37</v>
      </c>
      <c r="E8" s="5" t="s">
        <v>37</v>
      </c>
      <c r="F8" s="5" t="s">
        <v>37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37</v>
      </c>
      <c r="L8" s="4"/>
    </row>
    <row r="9" spans="1:12" ht="25.5" x14ac:dyDescent="0.25">
      <c r="A9" s="4" t="s">
        <v>36</v>
      </c>
      <c r="B9" s="5" t="s">
        <v>35</v>
      </c>
      <c r="C9" s="5" t="s">
        <v>35</v>
      </c>
      <c r="D9" s="5" t="s">
        <v>35</v>
      </c>
      <c r="E9" s="5" t="s">
        <v>35</v>
      </c>
      <c r="F9" s="5" t="s">
        <v>35</v>
      </c>
      <c r="G9" s="5" t="s">
        <v>35</v>
      </c>
      <c r="H9" s="5" t="s">
        <v>35</v>
      </c>
      <c r="I9" s="5" t="s">
        <v>35</v>
      </c>
      <c r="J9" s="5" t="s">
        <v>35</v>
      </c>
      <c r="K9" s="5" t="s">
        <v>35</v>
      </c>
      <c r="L9" s="4"/>
    </row>
    <row r="10" spans="1:12" x14ac:dyDescent="0.25">
      <c r="A10" s="4" t="s">
        <v>34</v>
      </c>
      <c r="B10" s="5" t="s">
        <v>33</v>
      </c>
      <c r="C10" s="5" t="s">
        <v>33</v>
      </c>
      <c r="D10" s="5" t="s">
        <v>33</v>
      </c>
      <c r="E10" s="5" t="s">
        <v>33</v>
      </c>
      <c r="F10" s="5" t="s">
        <v>33</v>
      </c>
      <c r="G10" s="5" t="s">
        <v>33</v>
      </c>
      <c r="H10" s="5" t="s">
        <v>33</v>
      </c>
      <c r="I10" s="5" t="s">
        <v>33</v>
      </c>
      <c r="J10" s="5" t="s">
        <v>33</v>
      </c>
      <c r="K10" s="5" t="s">
        <v>33</v>
      </c>
      <c r="L10" s="4"/>
    </row>
    <row r="11" spans="1:12" x14ac:dyDescent="0.25">
      <c r="A11" s="4" t="s">
        <v>32</v>
      </c>
      <c r="B11" s="5" t="s">
        <v>31</v>
      </c>
      <c r="C11" s="5" t="s">
        <v>31</v>
      </c>
      <c r="D11" s="5" t="s">
        <v>31</v>
      </c>
      <c r="E11" s="5" t="s">
        <v>31</v>
      </c>
      <c r="F11" s="5" t="s">
        <v>31</v>
      </c>
      <c r="G11" s="5" t="s">
        <v>31</v>
      </c>
      <c r="H11" s="5" t="s">
        <v>31</v>
      </c>
      <c r="I11" s="5" t="s">
        <v>31</v>
      </c>
      <c r="J11" s="5" t="s">
        <v>31</v>
      </c>
      <c r="K11" s="5" t="s">
        <v>31</v>
      </c>
      <c r="L11" s="4"/>
    </row>
    <row r="12" spans="1:12" x14ac:dyDescent="0.25">
      <c r="A12" s="1" t="s">
        <v>67</v>
      </c>
      <c r="B12" s="2">
        <v>630587</v>
      </c>
      <c r="C12" s="2">
        <v>614000</v>
      </c>
      <c r="D12" s="2">
        <v>1666000</v>
      </c>
      <c r="E12" s="2">
        <v>3047000</v>
      </c>
      <c r="F12" s="2">
        <v>4141000</v>
      </c>
      <c r="G12" s="2">
        <v>2796000</v>
      </c>
      <c r="H12" s="2">
        <v>4332000</v>
      </c>
      <c r="I12" s="2">
        <v>9752000</v>
      </c>
      <c r="J12" s="2">
        <v>4368000</v>
      </c>
      <c r="K12" s="2">
        <v>29760000</v>
      </c>
      <c r="L12" s="1"/>
    </row>
    <row r="13" spans="1:12" x14ac:dyDescent="0.25">
      <c r="A13" s="1" t="s">
        <v>77</v>
      </c>
      <c r="B13" s="2">
        <v>477596</v>
      </c>
      <c r="C13" s="2">
        <v>612000</v>
      </c>
      <c r="D13" s="2">
        <v>685000</v>
      </c>
      <c r="E13" s="2">
        <v>270000</v>
      </c>
      <c r="F13" s="2">
        <v>459000</v>
      </c>
      <c r="G13" s="2">
        <v>1248000</v>
      </c>
      <c r="H13" s="2">
        <v>2193000</v>
      </c>
      <c r="I13" s="2">
        <v>2719000</v>
      </c>
      <c r="J13" s="2">
        <v>3480000</v>
      </c>
      <c r="K13" s="2">
        <v>2052000</v>
      </c>
      <c r="L13" s="1"/>
    </row>
    <row r="14" spans="1:12" x14ac:dyDescent="0.25">
      <c r="A14" s="1" t="s">
        <v>78</v>
      </c>
      <c r="B14" s="2">
        <v>-202527</v>
      </c>
      <c r="C14" s="2">
        <v>-51000</v>
      </c>
      <c r="D14" s="2">
        <v>-679000</v>
      </c>
      <c r="E14" s="2">
        <v>185000</v>
      </c>
      <c r="F14" s="2">
        <v>-857000</v>
      </c>
      <c r="G14" s="2">
        <v>717000</v>
      </c>
      <c r="H14" s="2">
        <v>-703000</v>
      </c>
      <c r="I14" s="2">
        <v>-3363000</v>
      </c>
      <c r="J14" s="2">
        <v>-2207000</v>
      </c>
      <c r="K14" s="2">
        <v>-3722000</v>
      </c>
      <c r="L14" s="1"/>
    </row>
    <row r="15" spans="1:12" x14ac:dyDescent="0.25">
      <c r="A15" s="1" t="s">
        <v>79</v>
      </c>
      <c r="B15" s="2">
        <v>905656</v>
      </c>
      <c r="C15" s="2">
        <v>1175000</v>
      </c>
      <c r="D15" s="2">
        <v>1672000</v>
      </c>
      <c r="E15" s="2">
        <v>3502000</v>
      </c>
      <c r="F15" s="2">
        <v>3743000</v>
      </c>
      <c r="G15" s="2">
        <v>4761000</v>
      </c>
      <c r="H15" s="2">
        <v>5822000</v>
      </c>
      <c r="I15" s="2">
        <v>9108000</v>
      </c>
      <c r="J15" s="2">
        <v>5641000</v>
      </c>
      <c r="K15" s="2">
        <v>28090000</v>
      </c>
      <c r="L15" s="1"/>
    </row>
    <row r="16" spans="1:12" x14ac:dyDescent="0.25">
      <c r="A16" s="1" t="s">
        <v>80</v>
      </c>
      <c r="B16" s="2">
        <v>-122381</v>
      </c>
      <c r="C16" s="2">
        <v>-86000</v>
      </c>
      <c r="D16" s="2">
        <v>-176000</v>
      </c>
      <c r="E16" s="2">
        <v>-593000</v>
      </c>
      <c r="F16" s="2">
        <v>-600000</v>
      </c>
      <c r="G16" s="2">
        <v>-489000</v>
      </c>
      <c r="H16" s="2">
        <v>-1128000</v>
      </c>
      <c r="I16" s="2">
        <v>-976000</v>
      </c>
      <c r="J16" s="2">
        <v>-1833000</v>
      </c>
      <c r="K16" s="2">
        <v>-1069000</v>
      </c>
      <c r="L16" s="1"/>
    </row>
    <row r="17" spans="1:12" x14ac:dyDescent="0.25">
      <c r="A17" s="1" t="s">
        <v>81</v>
      </c>
      <c r="B17" s="2">
        <v>-2861809</v>
      </c>
      <c r="C17" s="2">
        <v>-3477000</v>
      </c>
      <c r="D17" s="2">
        <v>-3134000</v>
      </c>
      <c r="E17" s="2">
        <v>-36000</v>
      </c>
      <c r="F17" s="2">
        <v>-11157000</v>
      </c>
      <c r="G17" s="2">
        <v>-1461000</v>
      </c>
      <c r="H17" s="2">
        <v>-19308000</v>
      </c>
      <c r="I17" s="2">
        <v>-24787000</v>
      </c>
      <c r="J17" s="2">
        <v>-11897000</v>
      </c>
      <c r="K17" s="2">
        <v>-18211000</v>
      </c>
      <c r="L17" s="1"/>
    </row>
    <row r="18" spans="1:12" x14ac:dyDescent="0.25">
      <c r="A18" s="1" t="s">
        <v>82</v>
      </c>
      <c r="B18" s="2">
        <v>2236780</v>
      </c>
      <c r="C18" s="2">
        <v>3138000</v>
      </c>
      <c r="D18" s="2">
        <v>2515000</v>
      </c>
      <c r="E18" s="2">
        <v>1941000</v>
      </c>
      <c r="F18" s="2">
        <v>7660000</v>
      </c>
      <c r="G18" s="2">
        <v>8109000</v>
      </c>
      <c r="H18" s="2">
        <v>9319000</v>
      </c>
      <c r="I18" s="2">
        <v>16220000</v>
      </c>
      <c r="J18" s="2">
        <v>21231000</v>
      </c>
      <c r="K18" s="2">
        <v>9782000</v>
      </c>
      <c r="L18" s="1"/>
    </row>
    <row r="19" spans="1:12" x14ac:dyDescent="0.25">
      <c r="A19" s="1" t="s">
        <v>83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2">
        <v>-8524000</v>
      </c>
      <c r="I19" s="2">
        <v>-263000</v>
      </c>
      <c r="J19" s="2">
        <v>-49000</v>
      </c>
      <c r="K19" s="2">
        <v>-83000</v>
      </c>
      <c r="L19" s="1"/>
    </row>
    <row r="20" spans="1:12" x14ac:dyDescent="0.25">
      <c r="A20" s="1" t="s">
        <v>84</v>
      </c>
      <c r="B20" s="2">
        <v>20362</v>
      </c>
      <c r="C20" s="2">
        <v>25000</v>
      </c>
      <c r="D20" s="2">
        <v>2000</v>
      </c>
      <c r="E20" s="2">
        <v>-34000</v>
      </c>
      <c r="F20" s="2">
        <v>0</v>
      </c>
      <c r="G20" s="2">
        <v>-14000</v>
      </c>
      <c r="H20" s="2">
        <v>-34000</v>
      </c>
      <c r="I20" s="2">
        <v>-24000</v>
      </c>
      <c r="J20" s="2">
        <v>-77000</v>
      </c>
      <c r="K20" s="2">
        <v>-985000</v>
      </c>
      <c r="L20" s="1"/>
    </row>
    <row r="21" spans="1:12" x14ac:dyDescent="0.25">
      <c r="A21" s="1" t="s">
        <v>85</v>
      </c>
      <c r="B21" s="2">
        <v>-727048</v>
      </c>
      <c r="C21" s="2">
        <v>-400000</v>
      </c>
      <c r="D21" s="2">
        <v>-793000</v>
      </c>
      <c r="E21" s="2">
        <v>1278000</v>
      </c>
      <c r="F21" s="2">
        <v>-4097000</v>
      </c>
      <c r="G21" s="2">
        <v>6145000</v>
      </c>
      <c r="H21" s="2">
        <v>-19675000</v>
      </c>
      <c r="I21" s="2">
        <v>-9830000</v>
      </c>
      <c r="J21" s="2">
        <v>7375000</v>
      </c>
      <c r="K21" s="2">
        <v>-10566000</v>
      </c>
      <c r="L21" s="1"/>
    </row>
    <row r="22" spans="1:12" x14ac:dyDescent="0.25">
      <c r="A22" s="1" t="s">
        <v>86</v>
      </c>
      <c r="B22" s="2">
        <v>-2917</v>
      </c>
      <c r="C22" s="2">
        <v>-3000</v>
      </c>
      <c r="D22" s="2">
        <v>1315000</v>
      </c>
      <c r="E22" s="2">
        <v>-812000</v>
      </c>
      <c r="F22" s="2">
        <v>-16000</v>
      </c>
      <c r="G22" s="3">
        <v>0</v>
      </c>
      <c r="H22" s="2">
        <v>4968000</v>
      </c>
      <c r="I22" s="2">
        <v>3977000</v>
      </c>
      <c r="J22" s="3">
        <v>0</v>
      </c>
      <c r="K22" s="2">
        <v>-1250000</v>
      </c>
      <c r="L22" s="1"/>
    </row>
    <row r="23" spans="1:12" x14ac:dyDescent="0.25">
      <c r="A23" s="1" t="s">
        <v>87</v>
      </c>
      <c r="B23" s="2">
        <v>-813600</v>
      </c>
      <c r="C23" s="2">
        <v>-587000</v>
      </c>
      <c r="D23" s="2">
        <v>-739000</v>
      </c>
      <c r="E23" s="2">
        <v>-909000</v>
      </c>
      <c r="F23" s="2">
        <v>-1442000</v>
      </c>
      <c r="G23" s="2">
        <v>149000</v>
      </c>
      <c r="H23" s="2">
        <v>194000</v>
      </c>
      <c r="I23" s="2">
        <v>281000</v>
      </c>
      <c r="J23" s="2">
        <v>-9684000</v>
      </c>
      <c r="K23" s="2">
        <v>-9130000</v>
      </c>
      <c r="L23" s="1"/>
    </row>
    <row r="24" spans="1:12" x14ac:dyDescent="0.25">
      <c r="A24" s="1" t="s">
        <v>88</v>
      </c>
      <c r="B24" s="2">
        <v>-186452</v>
      </c>
      <c r="C24" s="2">
        <v>-213000</v>
      </c>
      <c r="D24" s="2">
        <v>-261000</v>
      </c>
      <c r="E24" s="2">
        <v>-341000</v>
      </c>
      <c r="F24" s="2">
        <v>-371000</v>
      </c>
      <c r="G24" s="2">
        <v>-390000</v>
      </c>
      <c r="H24" s="2">
        <v>-395000</v>
      </c>
      <c r="I24" s="2">
        <v>-399000</v>
      </c>
      <c r="J24" s="2">
        <v>-398000</v>
      </c>
      <c r="K24" s="2">
        <v>-395000</v>
      </c>
      <c r="L24" s="1"/>
    </row>
    <row r="25" spans="1:12" x14ac:dyDescent="0.25">
      <c r="A25" s="1" t="s">
        <v>89</v>
      </c>
      <c r="B25" s="2">
        <v>169428</v>
      </c>
      <c r="C25" s="2">
        <v>127000</v>
      </c>
      <c r="D25" s="2">
        <v>-24000</v>
      </c>
      <c r="E25" s="2">
        <v>-482000</v>
      </c>
      <c r="F25" s="2">
        <v>-1037000</v>
      </c>
      <c r="G25" s="2">
        <v>-551000</v>
      </c>
      <c r="H25" s="2">
        <v>-963000</v>
      </c>
      <c r="I25" s="2">
        <v>-1994000</v>
      </c>
      <c r="J25" s="2">
        <v>-1535000</v>
      </c>
      <c r="K25" s="2">
        <v>-2858000</v>
      </c>
      <c r="L25" s="1"/>
    </row>
    <row r="26" spans="1:12" x14ac:dyDescent="0.25">
      <c r="A26" s="1" t="s">
        <v>90</v>
      </c>
      <c r="B26" s="2">
        <v>-833541</v>
      </c>
      <c r="C26" s="2">
        <v>-676000</v>
      </c>
      <c r="D26" s="2">
        <v>291000</v>
      </c>
      <c r="E26" s="2">
        <v>-2544000</v>
      </c>
      <c r="F26" s="2">
        <v>-2866000</v>
      </c>
      <c r="G26" s="2">
        <v>-792000</v>
      </c>
      <c r="H26" s="2">
        <v>3804000</v>
      </c>
      <c r="I26" s="2">
        <v>1865000</v>
      </c>
      <c r="J26" s="2">
        <v>-11617000</v>
      </c>
      <c r="K26" s="2">
        <v>-13633000</v>
      </c>
      <c r="L26" s="1"/>
    </row>
    <row r="27" spans="1:12" x14ac:dyDescent="0.25">
      <c r="A27" s="1" t="s">
        <v>91</v>
      </c>
      <c r="B27" s="2">
        <v>-654933</v>
      </c>
      <c r="C27" s="2">
        <v>99000</v>
      </c>
      <c r="D27" s="2">
        <v>1170000</v>
      </c>
      <c r="E27" s="2">
        <v>2236000</v>
      </c>
      <c r="F27" s="2">
        <v>-3220000</v>
      </c>
      <c r="G27" s="2">
        <v>10114000</v>
      </c>
      <c r="H27" s="2">
        <v>-10049000</v>
      </c>
      <c r="I27" s="2">
        <v>1143000</v>
      </c>
      <c r="J27" s="2">
        <v>1399000</v>
      </c>
      <c r="K27" s="2">
        <v>3891000</v>
      </c>
      <c r="L27" s="1"/>
    </row>
    <row r="28" spans="1:12" x14ac:dyDescent="0.25">
      <c r="A28" s="1" t="s">
        <v>92</v>
      </c>
      <c r="B28" s="2">
        <v>1151587</v>
      </c>
      <c r="C28" s="2">
        <v>497000</v>
      </c>
      <c r="D28" s="2">
        <v>596000</v>
      </c>
      <c r="E28" s="2">
        <v>1766000</v>
      </c>
      <c r="F28" s="2">
        <v>4002000</v>
      </c>
      <c r="G28" s="2">
        <v>782000</v>
      </c>
      <c r="H28" s="2">
        <v>10896000</v>
      </c>
      <c r="I28" s="2">
        <v>847000</v>
      </c>
      <c r="J28" s="2">
        <v>1990000</v>
      </c>
      <c r="K28" s="2">
        <v>3389000</v>
      </c>
      <c r="L28" s="1"/>
    </row>
    <row r="29" spans="1:12" x14ac:dyDescent="0.25">
      <c r="A29" s="1" t="s">
        <v>93</v>
      </c>
      <c r="B29" s="2">
        <v>496654</v>
      </c>
      <c r="C29" s="2">
        <v>596000</v>
      </c>
      <c r="D29" s="2">
        <v>1766000</v>
      </c>
      <c r="E29" s="2">
        <v>4002000</v>
      </c>
      <c r="F29" s="2">
        <v>782000</v>
      </c>
      <c r="G29" s="2">
        <v>10896000</v>
      </c>
      <c r="H29" s="2">
        <v>847000</v>
      </c>
      <c r="I29" s="2">
        <v>1990000</v>
      </c>
      <c r="J29" s="2">
        <v>3389000</v>
      </c>
      <c r="K29" s="2">
        <v>7280000</v>
      </c>
      <c r="L29" s="1"/>
    </row>
    <row r="30" spans="1:12" x14ac:dyDescent="0.25">
      <c r="A30" s="1" t="s">
        <v>94</v>
      </c>
      <c r="B30" s="2">
        <v>248092</v>
      </c>
      <c r="C30" s="2">
        <v>226000</v>
      </c>
      <c r="D30" s="2">
        <v>212000</v>
      </c>
      <c r="E30" s="2">
        <v>202000</v>
      </c>
      <c r="F30" s="2">
        <v>262000</v>
      </c>
      <c r="G30" s="2">
        <v>381000</v>
      </c>
      <c r="H30" s="2">
        <v>1098000</v>
      </c>
      <c r="I30" s="2">
        <v>1174000</v>
      </c>
      <c r="J30" s="2">
        <v>1544000</v>
      </c>
      <c r="K30" s="2">
        <v>1508000</v>
      </c>
      <c r="L30" s="1"/>
    </row>
    <row r="31" spans="1:12" x14ac:dyDescent="0.25">
      <c r="A31" s="1" t="s">
        <v>95</v>
      </c>
      <c r="B31" s="2">
        <v>-122381</v>
      </c>
      <c r="C31" s="2">
        <v>-86000</v>
      </c>
      <c r="D31" s="2">
        <v>-176000</v>
      </c>
      <c r="E31" s="2">
        <v>-593000</v>
      </c>
      <c r="F31" s="2">
        <v>-600000</v>
      </c>
      <c r="G31" s="2">
        <v>-489000</v>
      </c>
      <c r="H31" s="2">
        <v>-1128000</v>
      </c>
      <c r="I31" s="2">
        <v>-976000</v>
      </c>
      <c r="J31" s="2">
        <v>-1833000</v>
      </c>
      <c r="K31" s="2">
        <v>-1069000</v>
      </c>
      <c r="L31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441B-CE48-45E9-A32B-7D763441CF22}">
  <dimension ref="A1:E6"/>
  <sheetViews>
    <sheetView workbookViewId="0">
      <selection activeCell="E11" sqref="E11"/>
    </sheetView>
  </sheetViews>
  <sheetFormatPr defaultRowHeight="15" x14ac:dyDescent="0.25"/>
  <cols>
    <col min="1" max="1" width="35" bestFit="1" customWidth="1"/>
    <col min="2" max="2" width="20.85546875" bestFit="1" customWidth="1"/>
    <col min="3" max="3" width="31.5703125" bestFit="1" customWidth="1"/>
    <col min="4" max="4" width="18.42578125" bestFit="1" customWidth="1"/>
    <col min="5" max="5" width="28" bestFit="1" customWidth="1"/>
  </cols>
  <sheetData>
    <row r="1" spans="1:5" x14ac:dyDescent="0.25">
      <c r="B1" s="33" t="s">
        <v>120</v>
      </c>
      <c r="C1" s="33" t="s">
        <v>122</v>
      </c>
      <c r="D1" s="33" t="s">
        <v>124</v>
      </c>
      <c r="E1" s="33" t="s">
        <v>126</v>
      </c>
    </row>
    <row r="2" spans="1:5" x14ac:dyDescent="0.25">
      <c r="B2" s="33" t="s">
        <v>121</v>
      </c>
      <c r="C2" s="33" t="s">
        <v>123</v>
      </c>
      <c r="D2" s="33" t="s">
        <v>125</v>
      </c>
      <c r="E2" s="33" t="s">
        <v>127</v>
      </c>
    </row>
    <row r="3" spans="1:5" x14ac:dyDescent="0.25">
      <c r="A3" s="30" t="s">
        <v>108</v>
      </c>
      <c r="B3" s="31" t="s">
        <v>109</v>
      </c>
      <c r="C3" s="31" t="s">
        <v>110</v>
      </c>
      <c r="D3" s="31" t="s">
        <v>111</v>
      </c>
      <c r="E3" s="31" t="s">
        <v>112</v>
      </c>
    </row>
    <row r="4" spans="1:5" s="3" customFormat="1" x14ac:dyDescent="0.25">
      <c r="A4" s="1" t="s">
        <v>113</v>
      </c>
      <c r="B4" s="3" t="s">
        <v>114</v>
      </c>
      <c r="C4" s="3" t="s">
        <v>115</v>
      </c>
      <c r="D4" s="3" t="s">
        <v>116</v>
      </c>
      <c r="E4" s="3" t="s">
        <v>117</v>
      </c>
    </row>
    <row r="5" spans="1:5" x14ac:dyDescent="0.25">
      <c r="A5" s="30" t="s">
        <v>118</v>
      </c>
      <c r="B5" s="32">
        <v>0.75860000000000005</v>
      </c>
      <c r="C5" s="32">
        <v>0.48380000000000001</v>
      </c>
      <c r="D5" s="32">
        <v>0.34670000000000001</v>
      </c>
      <c r="E5" s="32">
        <v>0.56210000000000004</v>
      </c>
    </row>
    <row r="6" spans="1:5" x14ac:dyDescent="0.25">
      <c r="A6" s="30" t="s">
        <v>119</v>
      </c>
      <c r="B6" s="32">
        <v>0.55689999999999995</v>
      </c>
      <c r="C6" s="32">
        <v>7.5200000000000003E-2</v>
      </c>
      <c r="D6" s="32">
        <v>-0.29420000000000002</v>
      </c>
      <c r="E6" s="32">
        <v>0.26029999999999998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5B4D-A0F7-4861-9351-E7673CEDD56E}">
  <dimension ref="A4:L86"/>
  <sheetViews>
    <sheetView topLeftCell="A4" workbookViewId="0">
      <selection activeCell="A50" sqref="A50"/>
    </sheetView>
  </sheetViews>
  <sheetFormatPr defaultRowHeight="15" x14ac:dyDescent="0.25"/>
  <cols>
    <col min="1" max="1" width="61.85546875" bestFit="1" customWidth="1"/>
    <col min="2" max="11" width="10.7109375" bestFit="1" customWidth="1"/>
    <col min="12" max="191" width="12" customWidth="1"/>
  </cols>
  <sheetData>
    <row r="4" spans="1:12" x14ac:dyDescent="0.25">
      <c r="A4" s="34" t="s">
        <v>52</v>
      </c>
    </row>
    <row r="5" spans="1:12" ht="20.25" x14ac:dyDescent="0.3">
      <c r="A5" s="35" t="s">
        <v>128</v>
      </c>
    </row>
    <row r="7" spans="1:12" x14ac:dyDescent="0.25">
      <c r="A7" s="36" t="s">
        <v>129</v>
      </c>
    </row>
    <row r="10" spans="1:12" x14ac:dyDescent="0.25">
      <c r="A10" s="37" t="s">
        <v>50</v>
      </c>
    </row>
    <row r="11" spans="1:12" x14ac:dyDescent="0.25">
      <c r="A11" s="38" t="s">
        <v>49</v>
      </c>
      <c r="B11" s="39" t="s">
        <v>130</v>
      </c>
      <c r="C11" s="39" t="s">
        <v>131</v>
      </c>
      <c r="D11" s="39" t="s">
        <v>132</v>
      </c>
      <c r="E11" s="39" t="s">
        <v>133</v>
      </c>
      <c r="F11" s="39" t="s">
        <v>134</v>
      </c>
      <c r="G11" s="39" t="s">
        <v>135</v>
      </c>
      <c r="H11" s="39" t="s">
        <v>136</v>
      </c>
      <c r="I11" s="39" t="s">
        <v>137</v>
      </c>
      <c r="J11" s="39" t="s">
        <v>138</v>
      </c>
      <c r="K11" s="39" t="s">
        <v>139</v>
      </c>
      <c r="L11" s="38"/>
    </row>
    <row r="12" spans="1:12" x14ac:dyDescent="0.25">
      <c r="A12" s="38" t="s">
        <v>38</v>
      </c>
      <c r="B12" s="39" t="s">
        <v>37</v>
      </c>
      <c r="C12" s="39" t="s">
        <v>37</v>
      </c>
      <c r="D12" s="39" t="s">
        <v>37</v>
      </c>
      <c r="E12" s="39" t="s">
        <v>37</v>
      </c>
      <c r="F12" s="39" t="s">
        <v>37</v>
      </c>
      <c r="G12" s="39" t="s">
        <v>37</v>
      </c>
      <c r="H12" s="39" t="s">
        <v>37</v>
      </c>
      <c r="I12" s="39" t="s">
        <v>37</v>
      </c>
      <c r="J12" s="39" t="s">
        <v>37</v>
      </c>
      <c r="K12" s="39" t="s">
        <v>37</v>
      </c>
      <c r="L12" s="38"/>
    </row>
    <row r="13" spans="1:12" ht="25.5" x14ac:dyDescent="0.25">
      <c r="A13" s="38" t="s">
        <v>36</v>
      </c>
      <c r="B13" s="39" t="s">
        <v>35</v>
      </c>
      <c r="C13" s="39" t="s">
        <v>35</v>
      </c>
      <c r="D13" s="39" t="s">
        <v>35</v>
      </c>
      <c r="E13" s="39" t="s">
        <v>35</v>
      </c>
      <c r="F13" s="39" t="s">
        <v>35</v>
      </c>
      <c r="G13" s="39" t="s">
        <v>35</v>
      </c>
      <c r="H13" s="39" t="s">
        <v>35</v>
      </c>
      <c r="I13" s="39" t="s">
        <v>35</v>
      </c>
      <c r="J13" s="39" t="s">
        <v>35</v>
      </c>
      <c r="K13" s="39" t="s">
        <v>35</v>
      </c>
      <c r="L13" s="38"/>
    </row>
    <row r="14" spans="1:12" x14ac:dyDescent="0.25">
      <c r="A14" s="38" t="s">
        <v>34</v>
      </c>
      <c r="B14" s="39" t="s">
        <v>33</v>
      </c>
      <c r="C14" s="39" t="s">
        <v>33</v>
      </c>
      <c r="D14" s="39" t="s">
        <v>33</v>
      </c>
      <c r="E14" s="39" t="s">
        <v>33</v>
      </c>
      <c r="F14" s="39" t="s">
        <v>33</v>
      </c>
      <c r="G14" s="39" t="s">
        <v>33</v>
      </c>
      <c r="H14" s="39" t="s">
        <v>33</v>
      </c>
      <c r="I14" s="39" t="s">
        <v>33</v>
      </c>
      <c r="J14" s="39" t="s">
        <v>33</v>
      </c>
      <c r="K14" s="39" t="s">
        <v>33</v>
      </c>
      <c r="L14" s="38"/>
    </row>
    <row r="15" spans="1:12" x14ac:dyDescent="0.25">
      <c r="A15" s="38" t="s">
        <v>32</v>
      </c>
      <c r="B15" s="39" t="s">
        <v>31</v>
      </c>
      <c r="C15" s="39" t="s">
        <v>31</v>
      </c>
      <c r="D15" s="39" t="s">
        <v>31</v>
      </c>
      <c r="E15" s="39" t="s">
        <v>31</v>
      </c>
      <c r="F15" s="39" t="s">
        <v>31</v>
      </c>
      <c r="G15" s="39" t="s">
        <v>31</v>
      </c>
      <c r="H15" s="39" t="s">
        <v>31</v>
      </c>
      <c r="I15" s="39" t="s">
        <v>31</v>
      </c>
      <c r="J15" s="39" t="s">
        <v>31</v>
      </c>
      <c r="K15" s="39" t="s">
        <v>31</v>
      </c>
      <c r="L15" s="38"/>
    </row>
    <row r="16" spans="1:12" x14ac:dyDescent="0.25">
      <c r="A16" s="1" t="s">
        <v>30</v>
      </c>
      <c r="B16" s="2">
        <v>3933000</v>
      </c>
      <c r="C16" s="2">
        <v>4835000</v>
      </c>
      <c r="D16" s="2">
        <v>2535000</v>
      </c>
      <c r="E16" s="2">
        <v>1595000</v>
      </c>
      <c r="F16" s="2">
        <v>1503000</v>
      </c>
      <c r="G16" s="2">
        <v>1156000</v>
      </c>
      <c r="H16" s="2">
        <v>1185000</v>
      </c>
      <c r="I16" s="2">
        <v>1264000</v>
      </c>
      <c r="J16" s="2">
        <v>785000</v>
      </c>
      <c r="K16" s="2">
        <v>1040000</v>
      </c>
      <c r="L16" s="1"/>
    </row>
    <row r="17" spans="1:12" x14ac:dyDescent="0.25">
      <c r="A17" s="1" t="s">
        <v>29</v>
      </c>
      <c r="B17" s="2">
        <v>1840000</v>
      </c>
      <c r="C17" s="2">
        <v>1020000</v>
      </c>
      <c r="D17" s="2">
        <v>1073000</v>
      </c>
      <c r="E17" s="2">
        <v>695000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1"/>
    </row>
    <row r="18" spans="1:12" x14ac:dyDescent="0.25">
      <c r="A18" s="1" t="s">
        <v>28</v>
      </c>
      <c r="B18" s="2">
        <v>5773000</v>
      </c>
      <c r="C18" s="2">
        <v>5855000</v>
      </c>
      <c r="D18" s="2">
        <v>3608000</v>
      </c>
      <c r="E18" s="2">
        <v>2290000</v>
      </c>
      <c r="F18" s="2">
        <v>1503000</v>
      </c>
      <c r="G18" s="2">
        <v>1156000</v>
      </c>
      <c r="H18" s="2">
        <v>1185000</v>
      </c>
      <c r="I18" s="2">
        <v>1264000</v>
      </c>
      <c r="J18" s="2">
        <v>785000</v>
      </c>
      <c r="K18" s="2">
        <v>1040000</v>
      </c>
      <c r="L18" s="1"/>
    </row>
    <row r="19" spans="1:12" x14ac:dyDescent="0.25">
      <c r="A19" s="1" t="s">
        <v>27</v>
      </c>
      <c r="B19" s="2">
        <v>5376000</v>
      </c>
      <c r="C19" s="2">
        <v>4126000</v>
      </c>
      <c r="D19" s="2">
        <v>2706000</v>
      </c>
      <c r="E19" s="2">
        <v>2066000</v>
      </c>
      <c r="F19" s="2">
        <v>1859000</v>
      </c>
      <c r="G19" s="2">
        <v>1235000</v>
      </c>
      <c r="H19" s="2">
        <v>400000</v>
      </c>
      <c r="I19" s="2">
        <v>311000</v>
      </c>
      <c r="J19" s="2">
        <v>533000</v>
      </c>
      <c r="K19" s="2">
        <v>818000</v>
      </c>
      <c r="L19" s="1"/>
    </row>
    <row r="20" spans="1:12" x14ac:dyDescent="0.25">
      <c r="A20" s="1" t="s">
        <v>140</v>
      </c>
      <c r="B20" s="2">
        <v>9000</v>
      </c>
      <c r="C20" s="2">
        <v>2000</v>
      </c>
      <c r="D20" s="2">
        <v>2000</v>
      </c>
      <c r="E20" s="2">
        <v>10000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1"/>
    </row>
    <row r="21" spans="1:12" x14ac:dyDescent="0.25">
      <c r="A21" s="1" t="s">
        <v>26</v>
      </c>
      <c r="B21" s="2">
        <v>4351000</v>
      </c>
      <c r="C21" s="2">
        <v>3771000</v>
      </c>
      <c r="D21" s="2">
        <v>1955000</v>
      </c>
      <c r="E21" s="2">
        <v>1399000</v>
      </c>
      <c r="F21" s="2">
        <v>982000</v>
      </c>
      <c r="G21" s="2">
        <v>845000</v>
      </c>
      <c r="H21" s="2">
        <v>739000</v>
      </c>
      <c r="I21" s="2">
        <v>751000</v>
      </c>
      <c r="J21" s="2">
        <v>678000</v>
      </c>
      <c r="K21" s="2">
        <v>685000</v>
      </c>
      <c r="L21" s="1"/>
    </row>
    <row r="22" spans="1:12" x14ac:dyDescent="0.25">
      <c r="A22" s="1" t="s">
        <v>25</v>
      </c>
      <c r="B22" s="2">
        <v>1259000</v>
      </c>
      <c r="C22" s="2">
        <v>1265000</v>
      </c>
      <c r="D22" s="2">
        <v>312000</v>
      </c>
      <c r="E22" s="2">
        <v>378000</v>
      </c>
      <c r="F22" s="2">
        <v>253000</v>
      </c>
      <c r="G22" s="2">
        <v>247000</v>
      </c>
      <c r="H22" s="2">
        <v>221000</v>
      </c>
      <c r="I22" s="2">
        <v>109000</v>
      </c>
      <c r="J22" s="2">
        <v>248000</v>
      </c>
      <c r="K22" s="2">
        <v>80000</v>
      </c>
      <c r="L22" s="1"/>
    </row>
    <row r="23" spans="1:12" x14ac:dyDescent="0.25">
      <c r="A23" s="1" t="s">
        <v>24</v>
      </c>
      <c r="B23" s="2">
        <v>16768000</v>
      </c>
      <c r="C23" s="2">
        <v>15019000</v>
      </c>
      <c r="D23" s="2">
        <v>8583000</v>
      </c>
      <c r="E23" s="2">
        <v>6143000</v>
      </c>
      <c r="F23" s="2">
        <v>4597000</v>
      </c>
      <c r="G23" s="2">
        <v>3540000</v>
      </c>
      <c r="H23" s="2">
        <v>2622000</v>
      </c>
      <c r="I23" s="2">
        <v>2530000</v>
      </c>
      <c r="J23" s="2">
        <v>2320000</v>
      </c>
      <c r="K23" s="2">
        <v>2736000</v>
      </c>
      <c r="L23" s="1"/>
    </row>
    <row r="24" spans="1:12" x14ac:dyDescent="0.25">
      <c r="A24" s="1" t="s">
        <v>23</v>
      </c>
      <c r="B24" s="2">
        <v>3376000</v>
      </c>
      <c r="C24" s="2">
        <v>3020000</v>
      </c>
      <c r="D24" s="2">
        <v>1836000</v>
      </c>
      <c r="E24" s="2">
        <v>1553000</v>
      </c>
      <c r="F24" s="2">
        <v>1268000</v>
      </c>
      <c r="G24" s="2">
        <v>1055000</v>
      </c>
      <c r="H24" s="2">
        <v>1001000</v>
      </c>
      <c r="I24" s="2">
        <v>881000</v>
      </c>
      <c r="J24" s="2">
        <v>984000</v>
      </c>
      <c r="K24" s="2">
        <v>1680000</v>
      </c>
      <c r="L24" s="1"/>
    </row>
    <row r="25" spans="1:12" x14ac:dyDescent="0.25">
      <c r="A25" s="1" t="s">
        <v>22</v>
      </c>
      <c r="B25" s="2">
        <v>1787000</v>
      </c>
      <c r="C25" s="2">
        <v>1507000</v>
      </c>
      <c r="D25" s="2">
        <v>1134000</v>
      </c>
      <c r="E25" s="2">
        <v>912000</v>
      </c>
      <c r="F25" s="2">
        <v>768000</v>
      </c>
      <c r="G25" s="2">
        <v>707000</v>
      </c>
      <c r="H25" s="2">
        <v>740000</v>
      </c>
      <c r="I25" s="2">
        <v>717000</v>
      </c>
      <c r="J25" s="2">
        <v>796000</v>
      </c>
      <c r="K25" s="2">
        <v>1378000</v>
      </c>
      <c r="L25" s="1"/>
    </row>
    <row r="26" spans="1:12" x14ac:dyDescent="0.25">
      <c r="A26" s="1" t="s">
        <v>21</v>
      </c>
      <c r="B26" s="2">
        <v>1589000</v>
      </c>
      <c r="C26" s="2">
        <v>1513000</v>
      </c>
      <c r="D26" s="2">
        <v>702000</v>
      </c>
      <c r="E26" s="2">
        <v>641000</v>
      </c>
      <c r="F26" s="2">
        <v>500000</v>
      </c>
      <c r="G26" s="2">
        <v>348000</v>
      </c>
      <c r="H26" s="2">
        <v>261000</v>
      </c>
      <c r="I26" s="2">
        <v>164000</v>
      </c>
      <c r="J26" s="2">
        <v>188000</v>
      </c>
      <c r="K26" s="2">
        <v>302000</v>
      </c>
      <c r="L26" s="1"/>
    </row>
    <row r="27" spans="1:12" x14ac:dyDescent="0.25">
      <c r="A27" s="1" t="s">
        <v>141</v>
      </c>
      <c r="B27" s="2">
        <v>99000</v>
      </c>
      <c r="C27" s="2">
        <v>83000</v>
      </c>
      <c r="D27" s="2">
        <v>69000</v>
      </c>
      <c r="E27" s="2">
        <v>63000</v>
      </c>
      <c r="F27" s="2">
        <v>58000</v>
      </c>
      <c r="G27" s="2">
        <v>58000</v>
      </c>
      <c r="H27" s="2">
        <v>58000</v>
      </c>
      <c r="I27" s="2">
        <v>59000</v>
      </c>
      <c r="J27" s="3">
        <v>0</v>
      </c>
      <c r="K27" s="3">
        <v>0</v>
      </c>
      <c r="L27" s="1"/>
    </row>
    <row r="28" spans="1:12" x14ac:dyDescent="0.25">
      <c r="A28" s="1" t="s">
        <v>20</v>
      </c>
      <c r="B28" s="2">
        <v>45625000</v>
      </c>
      <c r="C28" s="2">
        <v>48657000</v>
      </c>
      <c r="D28" s="2">
        <v>617000</v>
      </c>
      <c r="E28" s="2">
        <v>518000</v>
      </c>
      <c r="F28" s="2">
        <v>499000</v>
      </c>
      <c r="G28" s="2">
        <v>515000</v>
      </c>
      <c r="H28" s="2">
        <v>528000</v>
      </c>
      <c r="I28" s="2">
        <v>521000</v>
      </c>
      <c r="J28" s="2">
        <v>278000</v>
      </c>
      <c r="K28" s="2">
        <v>385000</v>
      </c>
      <c r="L28" s="1"/>
    </row>
    <row r="29" spans="1:12" x14ac:dyDescent="0.25">
      <c r="A29" s="1" t="s">
        <v>142</v>
      </c>
      <c r="B29" s="3">
        <v>0</v>
      </c>
      <c r="C29" s="2">
        <v>1252000</v>
      </c>
      <c r="D29" s="2">
        <v>916000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1"/>
    </row>
    <row r="30" spans="1:12" x14ac:dyDescent="0.25">
      <c r="A30" s="1" t="s">
        <v>143</v>
      </c>
      <c r="B30" s="2">
        <v>366000</v>
      </c>
      <c r="C30" s="2">
        <v>58000</v>
      </c>
      <c r="D30" s="2">
        <v>931000</v>
      </c>
      <c r="E30" s="2">
        <v>1245000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1"/>
    </row>
    <row r="31" spans="1:12" x14ac:dyDescent="0.25">
      <c r="A31" s="1" t="s">
        <v>19</v>
      </c>
      <c r="B31" s="2">
        <v>3438000</v>
      </c>
      <c r="C31" s="2">
        <v>998000</v>
      </c>
      <c r="D31" s="2">
        <v>601000</v>
      </c>
      <c r="E31" s="2">
        <v>352000</v>
      </c>
      <c r="F31" s="2">
        <v>374000</v>
      </c>
      <c r="G31" s="2">
        <v>95000</v>
      </c>
      <c r="H31" s="2">
        <v>71000</v>
      </c>
      <c r="I31" s="2">
        <v>47000</v>
      </c>
      <c r="J31" s="2">
        <v>323000</v>
      </c>
      <c r="K31" s="2">
        <v>344000</v>
      </c>
      <c r="L31" s="1"/>
    </row>
    <row r="32" spans="1:12" x14ac:dyDescent="0.25">
      <c r="A32" s="1" t="s">
        <v>18</v>
      </c>
      <c r="B32" s="2">
        <v>67885000</v>
      </c>
      <c r="C32" s="2">
        <v>67580000</v>
      </c>
      <c r="D32" s="2">
        <v>12419000</v>
      </c>
      <c r="E32" s="2">
        <v>8962000</v>
      </c>
      <c r="F32" s="2">
        <v>6028000</v>
      </c>
      <c r="G32" s="2">
        <v>4556000</v>
      </c>
      <c r="H32" s="2">
        <v>3540000</v>
      </c>
      <c r="I32" s="2">
        <v>3321000</v>
      </c>
      <c r="J32" s="2">
        <v>3109000</v>
      </c>
      <c r="K32" s="2">
        <v>3767000</v>
      </c>
      <c r="L32" s="1"/>
    </row>
    <row r="33" spans="1:12" x14ac:dyDescent="0.25">
      <c r="A33" s="1" t="s">
        <v>17</v>
      </c>
      <c r="B33" s="2">
        <v>5500000</v>
      </c>
      <c r="C33" s="2">
        <v>6033000</v>
      </c>
      <c r="D33" s="2">
        <v>3830000</v>
      </c>
      <c r="E33" s="2">
        <v>2342000</v>
      </c>
      <c r="F33" s="2">
        <v>2285000</v>
      </c>
      <c r="G33" s="2">
        <v>1824000</v>
      </c>
      <c r="H33" s="2">
        <v>1337000</v>
      </c>
      <c r="I33" s="2">
        <v>1214000</v>
      </c>
      <c r="J33" s="2">
        <v>996000</v>
      </c>
      <c r="K33" s="2">
        <v>1191000</v>
      </c>
      <c r="L33" s="1"/>
    </row>
    <row r="34" spans="1:12" x14ac:dyDescent="0.25">
      <c r="A34" s="1" t="s">
        <v>16</v>
      </c>
      <c r="B34" s="2">
        <v>2055000</v>
      </c>
      <c r="C34" s="2">
        <v>2493000</v>
      </c>
      <c r="D34" s="2">
        <v>1321000</v>
      </c>
      <c r="E34" s="2">
        <v>468000</v>
      </c>
      <c r="F34" s="2">
        <v>988000</v>
      </c>
      <c r="G34" s="2">
        <v>528000</v>
      </c>
      <c r="H34" s="2">
        <v>384000</v>
      </c>
      <c r="I34" s="2">
        <v>440000</v>
      </c>
      <c r="J34" s="2">
        <v>279000</v>
      </c>
      <c r="K34" s="2">
        <v>415000</v>
      </c>
      <c r="L34" s="1"/>
    </row>
    <row r="35" spans="1:12" x14ac:dyDescent="0.25">
      <c r="A35" s="1" t="s">
        <v>15</v>
      </c>
      <c r="B35" s="2">
        <v>3082000</v>
      </c>
      <c r="C35" s="2">
        <v>3077000</v>
      </c>
      <c r="D35" s="2">
        <v>2424000</v>
      </c>
      <c r="E35" s="2">
        <v>1796000</v>
      </c>
      <c r="F35" s="2">
        <v>1084000</v>
      </c>
      <c r="G35" s="2">
        <v>763000</v>
      </c>
      <c r="H35" s="2">
        <v>541000</v>
      </c>
      <c r="I35" s="2">
        <v>391000</v>
      </c>
      <c r="J35" s="2">
        <v>472000</v>
      </c>
      <c r="K35" s="2">
        <v>558000</v>
      </c>
      <c r="L35" s="1"/>
    </row>
    <row r="36" spans="1:12" x14ac:dyDescent="0.25">
      <c r="A36" s="1" t="s">
        <v>14</v>
      </c>
      <c r="B36" s="2">
        <v>751000</v>
      </c>
      <c r="C36" s="3">
        <v>0</v>
      </c>
      <c r="D36" s="2">
        <v>312000</v>
      </c>
      <c r="E36" s="3">
        <v>0</v>
      </c>
      <c r="F36" s="3">
        <v>0</v>
      </c>
      <c r="G36" s="2">
        <v>136000</v>
      </c>
      <c r="H36" s="2">
        <v>70000</v>
      </c>
      <c r="I36" s="3" t="s">
        <v>2</v>
      </c>
      <c r="J36" s="2">
        <v>230000</v>
      </c>
      <c r="K36" s="2">
        <v>177000</v>
      </c>
      <c r="L36" s="1"/>
    </row>
    <row r="37" spans="1:12" x14ac:dyDescent="0.25">
      <c r="A37" s="1" t="s">
        <v>13</v>
      </c>
      <c r="B37" s="2">
        <v>438000</v>
      </c>
      <c r="C37" s="2">
        <v>336000</v>
      </c>
      <c r="D37" s="2">
        <v>98000</v>
      </c>
      <c r="E37" s="2">
        <v>75000</v>
      </c>
      <c r="F37" s="2">
        <v>74000</v>
      </c>
      <c r="G37" s="2">
        <v>24000</v>
      </c>
      <c r="H37" s="2">
        <v>79000</v>
      </c>
      <c r="I37" s="2">
        <v>132000</v>
      </c>
      <c r="J37" s="2">
        <v>177000</v>
      </c>
      <c r="K37" s="2">
        <v>72000</v>
      </c>
      <c r="L37" s="1"/>
    </row>
    <row r="38" spans="1:12" x14ac:dyDescent="0.25">
      <c r="A38" s="1" t="s">
        <v>12</v>
      </c>
      <c r="B38" s="2">
        <v>6689000</v>
      </c>
      <c r="C38" s="2">
        <v>6369000</v>
      </c>
      <c r="D38" s="2">
        <v>4240000</v>
      </c>
      <c r="E38" s="2">
        <v>2417000</v>
      </c>
      <c r="F38" s="2">
        <v>2359000</v>
      </c>
      <c r="G38" s="2">
        <v>1984000</v>
      </c>
      <c r="H38" s="2">
        <v>1486000</v>
      </c>
      <c r="I38" s="2">
        <v>1346000</v>
      </c>
      <c r="J38" s="2">
        <v>1403000</v>
      </c>
      <c r="K38" s="2">
        <v>1440000</v>
      </c>
      <c r="L38" s="1"/>
    </row>
    <row r="39" spans="1:12" x14ac:dyDescent="0.25">
      <c r="A39" s="1" t="s">
        <v>11</v>
      </c>
      <c r="B39" s="2">
        <v>1717000</v>
      </c>
      <c r="C39" s="2">
        <v>2467000</v>
      </c>
      <c r="D39" s="2">
        <v>1000</v>
      </c>
      <c r="E39" s="2">
        <v>330000</v>
      </c>
      <c r="F39" s="2">
        <v>486000</v>
      </c>
      <c r="G39" s="2">
        <v>1114000</v>
      </c>
      <c r="H39" s="2">
        <v>1325000</v>
      </c>
      <c r="I39" s="2">
        <v>1435000</v>
      </c>
      <c r="J39" s="2">
        <v>2032000</v>
      </c>
      <c r="K39" s="2">
        <v>2035000</v>
      </c>
      <c r="L39" s="1"/>
    </row>
    <row r="40" spans="1:12" x14ac:dyDescent="0.25">
      <c r="A40" s="1" t="s">
        <v>10</v>
      </c>
      <c r="B40" s="2">
        <v>1202000</v>
      </c>
      <c r="C40" s="2">
        <v>1934000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1"/>
    </row>
    <row r="41" spans="1:12" x14ac:dyDescent="0.25">
      <c r="A41" s="1" t="s">
        <v>9</v>
      </c>
      <c r="B41" s="2">
        <v>2385000</v>
      </c>
      <c r="C41" s="2">
        <v>2060000</v>
      </c>
      <c r="D41" s="2">
        <v>681000</v>
      </c>
      <c r="E41" s="2">
        <v>378000</v>
      </c>
      <c r="F41" s="2">
        <v>356000</v>
      </c>
      <c r="G41" s="2">
        <v>192000</v>
      </c>
      <c r="H41" s="2">
        <v>118000</v>
      </c>
      <c r="I41" s="2">
        <v>124000</v>
      </c>
      <c r="J41" s="2">
        <v>86000</v>
      </c>
      <c r="K41" s="2">
        <v>105000</v>
      </c>
      <c r="L41" s="1"/>
    </row>
    <row r="42" spans="1:12" x14ac:dyDescent="0.25">
      <c r="A42" s="1" t="s">
        <v>8</v>
      </c>
      <c r="B42" s="2">
        <v>11993000</v>
      </c>
      <c r="C42" s="2">
        <v>12830000</v>
      </c>
      <c r="D42" s="2">
        <v>4922000</v>
      </c>
      <c r="E42" s="2">
        <v>3125000</v>
      </c>
      <c r="F42" s="2">
        <v>3201000</v>
      </c>
      <c r="G42" s="2">
        <v>3290000</v>
      </c>
      <c r="H42" s="2">
        <v>2929000</v>
      </c>
      <c r="I42" s="2">
        <v>2905000</v>
      </c>
      <c r="J42" s="2">
        <v>3521000</v>
      </c>
      <c r="K42" s="2">
        <v>3580000</v>
      </c>
      <c r="L42" s="1"/>
    </row>
    <row r="43" spans="1:12" x14ac:dyDescent="0.25">
      <c r="A43" s="1" t="s">
        <v>7</v>
      </c>
      <c r="B43" s="2">
        <v>17000</v>
      </c>
      <c r="C43" s="2">
        <v>16000</v>
      </c>
      <c r="D43" s="2">
        <v>12000</v>
      </c>
      <c r="E43" s="2">
        <v>12000</v>
      </c>
      <c r="F43" s="2">
        <v>12000</v>
      </c>
      <c r="G43" s="2">
        <v>10000</v>
      </c>
      <c r="H43" s="2">
        <v>9000</v>
      </c>
      <c r="I43" s="2">
        <v>9000</v>
      </c>
      <c r="J43" s="2">
        <v>8000</v>
      </c>
      <c r="K43" s="2">
        <v>8000</v>
      </c>
      <c r="L43" s="1"/>
    </row>
    <row r="44" spans="1:12" x14ac:dyDescent="0.25">
      <c r="A44" s="1" t="s">
        <v>6</v>
      </c>
      <c r="B44" s="2">
        <v>59676000</v>
      </c>
      <c r="C44" s="2">
        <v>58005000</v>
      </c>
      <c r="D44" s="2">
        <v>11069000</v>
      </c>
      <c r="E44" s="2">
        <v>10544000</v>
      </c>
      <c r="F44" s="2">
        <v>9963000</v>
      </c>
      <c r="G44" s="2">
        <v>8750000</v>
      </c>
      <c r="H44" s="2">
        <v>8464000</v>
      </c>
      <c r="I44" s="2">
        <v>8334000</v>
      </c>
      <c r="J44" s="2">
        <v>7017000</v>
      </c>
      <c r="K44" s="2">
        <v>6949000</v>
      </c>
      <c r="L44" s="1"/>
    </row>
    <row r="45" spans="1:12" x14ac:dyDescent="0.25">
      <c r="A45" s="1" t="s">
        <v>5</v>
      </c>
      <c r="B45" s="2">
        <v>723000</v>
      </c>
      <c r="C45" s="2">
        <v>-131000</v>
      </c>
      <c r="D45" s="2">
        <v>-1451000</v>
      </c>
      <c r="E45" s="2">
        <v>-4605000</v>
      </c>
      <c r="F45" s="2">
        <v>-7095000</v>
      </c>
      <c r="G45" s="2">
        <v>-7436000</v>
      </c>
      <c r="H45" s="2">
        <v>-7760000</v>
      </c>
      <c r="I45" s="2">
        <v>-7803000</v>
      </c>
      <c r="J45" s="2">
        <v>-7306000</v>
      </c>
      <c r="K45" s="2">
        <v>-6646000</v>
      </c>
      <c r="L45" s="1"/>
    </row>
    <row r="46" spans="1:12" x14ac:dyDescent="0.25">
      <c r="A46" s="1" t="s">
        <v>4</v>
      </c>
      <c r="B46" s="2">
        <v>-10000</v>
      </c>
      <c r="C46" s="2">
        <v>-41000</v>
      </c>
      <c r="D46" s="2">
        <v>-3000</v>
      </c>
      <c r="E46" s="2">
        <v>17000</v>
      </c>
      <c r="F46" s="3">
        <v>0</v>
      </c>
      <c r="G46" s="2">
        <v>-8000</v>
      </c>
      <c r="H46" s="2">
        <v>6000</v>
      </c>
      <c r="I46" s="2">
        <v>-5000</v>
      </c>
      <c r="J46" s="2">
        <v>-8000</v>
      </c>
      <c r="K46" s="2">
        <v>-5000</v>
      </c>
      <c r="L46" s="1"/>
    </row>
    <row r="47" spans="1:12" x14ac:dyDescent="0.25">
      <c r="A47" s="1" t="s">
        <v>3</v>
      </c>
      <c r="B47" s="2">
        <v>4514000</v>
      </c>
      <c r="C47" s="2">
        <v>3099000</v>
      </c>
      <c r="D47" s="2">
        <v>2130000</v>
      </c>
      <c r="E47" s="2">
        <v>131000</v>
      </c>
      <c r="F47" s="2">
        <v>53000</v>
      </c>
      <c r="G47" s="2">
        <v>50000</v>
      </c>
      <c r="H47" s="2">
        <v>108000</v>
      </c>
      <c r="I47" s="2">
        <v>119000</v>
      </c>
      <c r="J47" s="2">
        <v>123000</v>
      </c>
      <c r="K47" s="2">
        <v>119000</v>
      </c>
      <c r="L47" s="1"/>
    </row>
    <row r="48" spans="1:12" x14ac:dyDescent="0.25">
      <c r="A48" s="1" t="s">
        <v>1</v>
      </c>
      <c r="B48" s="2">
        <v>55892000</v>
      </c>
      <c r="C48" s="2">
        <v>54750000</v>
      </c>
      <c r="D48" s="2">
        <v>7497000</v>
      </c>
      <c r="E48" s="2">
        <v>5837000</v>
      </c>
      <c r="F48" s="2">
        <v>2827000</v>
      </c>
      <c r="G48" s="2">
        <v>1266000</v>
      </c>
      <c r="H48" s="2">
        <v>611000</v>
      </c>
      <c r="I48" s="2">
        <v>416000</v>
      </c>
      <c r="J48" s="2">
        <v>-412000</v>
      </c>
      <c r="K48" s="2">
        <v>187000</v>
      </c>
      <c r="L48" s="1"/>
    </row>
    <row r="49" spans="1:12" x14ac:dyDescent="0.25">
      <c r="A49" s="1" t="s">
        <v>0</v>
      </c>
      <c r="B49" s="2">
        <v>67885000</v>
      </c>
      <c r="C49" s="2">
        <v>67580000</v>
      </c>
      <c r="D49" s="2">
        <v>12419000</v>
      </c>
      <c r="E49" s="2">
        <v>8962000</v>
      </c>
      <c r="F49" s="2">
        <v>6028000</v>
      </c>
      <c r="G49" s="2">
        <v>4556000</v>
      </c>
      <c r="H49" s="2">
        <v>3540000</v>
      </c>
      <c r="I49" s="2">
        <v>3321000</v>
      </c>
      <c r="J49" s="2">
        <v>3109000</v>
      </c>
      <c r="K49" s="2">
        <v>3767000</v>
      </c>
      <c r="L49" s="1"/>
    </row>
    <row r="51" spans="1:12" x14ac:dyDescent="0.25">
      <c r="A51" s="37" t="s">
        <v>53</v>
      </c>
    </row>
    <row r="52" spans="1:12" x14ac:dyDescent="0.25">
      <c r="A52" s="38" t="s">
        <v>49</v>
      </c>
      <c r="B52" s="39" t="s">
        <v>130</v>
      </c>
      <c r="C52" s="39" t="s">
        <v>131</v>
      </c>
      <c r="D52" s="39" t="s">
        <v>132</v>
      </c>
      <c r="E52" s="39" t="s">
        <v>133</v>
      </c>
      <c r="F52" s="39" t="s">
        <v>134</v>
      </c>
      <c r="G52" s="39" t="s">
        <v>135</v>
      </c>
      <c r="H52" s="39" t="s">
        <v>136</v>
      </c>
      <c r="I52" s="39" t="s">
        <v>137</v>
      </c>
      <c r="J52" s="39" t="s">
        <v>138</v>
      </c>
      <c r="K52" s="39" t="s">
        <v>139</v>
      </c>
      <c r="L52" s="38"/>
    </row>
    <row r="53" spans="1:12" x14ac:dyDescent="0.25">
      <c r="A53" s="38" t="s">
        <v>38</v>
      </c>
      <c r="B53" s="39" t="s">
        <v>37</v>
      </c>
      <c r="C53" s="39" t="s">
        <v>37</v>
      </c>
      <c r="D53" s="39" t="s">
        <v>37</v>
      </c>
      <c r="E53" s="39" t="s">
        <v>37</v>
      </c>
      <c r="F53" s="39" t="s">
        <v>37</v>
      </c>
      <c r="G53" s="39" t="s">
        <v>37</v>
      </c>
      <c r="H53" s="39" t="s">
        <v>37</v>
      </c>
      <c r="I53" s="39" t="s">
        <v>37</v>
      </c>
      <c r="J53" s="39" t="s">
        <v>37</v>
      </c>
      <c r="K53" s="39" t="s">
        <v>37</v>
      </c>
      <c r="L53" s="38"/>
    </row>
    <row r="54" spans="1:12" ht="25.5" x14ac:dyDescent="0.25">
      <c r="A54" s="38" t="s">
        <v>36</v>
      </c>
      <c r="B54" s="39" t="s">
        <v>35</v>
      </c>
      <c r="C54" s="39" t="s">
        <v>35</v>
      </c>
      <c r="D54" s="39" t="s">
        <v>35</v>
      </c>
      <c r="E54" s="39" t="s">
        <v>35</v>
      </c>
      <c r="F54" s="39" t="s">
        <v>35</v>
      </c>
      <c r="G54" s="39" t="s">
        <v>35</v>
      </c>
      <c r="H54" s="39" t="s">
        <v>35</v>
      </c>
      <c r="I54" s="39" t="s">
        <v>35</v>
      </c>
      <c r="J54" s="39" t="s">
        <v>35</v>
      </c>
      <c r="K54" s="39" t="s">
        <v>35</v>
      </c>
      <c r="L54" s="38"/>
    </row>
    <row r="55" spans="1:12" x14ac:dyDescent="0.25">
      <c r="A55" s="38" t="s">
        <v>34</v>
      </c>
      <c r="B55" s="39" t="s">
        <v>33</v>
      </c>
      <c r="C55" s="39" t="s">
        <v>33</v>
      </c>
      <c r="D55" s="39" t="s">
        <v>33</v>
      </c>
      <c r="E55" s="39" t="s">
        <v>33</v>
      </c>
      <c r="F55" s="39" t="s">
        <v>33</v>
      </c>
      <c r="G55" s="39" t="s">
        <v>33</v>
      </c>
      <c r="H55" s="39" t="s">
        <v>33</v>
      </c>
      <c r="I55" s="39" t="s">
        <v>33</v>
      </c>
      <c r="J55" s="39" t="s">
        <v>33</v>
      </c>
      <c r="K55" s="39" t="s">
        <v>33</v>
      </c>
      <c r="L55" s="38"/>
    </row>
    <row r="56" spans="1:12" x14ac:dyDescent="0.25">
      <c r="A56" s="38" t="s">
        <v>32</v>
      </c>
      <c r="B56" s="39" t="s">
        <v>31</v>
      </c>
      <c r="C56" s="39" t="s">
        <v>31</v>
      </c>
      <c r="D56" s="39" t="s">
        <v>31</v>
      </c>
      <c r="E56" s="39" t="s">
        <v>31</v>
      </c>
      <c r="F56" s="39" t="s">
        <v>31</v>
      </c>
      <c r="G56" s="39" t="s">
        <v>31</v>
      </c>
      <c r="H56" s="39" t="s">
        <v>31</v>
      </c>
      <c r="I56" s="39" t="s">
        <v>31</v>
      </c>
      <c r="J56" s="39" t="s">
        <v>31</v>
      </c>
      <c r="K56" s="39" t="s">
        <v>31</v>
      </c>
      <c r="L56" s="38"/>
    </row>
    <row r="57" spans="1:12" x14ac:dyDescent="0.25">
      <c r="A57" s="1" t="s">
        <v>146</v>
      </c>
      <c r="B57" s="2">
        <v>22680000</v>
      </c>
      <c r="C57" s="2">
        <v>23601000</v>
      </c>
      <c r="D57" s="2">
        <v>16434000</v>
      </c>
      <c r="E57" s="2">
        <v>9763000</v>
      </c>
      <c r="F57" s="2">
        <v>6731000</v>
      </c>
      <c r="G57" s="2">
        <v>6475000</v>
      </c>
      <c r="H57" s="2">
        <v>5329000</v>
      </c>
      <c r="I57" s="2">
        <v>4272000</v>
      </c>
      <c r="J57" s="2">
        <v>3991000</v>
      </c>
      <c r="K57" s="2">
        <v>5506000</v>
      </c>
      <c r="L57" s="1"/>
    </row>
    <row r="58" spans="1:12" x14ac:dyDescent="0.25">
      <c r="A58" s="1" t="s">
        <v>55</v>
      </c>
      <c r="B58" s="2">
        <v>22680000</v>
      </c>
      <c r="C58" s="2">
        <v>23601000</v>
      </c>
      <c r="D58" s="2">
        <v>16434000</v>
      </c>
      <c r="E58" s="2">
        <v>9763000</v>
      </c>
      <c r="F58" s="2">
        <v>6731000</v>
      </c>
      <c r="G58" s="2">
        <v>6475000</v>
      </c>
      <c r="H58" s="2">
        <v>5329000</v>
      </c>
      <c r="I58" s="2">
        <v>4272000</v>
      </c>
      <c r="J58" s="2">
        <v>3991000</v>
      </c>
      <c r="K58" s="2">
        <v>5506000</v>
      </c>
      <c r="L58" s="1"/>
    </row>
    <row r="59" spans="1:12" x14ac:dyDescent="0.25">
      <c r="A59" s="1" t="s">
        <v>56</v>
      </c>
      <c r="B59" s="2">
        <v>12220000</v>
      </c>
      <c r="C59" s="2">
        <v>12998000</v>
      </c>
      <c r="D59" s="2">
        <v>8505000</v>
      </c>
      <c r="E59" s="2">
        <v>5416000</v>
      </c>
      <c r="F59" s="2">
        <v>3863000</v>
      </c>
      <c r="G59" s="2">
        <v>4028000</v>
      </c>
      <c r="H59" s="2">
        <v>3506000</v>
      </c>
      <c r="I59" s="2">
        <v>3274000</v>
      </c>
      <c r="J59" s="2">
        <v>2911000</v>
      </c>
      <c r="K59" s="2">
        <v>3667000</v>
      </c>
      <c r="L59" s="1"/>
    </row>
    <row r="60" spans="1:12" x14ac:dyDescent="0.25">
      <c r="A60" s="1" t="s">
        <v>57</v>
      </c>
      <c r="B60" s="2">
        <v>10460000</v>
      </c>
      <c r="C60" s="2">
        <v>10603000</v>
      </c>
      <c r="D60" s="2">
        <v>7929000</v>
      </c>
      <c r="E60" s="2">
        <v>4347000</v>
      </c>
      <c r="F60" s="2">
        <v>2868000</v>
      </c>
      <c r="G60" s="2">
        <v>2447000</v>
      </c>
      <c r="H60" s="2">
        <v>1823000</v>
      </c>
      <c r="I60" s="2">
        <v>998000</v>
      </c>
      <c r="J60" s="2">
        <v>1080000</v>
      </c>
      <c r="K60" s="2">
        <v>1839000</v>
      </c>
      <c r="L60" s="1"/>
    </row>
    <row r="61" spans="1:12" x14ac:dyDescent="0.25">
      <c r="A61" s="1" t="s">
        <v>58</v>
      </c>
      <c r="B61" s="2">
        <v>2352000</v>
      </c>
      <c r="C61" s="2">
        <v>2336000</v>
      </c>
      <c r="D61" s="2">
        <v>1448000</v>
      </c>
      <c r="E61" s="2">
        <v>995000</v>
      </c>
      <c r="F61" s="2">
        <v>750000</v>
      </c>
      <c r="G61" s="2">
        <v>562000</v>
      </c>
      <c r="H61" s="2">
        <v>511000</v>
      </c>
      <c r="I61" s="2">
        <v>460000</v>
      </c>
      <c r="J61" s="2">
        <v>482000</v>
      </c>
      <c r="K61" s="2">
        <v>604000</v>
      </c>
      <c r="L61" s="1"/>
    </row>
    <row r="62" spans="1:12" x14ac:dyDescent="0.25">
      <c r="A62" s="1" t="s">
        <v>147</v>
      </c>
      <c r="B62" s="2">
        <v>1869000</v>
      </c>
      <c r="C62" s="2">
        <v>2100000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2">
        <v>3000</v>
      </c>
      <c r="K62" s="2">
        <v>14000</v>
      </c>
      <c r="L62" s="1"/>
    </row>
    <row r="63" spans="1:12" x14ac:dyDescent="0.25">
      <c r="A63" s="1" t="s">
        <v>59</v>
      </c>
      <c r="B63" s="2">
        <v>5872000</v>
      </c>
      <c r="C63" s="2">
        <v>5005000</v>
      </c>
      <c r="D63" s="2">
        <v>2845000</v>
      </c>
      <c r="E63" s="2">
        <v>1983000</v>
      </c>
      <c r="F63" s="2">
        <v>1547000</v>
      </c>
      <c r="G63" s="2">
        <v>1434000</v>
      </c>
      <c r="H63" s="2">
        <v>1160000</v>
      </c>
      <c r="I63" s="2">
        <v>1008000</v>
      </c>
      <c r="J63" s="2">
        <v>947000</v>
      </c>
      <c r="K63" s="2">
        <v>1072000</v>
      </c>
      <c r="L63" s="1"/>
    </row>
    <row r="64" spans="1:12" x14ac:dyDescent="0.25">
      <c r="A64" s="1" t="s">
        <v>60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2">
        <v>-10000</v>
      </c>
      <c r="J64" s="2">
        <v>129000</v>
      </c>
      <c r="K64" s="2">
        <v>304000</v>
      </c>
      <c r="L64" s="1"/>
    </row>
    <row r="65" spans="1:12" x14ac:dyDescent="0.25">
      <c r="A65" s="1" t="s">
        <v>148</v>
      </c>
      <c r="B65" s="2">
        <v>-34000</v>
      </c>
      <c r="C65" s="2">
        <v>-102000</v>
      </c>
      <c r="D65" s="2">
        <v>-12000</v>
      </c>
      <c r="E65" s="2">
        <v>0</v>
      </c>
      <c r="F65" s="2">
        <v>-60000</v>
      </c>
      <c r="G65" s="2">
        <v>0</v>
      </c>
      <c r="H65" s="2">
        <v>-52000</v>
      </c>
      <c r="I65" s="2">
        <v>-88000</v>
      </c>
      <c r="J65" s="2">
        <v>0</v>
      </c>
      <c r="K65" s="2">
        <v>0</v>
      </c>
      <c r="L65" s="1"/>
    </row>
    <row r="66" spans="1:12" x14ac:dyDescent="0.25">
      <c r="A66" s="1" t="s">
        <v>61</v>
      </c>
      <c r="B66" s="2">
        <v>10059000</v>
      </c>
      <c r="C66" s="2">
        <v>9339000</v>
      </c>
      <c r="D66" s="2">
        <v>4281000</v>
      </c>
      <c r="E66" s="2">
        <v>2978000</v>
      </c>
      <c r="F66" s="2">
        <v>2237000</v>
      </c>
      <c r="G66" s="2">
        <v>1996000</v>
      </c>
      <c r="H66" s="2">
        <v>1619000</v>
      </c>
      <c r="I66" s="2">
        <v>1370000</v>
      </c>
      <c r="J66" s="2">
        <v>1561000</v>
      </c>
      <c r="K66" s="2">
        <v>1994000</v>
      </c>
      <c r="L66" s="1"/>
    </row>
    <row r="67" spans="1:12" x14ac:dyDescent="0.25">
      <c r="A67" s="1" t="s">
        <v>62</v>
      </c>
      <c r="B67" s="2">
        <v>401000</v>
      </c>
      <c r="C67" s="2">
        <v>1264000</v>
      </c>
      <c r="D67" s="2">
        <v>3648000</v>
      </c>
      <c r="E67" s="2">
        <v>1369000</v>
      </c>
      <c r="F67" s="2">
        <v>631000</v>
      </c>
      <c r="G67" s="2">
        <v>451000</v>
      </c>
      <c r="H67" s="2">
        <v>204000</v>
      </c>
      <c r="I67" s="2">
        <v>-372000</v>
      </c>
      <c r="J67" s="2">
        <v>-481000</v>
      </c>
      <c r="K67" s="2">
        <v>-155000</v>
      </c>
      <c r="L67" s="1"/>
    </row>
    <row r="68" spans="1:12" x14ac:dyDescent="0.25">
      <c r="A68" s="1" t="s">
        <v>63</v>
      </c>
      <c r="B68" s="2">
        <v>100000</v>
      </c>
      <c r="C68" s="2">
        <v>-23000</v>
      </c>
      <c r="D68" s="2">
        <v>-26000</v>
      </c>
      <c r="E68" s="2">
        <v>-39000</v>
      </c>
      <c r="F68" s="2">
        <v>-79000</v>
      </c>
      <c r="G68" s="2">
        <v>-121000</v>
      </c>
      <c r="H68" s="2">
        <v>-120000</v>
      </c>
      <c r="I68" s="2">
        <v>-154000</v>
      </c>
      <c r="J68" s="2">
        <v>-160000</v>
      </c>
      <c r="K68" s="2">
        <v>-174000</v>
      </c>
      <c r="L68" s="1"/>
    </row>
    <row r="69" spans="1:12" x14ac:dyDescent="0.25">
      <c r="A69" s="1" t="s">
        <v>149</v>
      </c>
      <c r="B69" s="3">
        <v>0</v>
      </c>
      <c r="C69" s="2">
        <v>-62000</v>
      </c>
      <c r="D69" s="2">
        <v>56000</v>
      </c>
      <c r="E69" s="3">
        <v>0</v>
      </c>
      <c r="F69" s="3">
        <v>0</v>
      </c>
      <c r="G69" s="3">
        <v>0</v>
      </c>
      <c r="H69" s="2">
        <v>3000</v>
      </c>
      <c r="I69" s="2">
        <v>146000</v>
      </c>
      <c r="J69" s="3">
        <v>0</v>
      </c>
      <c r="K69" s="3">
        <v>0</v>
      </c>
      <c r="L69" s="1"/>
    </row>
    <row r="70" spans="1:12" x14ac:dyDescent="0.25">
      <c r="A70" s="1" t="s">
        <v>64</v>
      </c>
      <c r="B70" s="2">
        <v>-8000</v>
      </c>
      <c r="C70" s="2">
        <v>5000</v>
      </c>
      <c r="D70" s="2">
        <v>-9000</v>
      </c>
      <c r="E70" s="2">
        <v>-55000</v>
      </c>
      <c r="F70" s="2">
        <v>-180000</v>
      </c>
      <c r="G70" s="2">
        <v>0</v>
      </c>
      <c r="H70" s="2">
        <v>-18000</v>
      </c>
      <c r="I70" s="2">
        <v>-68000</v>
      </c>
      <c r="J70" s="2">
        <v>-5000</v>
      </c>
      <c r="K70" s="2">
        <v>-69000</v>
      </c>
      <c r="L70" s="1"/>
    </row>
    <row r="71" spans="1:12" x14ac:dyDescent="0.25">
      <c r="A71" s="1" t="s">
        <v>65</v>
      </c>
      <c r="B71" s="2">
        <v>92000</v>
      </c>
      <c r="C71" s="2">
        <v>-80000</v>
      </c>
      <c r="D71" s="2">
        <v>21000</v>
      </c>
      <c r="E71" s="2">
        <v>-94000</v>
      </c>
      <c r="F71" s="2">
        <v>-259000</v>
      </c>
      <c r="G71" s="2">
        <v>-121000</v>
      </c>
      <c r="H71" s="2">
        <v>-135000</v>
      </c>
      <c r="I71" s="2">
        <v>-76000</v>
      </c>
      <c r="J71" s="2">
        <v>-165000</v>
      </c>
      <c r="K71" s="2">
        <v>-243000</v>
      </c>
      <c r="L71" s="1"/>
    </row>
    <row r="72" spans="1:12" x14ac:dyDescent="0.25">
      <c r="A72" s="1" t="s">
        <v>66</v>
      </c>
      <c r="B72" s="2">
        <v>493000</v>
      </c>
      <c r="C72" s="2">
        <v>1184000</v>
      </c>
      <c r="D72" s="2">
        <v>3669000</v>
      </c>
      <c r="E72" s="2">
        <v>1275000</v>
      </c>
      <c r="F72" s="2">
        <v>372000</v>
      </c>
      <c r="G72" s="2">
        <v>330000</v>
      </c>
      <c r="H72" s="2">
        <v>69000</v>
      </c>
      <c r="I72" s="2">
        <v>-448000</v>
      </c>
      <c r="J72" s="2">
        <v>-646000</v>
      </c>
      <c r="K72" s="2">
        <v>-398000</v>
      </c>
      <c r="L72" s="1"/>
    </row>
    <row r="73" spans="1:12" x14ac:dyDescent="0.25">
      <c r="A73" s="1" t="s">
        <v>150</v>
      </c>
      <c r="B73" s="2">
        <v>-346000</v>
      </c>
      <c r="C73" s="2">
        <v>-122000</v>
      </c>
      <c r="D73" s="2">
        <v>513000</v>
      </c>
      <c r="E73" s="2">
        <v>-1210000</v>
      </c>
      <c r="F73" s="2">
        <v>31000</v>
      </c>
      <c r="G73" s="2">
        <v>-9000</v>
      </c>
      <c r="H73" s="2">
        <v>19000</v>
      </c>
      <c r="I73" s="2">
        <v>39000</v>
      </c>
      <c r="J73" s="2">
        <v>14000</v>
      </c>
      <c r="K73" s="2">
        <v>5000</v>
      </c>
      <c r="L73" s="1"/>
    </row>
    <row r="74" spans="1:12" x14ac:dyDescent="0.25">
      <c r="A74" s="1" t="s">
        <v>151</v>
      </c>
      <c r="B74" s="2">
        <v>15000</v>
      </c>
      <c r="C74" s="2">
        <v>14000</v>
      </c>
      <c r="D74" s="2">
        <v>6000</v>
      </c>
      <c r="E74" s="2">
        <v>5000</v>
      </c>
      <c r="F74" s="3">
        <v>0</v>
      </c>
      <c r="G74" s="2">
        <v>-2000</v>
      </c>
      <c r="H74" s="2">
        <v>-7000</v>
      </c>
      <c r="I74" s="2">
        <v>-10000</v>
      </c>
      <c r="J74" s="3" t="s">
        <v>2</v>
      </c>
      <c r="K74" s="3" t="s">
        <v>2</v>
      </c>
      <c r="L74" s="1"/>
    </row>
    <row r="75" spans="1:12" x14ac:dyDescent="0.25">
      <c r="A75" s="1" t="s">
        <v>152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1"/>
    </row>
    <row r="76" spans="1:12" x14ac:dyDescent="0.25">
      <c r="A76" s="1" t="s">
        <v>153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1"/>
    </row>
    <row r="77" spans="1:12" x14ac:dyDescent="0.25">
      <c r="A77" s="1" t="s">
        <v>67</v>
      </c>
      <c r="B77" s="2">
        <v>854000</v>
      </c>
      <c r="C77" s="2">
        <v>1320000</v>
      </c>
      <c r="D77" s="2">
        <v>3162000</v>
      </c>
      <c r="E77" s="2">
        <v>2490000</v>
      </c>
      <c r="F77" s="2">
        <v>341000</v>
      </c>
      <c r="G77" s="2">
        <v>337000</v>
      </c>
      <c r="H77" s="2">
        <v>43000</v>
      </c>
      <c r="I77" s="2">
        <v>-497000</v>
      </c>
      <c r="J77" s="2">
        <v>-660000</v>
      </c>
      <c r="K77" s="2">
        <v>-403000</v>
      </c>
      <c r="L77" s="1"/>
    </row>
    <row r="78" spans="1:12" x14ac:dyDescent="0.25">
      <c r="A78" s="1" t="s">
        <v>154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1"/>
    </row>
    <row r="79" spans="1:12" x14ac:dyDescent="0.25">
      <c r="A79" s="1" t="s">
        <v>68</v>
      </c>
      <c r="B79" s="2">
        <v>854000</v>
      </c>
      <c r="C79" s="2">
        <v>1320000</v>
      </c>
      <c r="D79" s="2">
        <v>3162000</v>
      </c>
      <c r="E79" s="2">
        <v>2490000</v>
      </c>
      <c r="F79" s="2">
        <v>341000</v>
      </c>
      <c r="G79" s="2">
        <v>337000</v>
      </c>
      <c r="H79" s="2">
        <v>43000</v>
      </c>
      <c r="I79" s="2">
        <v>-497000</v>
      </c>
      <c r="J79" s="2">
        <v>-660000</v>
      </c>
      <c r="K79" s="2">
        <v>-403000</v>
      </c>
      <c r="L79" s="1"/>
    </row>
    <row r="80" spans="1:12" x14ac:dyDescent="0.25">
      <c r="A80" s="1" t="s">
        <v>69</v>
      </c>
      <c r="B80" s="2">
        <v>1614000</v>
      </c>
      <c r="C80" s="2">
        <v>1561000</v>
      </c>
      <c r="D80" s="2">
        <v>1213000</v>
      </c>
      <c r="E80" s="2">
        <v>1184000</v>
      </c>
      <c r="F80" s="2">
        <v>1091000</v>
      </c>
      <c r="G80" s="2">
        <v>982000</v>
      </c>
      <c r="H80" s="2">
        <v>952000</v>
      </c>
      <c r="I80" s="2">
        <v>835000</v>
      </c>
      <c r="J80" s="2">
        <v>783000</v>
      </c>
      <c r="K80" s="2">
        <v>768000</v>
      </c>
      <c r="L80" s="1"/>
    </row>
    <row r="81" spans="1:12" x14ac:dyDescent="0.25">
      <c r="A81" s="1" t="s">
        <v>70</v>
      </c>
      <c r="B81" s="15">
        <v>0.53</v>
      </c>
      <c r="C81" s="15">
        <v>0.85</v>
      </c>
      <c r="D81" s="15">
        <v>2.61</v>
      </c>
      <c r="E81" s="40">
        <v>2.1</v>
      </c>
      <c r="F81" s="15">
        <v>0.31</v>
      </c>
      <c r="G81" s="15">
        <v>0.34</v>
      </c>
      <c r="H81" s="15">
        <v>0.04</v>
      </c>
      <c r="I81" s="40">
        <v>-0.6</v>
      </c>
      <c r="J81" s="15">
        <v>-0.84</v>
      </c>
      <c r="K81" s="15">
        <v>-0.53</v>
      </c>
      <c r="L81" s="1"/>
    </row>
    <row r="82" spans="1:12" x14ac:dyDescent="0.25">
      <c r="A82" s="1" t="s">
        <v>71</v>
      </c>
      <c r="B82" s="15">
        <v>0.53</v>
      </c>
      <c r="C82" s="15">
        <v>0.85</v>
      </c>
      <c r="D82" s="15">
        <v>2.61</v>
      </c>
      <c r="E82" s="40">
        <v>2.1</v>
      </c>
      <c r="F82" s="15">
        <v>0.31</v>
      </c>
      <c r="G82" s="15">
        <v>0.34</v>
      </c>
      <c r="H82" s="15">
        <v>0.04</v>
      </c>
      <c r="I82" s="40">
        <v>-0.6</v>
      </c>
      <c r="J82" s="15">
        <v>-0.84</v>
      </c>
      <c r="K82" s="15">
        <v>-0.52</v>
      </c>
      <c r="L82" s="1"/>
    </row>
    <row r="83" spans="1:12" x14ac:dyDescent="0.25">
      <c r="A83" s="1" t="s">
        <v>72</v>
      </c>
      <c r="B83" s="2">
        <v>1625000</v>
      </c>
      <c r="C83" s="2">
        <v>1571000</v>
      </c>
      <c r="D83" s="2">
        <v>1229000</v>
      </c>
      <c r="E83" s="2">
        <v>1207000</v>
      </c>
      <c r="F83" s="2">
        <v>1120000</v>
      </c>
      <c r="G83" s="2">
        <v>1064000</v>
      </c>
      <c r="H83" s="2">
        <v>1039000</v>
      </c>
      <c r="I83" s="2">
        <v>835000</v>
      </c>
      <c r="J83" s="2">
        <v>783000</v>
      </c>
      <c r="K83" s="2">
        <v>768000</v>
      </c>
      <c r="L83" s="1"/>
    </row>
    <row r="84" spans="1:12" x14ac:dyDescent="0.25">
      <c r="A84" s="1" t="s">
        <v>73</v>
      </c>
      <c r="B84" s="15">
        <v>0.53</v>
      </c>
      <c r="C84" s="15">
        <v>0.84</v>
      </c>
      <c r="D84" s="15">
        <v>2.57</v>
      </c>
      <c r="E84" s="15">
        <v>2.06</v>
      </c>
      <c r="F84" s="40">
        <v>0.3</v>
      </c>
      <c r="G84" s="15">
        <v>0.32</v>
      </c>
      <c r="H84" s="15">
        <v>0.04</v>
      </c>
      <c r="I84" s="40">
        <v>-0.6</v>
      </c>
      <c r="J84" s="15">
        <v>-0.84</v>
      </c>
      <c r="K84" s="15">
        <v>-0.53</v>
      </c>
      <c r="L84" s="1"/>
    </row>
    <row r="85" spans="1:12" x14ac:dyDescent="0.25">
      <c r="A85" s="1" t="s">
        <v>74</v>
      </c>
      <c r="B85" s="15">
        <v>0.53</v>
      </c>
      <c r="C85" s="15">
        <v>0.84</v>
      </c>
      <c r="D85" s="15">
        <v>2.57</v>
      </c>
      <c r="E85" s="15">
        <v>2.06</v>
      </c>
      <c r="F85" s="40">
        <v>0.3</v>
      </c>
      <c r="G85" s="15">
        <v>0.32</v>
      </c>
      <c r="H85" s="15">
        <v>0.04</v>
      </c>
      <c r="I85" s="40">
        <v>-0.6</v>
      </c>
      <c r="J85" s="15">
        <v>-0.84</v>
      </c>
      <c r="K85" s="15">
        <v>-0.52</v>
      </c>
      <c r="L85" s="1"/>
    </row>
    <row r="86" spans="1:12" x14ac:dyDescent="0.25">
      <c r="A86" s="1" t="s">
        <v>75</v>
      </c>
      <c r="B86" s="2">
        <v>1616000</v>
      </c>
      <c r="C86" s="2">
        <v>1612000</v>
      </c>
      <c r="D86" s="2">
        <v>1207000</v>
      </c>
      <c r="E86" s="2">
        <v>1211000</v>
      </c>
      <c r="F86" s="2">
        <v>1170000</v>
      </c>
      <c r="G86" s="2">
        <v>1005000</v>
      </c>
      <c r="H86" s="2">
        <v>967000</v>
      </c>
      <c r="I86" s="2">
        <v>935000</v>
      </c>
      <c r="J86" s="2">
        <v>792000</v>
      </c>
      <c r="K86" s="2">
        <v>776000</v>
      </c>
      <c r="L86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6522-304E-466D-A2A4-EE01FA7F18E4}">
  <dimension ref="A4:L45"/>
  <sheetViews>
    <sheetView workbookViewId="0">
      <selection activeCell="B17" sqref="B17"/>
    </sheetView>
  </sheetViews>
  <sheetFormatPr defaultRowHeight="15" x14ac:dyDescent="0.25"/>
  <cols>
    <col min="1" max="1" width="61.85546875" bestFit="1" customWidth="1"/>
    <col min="2" max="11" width="10.7109375" bestFit="1" customWidth="1"/>
    <col min="12" max="191" width="12" customWidth="1"/>
  </cols>
  <sheetData>
    <row r="4" spans="1:12" x14ac:dyDescent="0.25">
      <c r="A4" s="34"/>
    </row>
    <row r="5" spans="1:12" ht="20.25" x14ac:dyDescent="0.3">
      <c r="A5" s="35"/>
    </row>
    <row r="7" spans="1:12" x14ac:dyDescent="0.25">
      <c r="A7" s="36"/>
    </row>
    <row r="10" spans="1:12" x14ac:dyDescent="0.25">
      <c r="A10" s="37"/>
    </row>
    <row r="11" spans="1:12" x14ac:dyDescent="0.25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8"/>
    </row>
    <row r="12" spans="1:12" x14ac:dyDescent="0.25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8"/>
    </row>
    <row r="13" spans="1:12" x14ac:dyDescent="0.25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8"/>
    </row>
    <row r="14" spans="1:12" x14ac:dyDescent="0.25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8"/>
    </row>
    <row r="15" spans="1:12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8"/>
    </row>
    <row r="16" spans="1:12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1"/>
    </row>
    <row r="17" spans="1:12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1"/>
    </row>
    <row r="18" spans="1:12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1"/>
    </row>
    <row r="19" spans="1:12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1"/>
    </row>
    <row r="20" spans="1:12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1"/>
    </row>
    <row r="21" spans="1:12" x14ac:dyDescent="0.25">
      <c r="A21" s="1"/>
      <c r="B21" s="2"/>
      <c r="C21" s="2"/>
      <c r="D21" s="3"/>
      <c r="E21" s="3"/>
      <c r="F21" s="3"/>
      <c r="G21" s="3"/>
      <c r="H21" s="3"/>
      <c r="I21" s="3"/>
      <c r="J21" s="2"/>
      <c r="K21" s="2"/>
      <c r="L21" s="1"/>
    </row>
    <row r="22" spans="1:12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1"/>
    </row>
    <row r="23" spans="1:12" x14ac:dyDescent="0.25">
      <c r="A23" s="1"/>
      <c r="B23" s="3"/>
      <c r="C23" s="3"/>
      <c r="D23" s="3"/>
      <c r="E23" s="3"/>
      <c r="F23" s="3"/>
      <c r="G23" s="3"/>
      <c r="H23" s="3"/>
      <c r="I23" s="2"/>
      <c r="J23" s="2"/>
      <c r="K23" s="2"/>
      <c r="L23" s="1"/>
    </row>
    <row r="24" spans="1:12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1"/>
    </row>
    <row r="25" spans="1:12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1"/>
    </row>
    <row r="26" spans="1:12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1"/>
    </row>
    <row r="27" spans="1:12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1"/>
    </row>
    <row r="28" spans="1:12" x14ac:dyDescent="0.25">
      <c r="A28" s="1"/>
      <c r="B28" s="3"/>
      <c r="C28" s="2"/>
      <c r="D28" s="2"/>
      <c r="E28" s="3"/>
      <c r="F28" s="3"/>
      <c r="G28" s="3"/>
      <c r="H28" s="2"/>
      <c r="I28" s="2"/>
      <c r="J28" s="3"/>
      <c r="K28" s="3"/>
      <c r="L28" s="1"/>
    </row>
    <row r="29" spans="1:1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1"/>
    </row>
    <row r="30" spans="1:12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1"/>
    </row>
    <row r="31" spans="1:12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1"/>
    </row>
    <row r="32" spans="1:12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1"/>
    </row>
    <row r="33" spans="1:12" x14ac:dyDescent="0.25">
      <c r="A33" s="1"/>
      <c r="B33" s="2"/>
      <c r="C33" s="2"/>
      <c r="D33" s="2"/>
      <c r="E33" s="2"/>
      <c r="F33" s="3"/>
      <c r="G33" s="2"/>
      <c r="H33" s="2"/>
      <c r="I33" s="2"/>
      <c r="J33" s="3"/>
      <c r="K33" s="3"/>
      <c r="L33" s="1"/>
    </row>
    <row r="34" spans="1:12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1"/>
    </row>
    <row r="35" spans="1:12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1"/>
    </row>
    <row r="36" spans="1:12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1"/>
    </row>
    <row r="37" spans="1:12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1"/>
    </row>
    <row r="38" spans="1:12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1"/>
    </row>
    <row r="39" spans="1:12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1"/>
    </row>
    <row r="40" spans="1:12" x14ac:dyDescent="0.25">
      <c r="A40" s="1"/>
      <c r="B40" s="15"/>
      <c r="C40" s="15"/>
      <c r="D40" s="15"/>
      <c r="E40" s="40"/>
      <c r="F40" s="15"/>
      <c r="G40" s="15"/>
      <c r="H40" s="15"/>
      <c r="I40" s="40"/>
      <c r="J40" s="15"/>
      <c r="K40" s="15"/>
      <c r="L40" s="1"/>
    </row>
    <row r="41" spans="1:12" x14ac:dyDescent="0.25">
      <c r="A41" s="1"/>
      <c r="B41" s="15"/>
      <c r="C41" s="15"/>
      <c r="D41" s="15"/>
      <c r="E41" s="40"/>
      <c r="F41" s="15"/>
      <c r="G41" s="15"/>
      <c r="H41" s="15"/>
      <c r="I41" s="40"/>
      <c r="J41" s="15"/>
      <c r="K41" s="15"/>
      <c r="L41" s="1"/>
    </row>
    <row r="42" spans="1:12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1"/>
    </row>
    <row r="43" spans="1:12" x14ac:dyDescent="0.25">
      <c r="A43" s="1"/>
      <c r="B43" s="15"/>
      <c r="C43" s="15"/>
      <c r="D43" s="15"/>
      <c r="E43" s="15"/>
      <c r="F43" s="40"/>
      <c r="G43" s="15"/>
      <c r="H43" s="15"/>
      <c r="I43" s="40"/>
      <c r="J43" s="15"/>
      <c r="K43" s="15"/>
      <c r="L43" s="1"/>
    </row>
    <row r="44" spans="1:12" x14ac:dyDescent="0.25">
      <c r="A44" s="1"/>
      <c r="B44" s="15"/>
      <c r="C44" s="15"/>
      <c r="D44" s="15"/>
      <c r="E44" s="15"/>
      <c r="F44" s="40"/>
      <c r="G44" s="15"/>
      <c r="H44" s="15"/>
      <c r="I44" s="40"/>
      <c r="J44" s="15"/>
      <c r="K44" s="15"/>
      <c r="L44" s="1"/>
    </row>
    <row r="45" spans="1:12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EFE5-7C61-45C5-8A15-6BBF6810E07F}">
  <dimension ref="A4:L90"/>
  <sheetViews>
    <sheetView tabSelected="1" topLeftCell="A49" zoomScaleNormal="100" workbookViewId="0">
      <selection activeCell="D55" sqref="D55"/>
    </sheetView>
  </sheetViews>
  <sheetFormatPr defaultRowHeight="15" x14ac:dyDescent="0.25"/>
  <cols>
    <col min="1" max="1" width="46" bestFit="1" customWidth="1"/>
    <col min="2" max="11" width="10.7109375" bestFit="1" customWidth="1"/>
    <col min="12" max="191" width="12" customWidth="1"/>
  </cols>
  <sheetData>
    <row r="4" spans="1:12" x14ac:dyDescent="0.25">
      <c r="A4" s="34" t="s">
        <v>52</v>
      </c>
    </row>
    <row r="5" spans="1:12" ht="20.25" x14ac:dyDescent="0.3">
      <c r="A5" s="35" t="s">
        <v>155</v>
      </c>
    </row>
    <row r="7" spans="1:12" ht="30" x14ac:dyDescent="0.25">
      <c r="A7" s="36" t="s">
        <v>129</v>
      </c>
    </row>
    <row r="10" spans="1:12" x14ac:dyDescent="0.25">
      <c r="A10" s="37" t="s">
        <v>50</v>
      </c>
    </row>
    <row r="11" spans="1:12" x14ac:dyDescent="0.25">
      <c r="A11" s="38" t="s">
        <v>49</v>
      </c>
      <c r="B11" s="39" t="s">
        <v>156</v>
      </c>
      <c r="C11" s="39" t="s">
        <v>157</v>
      </c>
      <c r="D11" s="39" t="s">
        <v>158</v>
      </c>
      <c r="E11" s="39" t="s">
        <v>159</v>
      </c>
      <c r="F11" s="39" t="s">
        <v>160</v>
      </c>
      <c r="G11" s="39" t="s">
        <v>161</v>
      </c>
      <c r="H11" s="39" t="s">
        <v>162</v>
      </c>
      <c r="I11" s="39" t="s">
        <v>163</v>
      </c>
      <c r="J11" s="39" t="s">
        <v>164</v>
      </c>
      <c r="K11" s="39" t="s">
        <v>165</v>
      </c>
      <c r="L11" s="38"/>
    </row>
    <row r="12" spans="1:12" x14ac:dyDescent="0.25">
      <c r="A12" s="38" t="s">
        <v>38</v>
      </c>
      <c r="B12" s="39" t="s">
        <v>37</v>
      </c>
      <c r="C12" s="39" t="s">
        <v>37</v>
      </c>
      <c r="D12" s="39" t="s">
        <v>37</v>
      </c>
      <c r="E12" s="39" t="s">
        <v>37</v>
      </c>
      <c r="F12" s="39" t="s">
        <v>37</v>
      </c>
      <c r="G12" s="39" t="s">
        <v>37</v>
      </c>
      <c r="H12" s="39" t="s">
        <v>37</v>
      </c>
      <c r="I12" s="39" t="s">
        <v>37</v>
      </c>
      <c r="J12" s="39" t="s">
        <v>37</v>
      </c>
      <c r="K12" s="39" t="s">
        <v>37</v>
      </c>
      <c r="L12" s="38"/>
    </row>
    <row r="13" spans="1:12" ht="25.5" x14ac:dyDescent="0.25">
      <c r="A13" s="38" t="s">
        <v>36</v>
      </c>
      <c r="B13" s="39" t="s">
        <v>35</v>
      </c>
      <c r="C13" s="39" t="s">
        <v>35</v>
      </c>
      <c r="D13" s="39" t="s">
        <v>35</v>
      </c>
      <c r="E13" s="39" t="s">
        <v>35</v>
      </c>
      <c r="F13" s="39" t="s">
        <v>35</v>
      </c>
      <c r="G13" s="39" t="s">
        <v>35</v>
      </c>
      <c r="H13" s="39" t="s">
        <v>35</v>
      </c>
      <c r="I13" s="39" t="s">
        <v>35</v>
      </c>
      <c r="J13" s="39" t="s">
        <v>35</v>
      </c>
      <c r="K13" s="39" t="s">
        <v>35</v>
      </c>
      <c r="L13" s="38"/>
    </row>
    <row r="14" spans="1:12" x14ac:dyDescent="0.25">
      <c r="A14" s="38" t="s">
        <v>34</v>
      </c>
      <c r="B14" s="39" t="s">
        <v>33</v>
      </c>
      <c r="C14" s="39" t="s">
        <v>33</v>
      </c>
      <c r="D14" s="39" t="s">
        <v>33</v>
      </c>
      <c r="E14" s="39" t="s">
        <v>33</v>
      </c>
      <c r="F14" s="39" t="s">
        <v>33</v>
      </c>
      <c r="G14" s="39" t="s">
        <v>33</v>
      </c>
      <c r="H14" s="39" t="s">
        <v>33</v>
      </c>
      <c r="I14" s="39" t="s">
        <v>33</v>
      </c>
      <c r="J14" s="39" t="s">
        <v>33</v>
      </c>
      <c r="K14" s="39" t="s">
        <v>33</v>
      </c>
      <c r="L14" s="38"/>
    </row>
    <row r="15" spans="1:12" x14ac:dyDescent="0.25">
      <c r="A15" s="38" t="s">
        <v>32</v>
      </c>
      <c r="B15" s="39" t="s">
        <v>31</v>
      </c>
      <c r="C15" s="39" t="s">
        <v>31</v>
      </c>
      <c r="D15" s="39" t="s">
        <v>31</v>
      </c>
      <c r="E15" s="39" t="s">
        <v>31</v>
      </c>
      <c r="F15" s="39" t="s">
        <v>31</v>
      </c>
      <c r="G15" s="39" t="s">
        <v>31</v>
      </c>
      <c r="H15" s="39" t="s">
        <v>31</v>
      </c>
      <c r="I15" s="39" t="s">
        <v>31</v>
      </c>
      <c r="J15" s="39" t="s">
        <v>31</v>
      </c>
      <c r="K15" s="39" t="s">
        <v>31</v>
      </c>
      <c r="L15" s="38"/>
    </row>
    <row r="16" spans="1:12" x14ac:dyDescent="0.25">
      <c r="A16" s="1" t="s">
        <v>30</v>
      </c>
      <c r="B16" s="2">
        <v>7849000</v>
      </c>
      <c r="C16" s="2">
        <v>8450000</v>
      </c>
      <c r="D16" s="2">
        <v>2773000</v>
      </c>
      <c r="E16" s="2">
        <v>7116000</v>
      </c>
      <c r="F16" s="2">
        <v>6707000</v>
      </c>
      <c r="G16" s="2">
        <v>11839000</v>
      </c>
      <c r="H16" s="2">
        <v>11777000</v>
      </c>
      <c r="I16" s="2">
        <v>35029000</v>
      </c>
      <c r="J16" s="2">
        <v>5946000</v>
      </c>
      <c r="K16" s="2">
        <v>7560000</v>
      </c>
      <c r="L16" s="1"/>
    </row>
    <row r="17" spans="1:12" x14ac:dyDescent="0.25">
      <c r="A17" s="1" t="s">
        <v>29</v>
      </c>
      <c r="B17" s="2">
        <v>5451000</v>
      </c>
      <c r="C17" s="2">
        <v>2874000</v>
      </c>
      <c r="D17" s="2">
        <v>3609000</v>
      </c>
      <c r="E17" s="2">
        <v>5298000</v>
      </c>
      <c r="F17" s="2">
        <v>4507000</v>
      </c>
      <c r="G17" s="2">
        <v>421000</v>
      </c>
      <c r="H17" s="2">
        <v>311000</v>
      </c>
      <c r="I17" s="2">
        <v>2279000</v>
      </c>
      <c r="J17" s="2">
        <v>12702000</v>
      </c>
      <c r="K17" s="2">
        <v>9761000</v>
      </c>
      <c r="L17" s="1"/>
    </row>
    <row r="18" spans="1:12" x14ac:dyDescent="0.25">
      <c r="A18" s="1" t="s">
        <v>28</v>
      </c>
      <c r="B18" s="2">
        <v>13300000</v>
      </c>
      <c r="C18" s="2">
        <v>11324000</v>
      </c>
      <c r="D18" s="2">
        <v>6382000</v>
      </c>
      <c r="E18" s="2">
        <v>12414000</v>
      </c>
      <c r="F18" s="2">
        <v>11214000</v>
      </c>
      <c r="G18" s="2">
        <v>12260000</v>
      </c>
      <c r="H18" s="2">
        <v>12088000</v>
      </c>
      <c r="I18" s="2">
        <v>37308000</v>
      </c>
      <c r="J18" s="2">
        <v>18648000</v>
      </c>
      <c r="K18" s="2">
        <v>17321000</v>
      </c>
      <c r="L18" s="1"/>
    </row>
    <row r="19" spans="1:12" x14ac:dyDescent="0.25">
      <c r="A19" s="1" t="s">
        <v>27</v>
      </c>
      <c r="B19" s="2">
        <v>3929000</v>
      </c>
      <c r="C19" s="2">
        <v>3183000</v>
      </c>
      <c r="D19" s="2">
        <v>5643000</v>
      </c>
      <c r="E19" s="2">
        <v>3579000</v>
      </c>
      <c r="F19" s="2">
        <v>4003000</v>
      </c>
      <c r="G19" s="2">
        <v>2471000</v>
      </c>
      <c r="H19" s="2">
        <v>2904000</v>
      </c>
      <c r="I19" s="2">
        <v>3632000</v>
      </c>
      <c r="J19" s="2">
        <v>2219000</v>
      </c>
      <c r="K19" s="2">
        <v>1964000</v>
      </c>
      <c r="L19" s="1"/>
    </row>
    <row r="20" spans="1:12" x14ac:dyDescent="0.25">
      <c r="A20" s="1" t="s">
        <v>26</v>
      </c>
      <c r="B20" s="2">
        <v>6423000</v>
      </c>
      <c r="C20" s="2">
        <v>6422000</v>
      </c>
      <c r="D20" s="2">
        <v>6341000</v>
      </c>
      <c r="E20" s="2">
        <v>3228000</v>
      </c>
      <c r="F20" s="2">
        <v>2598000</v>
      </c>
      <c r="G20" s="2">
        <v>1400000</v>
      </c>
      <c r="H20" s="2">
        <v>1693000</v>
      </c>
      <c r="I20" s="2">
        <v>2035000</v>
      </c>
      <c r="J20" s="2">
        <v>1556000</v>
      </c>
      <c r="K20" s="2">
        <v>1492000</v>
      </c>
      <c r="L20" s="1"/>
    </row>
    <row r="21" spans="1:12" x14ac:dyDescent="0.25">
      <c r="A21" s="1" t="s">
        <v>166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2">
        <v>635000</v>
      </c>
      <c r="L21" s="1"/>
    </row>
    <row r="22" spans="1:12" x14ac:dyDescent="0.25">
      <c r="A22" s="1" t="s">
        <v>167</v>
      </c>
      <c r="B22" s="3">
        <v>0</v>
      </c>
      <c r="C22" s="2">
        <v>341000</v>
      </c>
      <c r="D22" s="2">
        <v>733000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1"/>
    </row>
    <row r="23" spans="1:12" x14ac:dyDescent="0.25">
      <c r="A23" s="1" t="s">
        <v>25</v>
      </c>
      <c r="B23" s="2">
        <v>1579000</v>
      </c>
      <c r="C23" s="2">
        <v>1194000</v>
      </c>
      <c r="D23" s="2">
        <v>1625000</v>
      </c>
      <c r="E23" s="2">
        <v>854000</v>
      </c>
      <c r="F23" s="2">
        <v>704000</v>
      </c>
      <c r="G23" s="2">
        <v>634000</v>
      </c>
      <c r="H23" s="2">
        <v>699000</v>
      </c>
      <c r="I23" s="2">
        <v>618000</v>
      </c>
      <c r="J23" s="2">
        <v>558000</v>
      </c>
      <c r="K23" s="2">
        <v>687000</v>
      </c>
      <c r="L23" s="1"/>
    </row>
    <row r="24" spans="1:12" x14ac:dyDescent="0.25">
      <c r="A24" s="1" t="s">
        <v>24</v>
      </c>
      <c r="B24" s="2">
        <v>25231000</v>
      </c>
      <c r="C24" s="2">
        <v>22464000</v>
      </c>
      <c r="D24" s="2">
        <v>20724000</v>
      </c>
      <c r="E24" s="2">
        <v>20075000</v>
      </c>
      <c r="F24" s="2">
        <v>18519000</v>
      </c>
      <c r="G24" s="2">
        <v>16765000</v>
      </c>
      <c r="H24" s="2">
        <v>17384000</v>
      </c>
      <c r="I24" s="2">
        <v>43593000</v>
      </c>
      <c r="J24" s="2">
        <v>22981000</v>
      </c>
      <c r="K24" s="2">
        <v>22099000</v>
      </c>
      <c r="L24" s="1"/>
    </row>
    <row r="25" spans="1:12" x14ac:dyDescent="0.25">
      <c r="A25" s="1" t="s">
        <v>23</v>
      </c>
      <c r="B25" s="2">
        <v>13541000</v>
      </c>
      <c r="C25" s="2">
        <v>12710000</v>
      </c>
      <c r="D25" s="2">
        <v>11770000</v>
      </c>
      <c r="E25" s="2">
        <v>10454000</v>
      </c>
      <c r="F25" s="2">
        <v>8845000</v>
      </c>
      <c r="G25" s="2">
        <v>7648000</v>
      </c>
      <c r="H25" s="2">
        <v>7461000</v>
      </c>
      <c r="I25" s="2">
        <v>7419000</v>
      </c>
      <c r="J25" s="2">
        <v>6040000</v>
      </c>
      <c r="K25" s="2">
        <v>5894000</v>
      </c>
      <c r="L25" s="1"/>
    </row>
    <row r="26" spans="1:12" x14ac:dyDescent="0.25">
      <c r="A26" s="1" t="s">
        <v>22</v>
      </c>
      <c r="B26" s="2">
        <v>8876000</v>
      </c>
      <c r="C26" s="2">
        <v>7668000</v>
      </c>
      <c r="D26" s="2">
        <v>6602000</v>
      </c>
      <c r="E26" s="2">
        <v>5895000</v>
      </c>
      <c r="F26" s="2">
        <v>5134000</v>
      </c>
      <c r="G26" s="2">
        <v>4567000</v>
      </c>
      <c r="H26" s="2">
        <v>4486000</v>
      </c>
      <c r="I26" s="2">
        <v>4203000</v>
      </c>
      <c r="J26" s="2">
        <v>3734000</v>
      </c>
      <c r="K26" s="2">
        <v>3360000</v>
      </c>
      <c r="L26" s="1"/>
    </row>
    <row r="27" spans="1:12" x14ac:dyDescent="0.25">
      <c r="A27" s="1" t="s">
        <v>21</v>
      </c>
      <c r="B27" s="2">
        <v>4665000</v>
      </c>
      <c r="C27" s="2">
        <v>5042000</v>
      </c>
      <c r="D27" s="2">
        <v>5168000</v>
      </c>
      <c r="E27" s="2">
        <v>4559000</v>
      </c>
      <c r="F27" s="2">
        <v>3711000</v>
      </c>
      <c r="G27" s="2">
        <v>3081000</v>
      </c>
      <c r="H27" s="2">
        <v>2975000</v>
      </c>
      <c r="I27" s="2">
        <v>3216000</v>
      </c>
      <c r="J27" s="2">
        <v>2306000</v>
      </c>
      <c r="K27" s="2">
        <v>2534000</v>
      </c>
      <c r="L27" s="1"/>
    </row>
    <row r="28" spans="1:12" x14ac:dyDescent="0.25">
      <c r="A28" s="1" t="s">
        <v>168</v>
      </c>
      <c r="B28" s="3">
        <v>0</v>
      </c>
      <c r="C28" s="2">
        <v>88000</v>
      </c>
      <c r="D28" s="2">
        <v>1200000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1"/>
    </row>
    <row r="29" spans="1:12" x14ac:dyDescent="0.25">
      <c r="A29" s="1" t="s">
        <v>141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2">
        <v>35000</v>
      </c>
      <c r="I29" s="2">
        <v>1270000</v>
      </c>
      <c r="J29" s="2">
        <v>13702000</v>
      </c>
      <c r="K29" s="2">
        <v>13626000</v>
      </c>
      <c r="L29" s="1"/>
    </row>
    <row r="30" spans="1:12" x14ac:dyDescent="0.25">
      <c r="A30" s="1" t="s">
        <v>20</v>
      </c>
      <c r="B30" s="2">
        <v>12043000</v>
      </c>
      <c r="C30" s="2">
        <v>12050000</v>
      </c>
      <c r="D30" s="2">
        <v>12390000</v>
      </c>
      <c r="E30" s="2">
        <v>8704000</v>
      </c>
      <c r="F30" s="2">
        <v>7976000</v>
      </c>
      <c r="G30" s="2">
        <v>8454000</v>
      </c>
      <c r="H30" s="2">
        <v>9453000</v>
      </c>
      <c r="I30" s="2">
        <v>10360000</v>
      </c>
      <c r="J30" s="2">
        <v>9179000</v>
      </c>
      <c r="K30" s="2">
        <v>9221000</v>
      </c>
      <c r="L30" s="1"/>
    </row>
    <row r="31" spans="1:12" x14ac:dyDescent="0.25">
      <c r="A31" s="1" t="s">
        <v>143</v>
      </c>
      <c r="B31" s="2">
        <v>5162000</v>
      </c>
      <c r="C31" s="2">
        <v>3310000</v>
      </c>
      <c r="D31" s="2">
        <v>1803000</v>
      </c>
      <c r="E31" s="2">
        <v>1591000</v>
      </c>
      <c r="F31" s="2">
        <v>1351000</v>
      </c>
      <c r="G31" s="2">
        <v>1196000</v>
      </c>
      <c r="H31" s="2">
        <v>904000</v>
      </c>
      <c r="I31" s="2">
        <v>2900000</v>
      </c>
      <c r="J31" s="2">
        <v>2030000</v>
      </c>
      <c r="K31" s="2">
        <v>1453000</v>
      </c>
      <c r="L31" s="1"/>
    </row>
    <row r="32" spans="1:12" x14ac:dyDescent="0.25">
      <c r="A32" s="1" t="s">
        <v>19</v>
      </c>
      <c r="B32" s="2">
        <v>8053000</v>
      </c>
      <c r="C32" s="2">
        <v>8086000</v>
      </c>
      <c r="D32" s="2">
        <v>7729000</v>
      </c>
      <c r="E32" s="2">
        <v>6311000</v>
      </c>
      <c r="F32" s="2">
        <v>4037000</v>
      </c>
      <c r="G32" s="2">
        <v>3461000</v>
      </c>
      <c r="H32" s="2">
        <v>1935000</v>
      </c>
      <c r="I32" s="2">
        <v>4147000</v>
      </c>
      <c r="J32" s="2">
        <v>2161000</v>
      </c>
      <c r="K32" s="2">
        <v>1863000</v>
      </c>
      <c r="L32" s="1"/>
    </row>
    <row r="33" spans="1:12" x14ac:dyDescent="0.25">
      <c r="A33" s="1" t="s">
        <v>18</v>
      </c>
      <c r="B33" s="2">
        <v>55154000</v>
      </c>
      <c r="C33" s="2">
        <v>51040000</v>
      </c>
      <c r="D33" s="2">
        <v>49014000</v>
      </c>
      <c r="E33" s="2">
        <v>41240000</v>
      </c>
      <c r="F33" s="2">
        <v>35594000</v>
      </c>
      <c r="G33" s="2">
        <v>32957000</v>
      </c>
      <c r="H33" s="2">
        <v>32686000</v>
      </c>
      <c r="I33" s="2">
        <v>65486000</v>
      </c>
      <c r="J33" s="2">
        <v>52359000</v>
      </c>
      <c r="K33" s="2">
        <v>50796000</v>
      </c>
      <c r="L33" s="1"/>
    </row>
    <row r="34" spans="1:12" x14ac:dyDescent="0.25">
      <c r="A34" s="1" t="s">
        <v>17</v>
      </c>
      <c r="B34" s="2">
        <v>4418000</v>
      </c>
      <c r="C34" s="2">
        <v>3597000</v>
      </c>
      <c r="D34" s="2">
        <v>5527000</v>
      </c>
      <c r="E34" s="2">
        <v>5803000</v>
      </c>
      <c r="F34" s="2">
        <v>4788000</v>
      </c>
      <c r="G34" s="2">
        <v>3795000</v>
      </c>
      <c r="H34" s="2">
        <v>4073000</v>
      </c>
      <c r="I34" s="2">
        <v>3932000</v>
      </c>
      <c r="J34" s="2">
        <v>2792000</v>
      </c>
      <c r="K34" s="2">
        <v>2161000</v>
      </c>
      <c r="L34" s="1"/>
    </row>
    <row r="35" spans="1:12" x14ac:dyDescent="0.25">
      <c r="A35" s="1" t="s">
        <v>16</v>
      </c>
      <c r="B35" s="2">
        <v>2584000</v>
      </c>
      <c r="C35" s="2">
        <v>1912000</v>
      </c>
      <c r="D35" s="2">
        <v>3796000</v>
      </c>
      <c r="E35" s="2">
        <v>2750000</v>
      </c>
      <c r="F35" s="2">
        <v>2248000</v>
      </c>
      <c r="G35" s="2">
        <v>1368000</v>
      </c>
      <c r="H35" s="2">
        <v>1825000</v>
      </c>
      <c r="I35" s="2">
        <v>1971000</v>
      </c>
      <c r="J35" s="2">
        <v>1858000</v>
      </c>
      <c r="K35" s="2">
        <v>1300000</v>
      </c>
      <c r="L35" s="1"/>
    </row>
    <row r="36" spans="1:12" x14ac:dyDescent="0.25">
      <c r="A36" s="1" t="s">
        <v>15</v>
      </c>
      <c r="B36" s="2">
        <v>1834000</v>
      </c>
      <c r="C36" s="2">
        <v>1685000</v>
      </c>
      <c r="D36" s="2">
        <v>1731000</v>
      </c>
      <c r="E36" s="2">
        <v>3053000</v>
      </c>
      <c r="F36" s="2">
        <v>2540000</v>
      </c>
      <c r="G36" s="2">
        <v>2427000</v>
      </c>
      <c r="H36" s="2">
        <v>2248000</v>
      </c>
      <c r="I36" s="2">
        <v>1961000</v>
      </c>
      <c r="J36" s="2">
        <v>934000</v>
      </c>
      <c r="K36" s="2">
        <v>861000</v>
      </c>
      <c r="L36" s="1"/>
    </row>
    <row r="37" spans="1:12" x14ac:dyDescent="0.25">
      <c r="A37" s="1" t="s">
        <v>14</v>
      </c>
      <c r="B37" s="2">
        <v>1364000</v>
      </c>
      <c r="C37" s="2">
        <v>914000</v>
      </c>
      <c r="D37" s="2">
        <v>1945000</v>
      </c>
      <c r="E37" s="2">
        <v>2044000</v>
      </c>
      <c r="F37" s="2">
        <v>500000</v>
      </c>
      <c r="G37" s="2">
        <v>2496000</v>
      </c>
      <c r="H37" s="2">
        <v>1005000</v>
      </c>
      <c r="I37" s="2">
        <v>2495000</v>
      </c>
      <c r="J37" s="2">
        <v>1749000</v>
      </c>
      <c r="K37" s="2">
        <v>1000000</v>
      </c>
      <c r="L37" s="1"/>
    </row>
    <row r="38" spans="1:12" x14ac:dyDescent="0.25">
      <c r="A38" s="1" t="s">
        <v>13</v>
      </c>
      <c r="B38" s="2">
        <v>4722000</v>
      </c>
      <c r="C38" s="2">
        <v>5117000</v>
      </c>
      <c r="D38" s="2">
        <v>4394000</v>
      </c>
      <c r="E38" s="2">
        <v>4104000</v>
      </c>
      <c r="F38" s="2">
        <v>3384000</v>
      </c>
      <c r="G38" s="2">
        <v>2644000</v>
      </c>
      <c r="H38" s="2">
        <v>6158000</v>
      </c>
      <c r="I38" s="2">
        <v>4480000</v>
      </c>
      <c r="J38" s="2">
        <v>2770000</v>
      </c>
      <c r="K38" s="2">
        <v>2939000</v>
      </c>
      <c r="L38" s="1"/>
    </row>
    <row r="39" spans="1:12" x14ac:dyDescent="0.25">
      <c r="A39" s="1" t="s">
        <v>12</v>
      </c>
      <c r="B39" s="2">
        <v>10504000</v>
      </c>
      <c r="C39" s="2">
        <v>9628000</v>
      </c>
      <c r="D39" s="2">
        <v>11866000</v>
      </c>
      <c r="E39" s="2">
        <v>11951000</v>
      </c>
      <c r="F39" s="2">
        <v>8672000</v>
      </c>
      <c r="G39" s="2">
        <v>8935000</v>
      </c>
      <c r="H39" s="2">
        <v>11236000</v>
      </c>
      <c r="I39" s="2">
        <v>10907000</v>
      </c>
      <c r="J39" s="2">
        <v>7311000</v>
      </c>
      <c r="K39" s="2">
        <v>6100000</v>
      </c>
      <c r="L39" s="1"/>
    </row>
    <row r="40" spans="1:12" x14ac:dyDescent="0.25">
      <c r="A40" s="1" t="s">
        <v>11</v>
      </c>
      <c r="B40" s="2">
        <v>13270000</v>
      </c>
      <c r="C40" s="2">
        <v>14484000</v>
      </c>
      <c r="D40" s="2">
        <v>13537000</v>
      </c>
      <c r="E40" s="2">
        <v>13701000</v>
      </c>
      <c r="F40" s="2">
        <v>15226000</v>
      </c>
      <c r="G40" s="2">
        <v>13437000</v>
      </c>
      <c r="H40" s="2">
        <v>15365000</v>
      </c>
      <c r="I40" s="2">
        <v>19398000</v>
      </c>
      <c r="J40" s="2">
        <v>10008000</v>
      </c>
      <c r="K40" s="2">
        <v>9969000</v>
      </c>
      <c r="L40" s="1"/>
    </row>
    <row r="41" spans="1:12" x14ac:dyDescent="0.25">
      <c r="A41" s="1" t="s">
        <v>10</v>
      </c>
      <c r="B41" s="2">
        <v>88000</v>
      </c>
      <c r="C41" s="2">
        <v>99000</v>
      </c>
      <c r="D41" s="2">
        <v>144000</v>
      </c>
      <c r="E41" s="2">
        <v>364000</v>
      </c>
      <c r="F41" s="2">
        <v>761000</v>
      </c>
      <c r="G41" s="2">
        <v>1160000</v>
      </c>
      <c r="H41" s="2">
        <v>1620000</v>
      </c>
      <c r="I41" s="2">
        <v>2003000</v>
      </c>
      <c r="J41" s="2">
        <v>2377000</v>
      </c>
      <c r="K41" s="2">
        <v>2496000</v>
      </c>
      <c r="L41" s="1"/>
    </row>
    <row r="42" spans="1:12" x14ac:dyDescent="0.25">
      <c r="A42" s="1" t="s">
        <v>144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-10000</v>
      </c>
      <c r="K42" s="2">
        <v>-7000</v>
      </c>
      <c r="L42" s="1"/>
    </row>
    <row r="43" spans="1:12" x14ac:dyDescent="0.25">
      <c r="A43" s="1" t="s">
        <v>9</v>
      </c>
      <c r="B43" s="2">
        <v>5018000</v>
      </c>
      <c r="C43" s="2">
        <v>5248000</v>
      </c>
      <c r="D43" s="2">
        <v>5454000</v>
      </c>
      <c r="E43" s="2">
        <v>5274000</v>
      </c>
      <c r="F43" s="2">
        <v>4858000</v>
      </c>
      <c r="G43" s="2">
        <v>4516000</v>
      </c>
      <c r="H43" s="2">
        <v>3537000</v>
      </c>
      <c r="I43" s="2">
        <v>2432000</v>
      </c>
      <c r="J43" s="2">
        <v>895000</v>
      </c>
      <c r="K43" s="2">
        <v>817000</v>
      </c>
      <c r="L43" s="1"/>
    </row>
    <row r="44" spans="1:12" x14ac:dyDescent="0.25">
      <c r="A44" s="1" t="s">
        <v>8</v>
      </c>
      <c r="B44" s="2">
        <v>28880000</v>
      </c>
      <c r="C44" s="2">
        <v>29459000</v>
      </c>
      <c r="D44" s="2">
        <v>31001000</v>
      </c>
      <c r="E44" s="2">
        <v>31290000</v>
      </c>
      <c r="F44" s="2">
        <v>29517000</v>
      </c>
      <c r="G44" s="2">
        <v>28048000</v>
      </c>
      <c r="H44" s="2">
        <v>31758000</v>
      </c>
      <c r="I44" s="2">
        <v>34740000</v>
      </c>
      <c r="J44" s="2">
        <v>20581000</v>
      </c>
      <c r="K44" s="2">
        <v>19375000</v>
      </c>
      <c r="L44" s="1"/>
    </row>
    <row r="45" spans="1:12" x14ac:dyDescent="0.25">
      <c r="A45" s="1" t="s">
        <v>7</v>
      </c>
      <c r="B45" s="40">
        <v>111.3</v>
      </c>
      <c r="C45" s="2">
        <v>490000</v>
      </c>
      <c r="D45" s="3">
        <v>0</v>
      </c>
      <c r="E45" s="3">
        <v>0</v>
      </c>
      <c r="F45" s="3">
        <v>0</v>
      </c>
      <c r="G45" s="2">
        <v>343000</v>
      </c>
      <c r="H45" s="3">
        <v>0</v>
      </c>
      <c r="I45" s="2">
        <v>274000</v>
      </c>
      <c r="J45" s="2">
        <v>414000</v>
      </c>
      <c r="K45" s="3">
        <v>0</v>
      </c>
      <c r="L45" s="1"/>
    </row>
    <row r="46" spans="1:12" x14ac:dyDescent="0.25">
      <c r="A46" s="1" t="s">
        <v>6</v>
      </c>
      <c r="B46" s="3">
        <v>0</v>
      </c>
      <c r="C46" s="3">
        <v>0</v>
      </c>
      <c r="D46" s="2">
        <v>195000</v>
      </c>
      <c r="E46" s="3">
        <v>0</v>
      </c>
      <c r="F46" s="2">
        <v>586000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1"/>
    </row>
    <row r="47" spans="1:12" x14ac:dyDescent="0.25">
      <c r="A47" s="1" t="s">
        <v>5</v>
      </c>
      <c r="B47" s="2">
        <v>25687000</v>
      </c>
      <c r="C47" s="2">
        <v>20733000</v>
      </c>
      <c r="D47" s="2">
        <v>17840000</v>
      </c>
      <c r="E47" s="2">
        <v>9822000</v>
      </c>
      <c r="F47" s="2">
        <v>5284000</v>
      </c>
      <c r="G47" s="2">
        <v>4466000</v>
      </c>
      <c r="H47" s="2">
        <v>663000</v>
      </c>
      <c r="I47" s="2">
        <v>30088000</v>
      </c>
      <c r="J47" s="2">
        <v>30936000</v>
      </c>
      <c r="K47" s="2">
        <v>31226000</v>
      </c>
      <c r="L47" s="1"/>
    </row>
    <row r="48" spans="1:12" x14ac:dyDescent="0.25">
      <c r="A48" s="1" t="s">
        <v>4</v>
      </c>
      <c r="B48" s="2">
        <v>587000</v>
      </c>
      <c r="C48" s="2">
        <v>358000</v>
      </c>
      <c r="D48" s="2">
        <v>-22000</v>
      </c>
      <c r="E48" s="2">
        <v>128000</v>
      </c>
      <c r="F48" s="2">
        <v>207000</v>
      </c>
      <c r="G48" s="2">
        <v>100000</v>
      </c>
      <c r="H48" s="2">
        <v>265000</v>
      </c>
      <c r="I48" s="2">
        <v>384000</v>
      </c>
      <c r="J48" s="2">
        <v>428000</v>
      </c>
      <c r="K48" s="2">
        <v>195000</v>
      </c>
      <c r="L48" s="1"/>
    </row>
    <row r="49" spans="1:12" x14ac:dyDescent="0.25">
      <c r="A49" s="1" t="s">
        <v>169</v>
      </c>
      <c r="B49" s="3">
        <v>0</v>
      </c>
      <c r="C49" s="3">
        <v>0</v>
      </c>
      <c r="D49" s="3">
        <v>0</v>
      </c>
      <c r="E49" s="3">
        <v>0</v>
      </c>
      <c r="F49" s="2">
        <v>-32000</v>
      </c>
      <c r="G49" s="2">
        <v>-99000</v>
      </c>
      <c r="H49" s="2">
        <v>11000</v>
      </c>
      <c r="I49" s="2">
        <v>147000</v>
      </c>
      <c r="J49" s="2">
        <v>-161000</v>
      </c>
      <c r="K49" s="2">
        <v>-160000</v>
      </c>
      <c r="L49" s="1"/>
    </row>
    <row r="50" spans="1:12" x14ac:dyDescent="0.25">
      <c r="A50" s="1" t="s">
        <v>145</v>
      </c>
      <c r="B50" s="40">
        <v>-111.3</v>
      </c>
      <c r="C50" s="2">
        <v>0</v>
      </c>
      <c r="D50" s="2">
        <v>0</v>
      </c>
      <c r="E50" s="2">
        <v>0</v>
      </c>
      <c r="F50" s="2">
        <v>32000</v>
      </c>
      <c r="G50" s="2">
        <v>99000</v>
      </c>
      <c r="H50" s="2">
        <v>-11000</v>
      </c>
      <c r="I50" s="2">
        <v>-147000</v>
      </c>
      <c r="J50" s="2">
        <v>161000</v>
      </c>
      <c r="K50" s="2">
        <v>160000</v>
      </c>
      <c r="L50" s="1"/>
    </row>
    <row r="51" spans="1:12" x14ac:dyDescent="0.25">
      <c r="A51" s="1" t="s">
        <v>1</v>
      </c>
      <c r="B51" s="2">
        <v>26274000</v>
      </c>
      <c r="C51" s="2">
        <v>21581000</v>
      </c>
      <c r="D51" s="2">
        <v>18013000</v>
      </c>
      <c r="E51" s="2">
        <v>9950000</v>
      </c>
      <c r="F51" s="2">
        <v>6077000</v>
      </c>
      <c r="G51" s="2">
        <v>4909000</v>
      </c>
      <c r="H51" s="2">
        <v>928000</v>
      </c>
      <c r="I51" s="2">
        <v>30746000</v>
      </c>
      <c r="J51" s="2">
        <v>31778000</v>
      </c>
      <c r="K51" s="2">
        <v>31421000</v>
      </c>
      <c r="L51" s="1"/>
    </row>
    <row r="52" spans="1:12" x14ac:dyDescent="0.25">
      <c r="A52" s="1" t="s">
        <v>0</v>
      </c>
      <c r="B52" s="2">
        <v>55154000</v>
      </c>
      <c r="C52" s="2">
        <v>51040000</v>
      </c>
      <c r="D52" s="2">
        <v>49014000</v>
      </c>
      <c r="E52" s="2">
        <v>41240000</v>
      </c>
      <c r="F52" s="2">
        <v>35594000</v>
      </c>
      <c r="G52" s="2">
        <v>32957000</v>
      </c>
      <c r="H52" s="2">
        <v>32686000</v>
      </c>
      <c r="I52" s="2">
        <v>65486000</v>
      </c>
      <c r="J52" s="2">
        <v>52359000</v>
      </c>
      <c r="K52" s="2">
        <v>50796000</v>
      </c>
      <c r="L52" s="1"/>
    </row>
    <row r="57" spans="1:12" x14ac:dyDescent="0.25">
      <c r="A57" s="45" t="s">
        <v>53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</row>
    <row r="58" spans="1:12" x14ac:dyDescent="0.25">
      <c r="A58" s="46" t="s">
        <v>49</v>
      </c>
      <c r="B58" s="52" t="s">
        <v>156</v>
      </c>
      <c r="C58" s="52" t="s">
        <v>157</v>
      </c>
      <c r="D58" s="52" t="s">
        <v>158</v>
      </c>
      <c r="E58" s="52" t="s">
        <v>159</v>
      </c>
      <c r="F58" s="52" t="s">
        <v>160</v>
      </c>
      <c r="G58" s="52" t="s">
        <v>161</v>
      </c>
      <c r="H58" s="52" t="s">
        <v>162</v>
      </c>
      <c r="I58" s="52" t="s">
        <v>163</v>
      </c>
      <c r="J58" s="52" t="s">
        <v>164</v>
      </c>
      <c r="K58" s="52" t="s">
        <v>165</v>
      </c>
      <c r="L58" s="46"/>
    </row>
    <row r="59" spans="1:12" x14ac:dyDescent="0.25">
      <c r="A59" s="46" t="s">
        <v>38</v>
      </c>
      <c r="B59" s="47" t="s">
        <v>37</v>
      </c>
      <c r="C59" s="47" t="s">
        <v>37</v>
      </c>
      <c r="D59" s="47" t="s">
        <v>37</v>
      </c>
      <c r="E59" s="47" t="s">
        <v>37</v>
      </c>
      <c r="F59" s="47" t="s">
        <v>37</v>
      </c>
      <c r="G59" s="47" t="s">
        <v>37</v>
      </c>
      <c r="H59" s="47" t="s">
        <v>37</v>
      </c>
      <c r="I59" s="47" t="s">
        <v>37</v>
      </c>
      <c r="J59" s="47" t="s">
        <v>37</v>
      </c>
      <c r="K59" s="47" t="s">
        <v>37</v>
      </c>
      <c r="L59" s="46"/>
    </row>
    <row r="60" spans="1:12" ht="38.25" x14ac:dyDescent="0.25">
      <c r="A60" s="46" t="s">
        <v>36</v>
      </c>
      <c r="B60" s="47" t="s">
        <v>35</v>
      </c>
      <c r="C60" s="47" t="s">
        <v>35</v>
      </c>
      <c r="D60" s="47" t="s">
        <v>35</v>
      </c>
      <c r="E60" s="47" t="s">
        <v>35</v>
      </c>
      <c r="F60" s="47" t="s">
        <v>35</v>
      </c>
      <c r="G60" s="47" t="s">
        <v>35</v>
      </c>
      <c r="H60" s="47" t="s">
        <v>35</v>
      </c>
      <c r="I60" s="47" t="s">
        <v>35</v>
      </c>
      <c r="J60" s="47" t="s">
        <v>35</v>
      </c>
      <c r="K60" s="47" t="s">
        <v>35</v>
      </c>
      <c r="L60" s="46"/>
    </row>
    <row r="61" spans="1:12" x14ac:dyDescent="0.25">
      <c r="A61" s="46" t="s">
        <v>34</v>
      </c>
      <c r="B61" s="47" t="s">
        <v>33</v>
      </c>
      <c r="C61" s="47" t="s">
        <v>33</v>
      </c>
      <c r="D61" s="47" t="s">
        <v>33</v>
      </c>
      <c r="E61" s="47" t="s">
        <v>33</v>
      </c>
      <c r="F61" s="47" t="s">
        <v>33</v>
      </c>
      <c r="G61" s="47" t="s">
        <v>33</v>
      </c>
      <c r="H61" s="47" t="s">
        <v>33</v>
      </c>
      <c r="I61" s="47" t="s">
        <v>33</v>
      </c>
      <c r="J61" s="47" t="s">
        <v>33</v>
      </c>
      <c r="K61" s="47" t="s">
        <v>33</v>
      </c>
      <c r="L61" s="46"/>
    </row>
    <row r="62" spans="1:12" ht="25.5" x14ac:dyDescent="0.25">
      <c r="A62" s="46" t="s">
        <v>32</v>
      </c>
      <c r="B62" s="47" t="s">
        <v>31</v>
      </c>
      <c r="C62" s="47" t="s">
        <v>31</v>
      </c>
      <c r="D62" s="47" t="s">
        <v>31</v>
      </c>
      <c r="E62" s="47" t="s">
        <v>31</v>
      </c>
      <c r="F62" s="47" t="s">
        <v>31</v>
      </c>
      <c r="G62" s="47" t="s">
        <v>31</v>
      </c>
      <c r="H62" s="47" t="s">
        <v>31</v>
      </c>
      <c r="I62" s="47" t="s">
        <v>31</v>
      </c>
      <c r="J62" s="47" t="s">
        <v>31</v>
      </c>
      <c r="K62" s="47" t="s">
        <v>31</v>
      </c>
      <c r="L62" s="46"/>
    </row>
    <row r="63" spans="1:12" x14ac:dyDescent="0.25">
      <c r="A63" s="48" t="s">
        <v>54</v>
      </c>
      <c r="B63" s="49">
        <v>38962000</v>
      </c>
      <c r="C63" s="49">
        <v>30028000</v>
      </c>
      <c r="D63" s="49">
        <v>37171000</v>
      </c>
      <c r="E63" s="49">
        <v>26741000</v>
      </c>
      <c r="F63" s="49">
        <v>16298000</v>
      </c>
      <c r="G63" s="49">
        <v>14611000</v>
      </c>
      <c r="H63" s="49">
        <v>17400000</v>
      </c>
      <c r="I63" s="49">
        <v>16647000</v>
      </c>
      <c r="J63" s="49">
        <v>15467000</v>
      </c>
      <c r="K63" s="49">
        <v>17079000</v>
      </c>
      <c r="L63" s="48"/>
    </row>
    <row r="64" spans="1:12" x14ac:dyDescent="0.25">
      <c r="A64" s="48" t="s">
        <v>146</v>
      </c>
      <c r="B64" s="50" t="s">
        <v>2</v>
      </c>
      <c r="C64" s="49">
        <v>5792000</v>
      </c>
      <c r="D64" s="49">
        <v>7029000</v>
      </c>
      <c r="E64" s="49">
        <v>6825000</v>
      </c>
      <c r="F64" s="49">
        <v>7233000</v>
      </c>
      <c r="G64" s="49">
        <v>9662000</v>
      </c>
      <c r="H64" s="49">
        <v>5332000</v>
      </c>
      <c r="I64" s="49">
        <v>5644000</v>
      </c>
      <c r="J64" s="49">
        <v>8087000</v>
      </c>
      <c r="K64" s="49">
        <v>8202000</v>
      </c>
      <c r="L64" s="48"/>
    </row>
    <row r="65" spans="1:12" x14ac:dyDescent="0.25">
      <c r="A65" s="48" t="s">
        <v>55</v>
      </c>
      <c r="B65" s="49">
        <v>38962000</v>
      </c>
      <c r="C65" s="49">
        <v>35820000</v>
      </c>
      <c r="D65" s="49">
        <v>44200000</v>
      </c>
      <c r="E65" s="49">
        <v>33566000</v>
      </c>
      <c r="F65" s="49">
        <v>23531000</v>
      </c>
      <c r="G65" s="49">
        <v>24273000</v>
      </c>
      <c r="H65" s="49">
        <v>22732000</v>
      </c>
      <c r="I65" s="49">
        <v>22291000</v>
      </c>
      <c r="J65" s="49">
        <v>23554000</v>
      </c>
      <c r="K65" s="49">
        <v>25281000</v>
      </c>
      <c r="L65" s="48"/>
    </row>
    <row r="66" spans="1:12" x14ac:dyDescent="0.25">
      <c r="A66" s="48" t="s">
        <v>56</v>
      </c>
      <c r="B66" s="49">
        <v>17060000</v>
      </c>
      <c r="C66" s="49">
        <v>15869000</v>
      </c>
      <c r="D66" s="49">
        <v>18635000</v>
      </c>
      <c r="E66" s="49">
        <v>14262000</v>
      </c>
      <c r="F66" s="49">
        <v>9255000</v>
      </c>
      <c r="G66" s="49">
        <v>8599000</v>
      </c>
      <c r="H66" s="49">
        <v>10244000</v>
      </c>
      <c r="I66" s="49">
        <v>9792000</v>
      </c>
      <c r="J66" s="49">
        <v>9749000</v>
      </c>
      <c r="K66" s="49">
        <v>10378000</v>
      </c>
      <c r="L66" s="48"/>
    </row>
    <row r="67" spans="1:12" x14ac:dyDescent="0.25">
      <c r="A67" s="48" t="s">
        <v>57</v>
      </c>
      <c r="B67" s="49">
        <v>21902000</v>
      </c>
      <c r="C67" s="49">
        <v>19951000</v>
      </c>
      <c r="D67" s="49">
        <v>25565000</v>
      </c>
      <c r="E67" s="49">
        <v>19304000</v>
      </c>
      <c r="F67" s="49">
        <v>14276000</v>
      </c>
      <c r="G67" s="49">
        <v>15674000</v>
      </c>
      <c r="H67" s="49">
        <v>12488000</v>
      </c>
      <c r="I67" s="49">
        <v>12499000</v>
      </c>
      <c r="J67" s="49">
        <v>13805000</v>
      </c>
      <c r="K67" s="49">
        <v>14903000</v>
      </c>
      <c r="L67" s="48"/>
    </row>
    <row r="68" spans="1:12" x14ac:dyDescent="0.25">
      <c r="A68" s="48" t="s">
        <v>58</v>
      </c>
      <c r="B68" s="49">
        <v>2759000</v>
      </c>
      <c r="C68" s="49">
        <v>2483000</v>
      </c>
      <c r="D68" s="49">
        <v>2570000</v>
      </c>
      <c r="E68" s="49">
        <v>2339000</v>
      </c>
      <c r="F68" s="49">
        <v>2074000</v>
      </c>
      <c r="G68" s="49">
        <v>2195000</v>
      </c>
      <c r="H68" s="49">
        <v>2986000</v>
      </c>
      <c r="I68" s="49">
        <v>2658000</v>
      </c>
      <c r="J68" s="49">
        <v>2385000</v>
      </c>
      <c r="K68" s="49">
        <v>2344000</v>
      </c>
      <c r="L68" s="48"/>
    </row>
    <row r="69" spans="1:12" x14ac:dyDescent="0.25">
      <c r="A69" s="48" t="s">
        <v>59</v>
      </c>
      <c r="B69" s="49">
        <v>8893000</v>
      </c>
      <c r="C69" s="49">
        <v>8818000</v>
      </c>
      <c r="D69" s="49">
        <v>8194000</v>
      </c>
      <c r="E69" s="49">
        <v>7176000</v>
      </c>
      <c r="F69" s="49">
        <v>5975000</v>
      </c>
      <c r="G69" s="49">
        <v>5398000</v>
      </c>
      <c r="H69" s="49">
        <v>5625000</v>
      </c>
      <c r="I69" s="49">
        <v>5485000</v>
      </c>
      <c r="J69" s="49">
        <v>5151000</v>
      </c>
      <c r="K69" s="49">
        <v>5490000</v>
      </c>
      <c r="L69" s="48"/>
    </row>
    <row r="70" spans="1:12" x14ac:dyDescent="0.25">
      <c r="A70" s="48" t="s">
        <v>148</v>
      </c>
      <c r="B70" s="49">
        <v>179000</v>
      </c>
      <c r="C70" s="49">
        <v>862000</v>
      </c>
      <c r="D70" s="49">
        <v>-1059000</v>
      </c>
      <c r="E70" s="49">
        <v>0</v>
      </c>
      <c r="F70" s="49">
        <v>-28000</v>
      </c>
      <c r="G70" s="49">
        <v>414000</v>
      </c>
      <c r="H70" s="49">
        <v>3135000</v>
      </c>
      <c r="I70" s="49">
        <v>1742000</v>
      </c>
      <c r="J70" s="49">
        <v>-226000</v>
      </c>
      <c r="K70" s="49">
        <v>1293000</v>
      </c>
      <c r="L70" s="48"/>
    </row>
    <row r="71" spans="1:12" x14ac:dyDescent="0.25">
      <c r="A71" s="48" t="s">
        <v>61</v>
      </c>
      <c r="B71" s="49">
        <v>11831000</v>
      </c>
      <c r="C71" s="49">
        <v>12163000</v>
      </c>
      <c r="D71" s="49">
        <v>9705000</v>
      </c>
      <c r="E71" s="49">
        <v>9515000</v>
      </c>
      <c r="F71" s="49">
        <v>8021000</v>
      </c>
      <c r="G71" s="49">
        <v>8007000</v>
      </c>
      <c r="H71" s="49">
        <v>11746000</v>
      </c>
      <c r="I71" s="49">
        <v>9885000</v>
      </c>
      <c r="J71" s="49">
        <v>7310000</v>
      </c>
      <c r="K71" s="49">
        <v>9127000</v>
      </c>
      <c r="L71" s="48"/>
    </row>
    <row r="72" spans="1:12" x14ac:dyDescent="0.25">
      <c r="A72" s="48" t="s">
        <v>62</v>
      </c>
      <c r="B72" s="49">
        <v>10071000</v>
      </c>
      <c r="C72" s="49">
        <v>7788000</v>
      </c>
      <c r="D72" s="49">
        <v>15860000</v>
      </c>
      <c r="E72" s="49">
        <v>9789000</v>
      </c>
      <c r="F72" s="49">
        <v>6255000</v>
      </c>
      <c r="G72" s="49">
        <v>7667000</v>
      </c>
      <c r="H72" s="49">
        <v>742000</v>
      </c>
      <c r="I72" s="49">
        <v>2614000</v>
      </c>
      <c r="J72" s="49">
        <v>6495000</v>
      </c>
      <c r="K72" s="49">
        <v>5776000</v>
      </c>
      <c r="L72" s="48"/>
    </row>
    <row r="73" spans="1:12" x14ac:dyDescent="0.25">
      <c r="A73" s="48" t="s">
        <v>63</v>
      </c>
      <c r="B73" s="49">
        <v>-22000</v>
      </c>
      <c r="C73" s="49">
        <v>-381000</v>
      </c>
      <c r="D73" s="49">
        <v>-399000</v>
      </c>
      <c r="E73" s="49">
        <v>-476000</v>
      </c>
      <c r="F73" s="49">
        <v>-446000</v>
      </c>
      <c r="G73" s="49">
        <v>-311000</v>
      </c>
      <c r="H73" s="49">
        <v>-143000</v>
      </c>
      <c r="I73" s="49">
        <v>125000</v>
      </c>
      <c r="J73" s="49">
        <v>314000</v>
      </c>
      <c r="K73" s="49">
        <v>423000</v>
      </c>
      <c r="L73" s="48"/>
    </row>
    <row r="74" spans="1:12" x14ac:dyDescent="0.25">
      <c r="A74" s="48" t="s">
        <v>149</v>
      </c>
      <c r="B74" s="49">
        <v>387000</v>
      </c>
      <c r="C74" s="49">
        <v>82000</v>
      </c>
      <c r="D74" s="49">
        <v>-287000</v>
      </c>
      <c r="E74" s="49">
        <v>883000</v>
      </c>
      <c r="F74" s="49">
        <v>314000</v>
      </c>
      <c r="G74" s="49">
        <v>342000</v>
      </c>
      <c r="H74" s="49">
        <v>97000</v>
      </c>
      <c r="I74" s="49">
        <v>562000</v>
      </c>
      <c r="J74" s="49">
        <v>280000</v>
      </c>
      <c r="K74" s="49">
        <v>520000</v>
      </c>
      <c r="L74" s="48"/>
    </row>
    <row r="75" spans="1:12" x14ac:dyDescent="0.25">
      <c r="A75" s="48" t="s">
        <v>170</v>
      </c>
      <c r="B75" s="50" t="s">
        <v>2</v>
      </c>
      <c r="C75" s="50" t="s">
        <v>2</v>
      </c>
      <c r="D75" s="49">
        <v>19000</v>
      </c>
      <c r="E75" s="49">
        <v>-32000</v>
      </c>
      <c r="F75" s="49">
        <v>-25000</v>
      </c>
      <c r="G75" s="49">
        <v>11000</v>
      </c>
      <c r="H75" s="49">
        <v>37000</v>
      </c>
      <c r="I75" s="49">
        <v>-30000</v>
      </c>
      <c r="J75" s="50" t="s">
        <v>2</v>
      </c>
      <c r="K75" s="50" t="s">
        <v>2</v>
      </c>
      <c r="L75" s="48"/>
    </row>
    <row r="76" spans="1:12" x14ac:dyDescent="0.25">
      <c r="A76" s="48" t="s">
        <v>64</v>
      </c>
      <c r="B76" s="49">
        <v>-100000</v>
      </c>
      <c r="C76" s="49">
        <v>-46000</v>
      </c>
      <c r="D76" s="49">
        <v>-188000</v>
      </c>
      <c r="E76" s="49">
        <v>97000</v>
      </c>
      <c r="F76" s="49">
        <v>-358000</v>
      </c>
      <c r="G76" s="49">
        <v>-135000</v>
      </c>
      <c r="H76" s="49">
        <v>-75000</v>
      </c>
      <c r="I76" s="49">
        <v>-177000</v>
      </c>
      <c r="J76" s="49">
        <v>-172000</v>
      </c>
      <c r="K76" s="49">
        <v>-200000</v>
      </c>
      <c r="L76" s="48"/>
    </row>
    <row r="77" spans="1:12" x14ac:dyDescent="0.25">
      <c r="A77" s="48" t="s">
        <v>65</v>
      </c>
      <c r="B77" s="49">
        <v>265000</v>
      </c>
      <c r="C77" s="49">
        <v>-345000</v>
      </c>
      <c r="D77" s="49">
        <v>-855000</v>
      </c>
      <c r="E77" s="49">
        <v>472000</v>
      </c>
      <c r="F77" s="49">
        <v>-515000</v>
      </c>
      <c r="G77" s="49">
        <v>-93000</v>
      </c>
      <c r="H77" s="49">
        <v>-84000</v>
      </c>
      <c r="I77" s="49">
        <v>480000</v>
      </c>
      <c r="J77" s="49">
        <v>422000</v>
      </c>
      <c r="K77" s="49">
        <v>743000</v>
      </c>
      <c r="L77" s="48"/>
    </row>
    <row r="78" spans="1:12" x14ac:dyDescent="0.25">
      <c r="A78" s="48" t="s">
        <v>66</v>
      </c>
      <c r="B78" s="49">
        <v>10336000</v>
      </c>
      <c r="C78" s="49">
        <v>7443000</v>
      </c>
      <c r="D78" s="49">
        <v>15005000</v>
      </c>
      <c r="E78" s="49">
        <v>10261000</v>
      </c>
      <c r="F78" s="49">
        <v>5740000</v>
      </c>
      <c r="G78" s="49">
        <v>7574000</v>
      </c>
      <c r="H78" s="49">
        <v>658000</v>
      </c>
      <c r="I78" s="49">
        <v>3094000</v>
      </c>
      <c r="J78" s="49">
        <v>6917000</v>
      </c>
      <c r="K78" s="49">
        <v>6519000</v>
      </c>
      <c r="L78" s="48"/>
    </row>
    <row r="79" spans="1:12" x14ac:dyDescent="0.25">
      <c r="A79" s="48" t="s">
        <v>150</v>
      </c>
      <c r="B79" s="49">
        <v>226000</v>
      </c>
      <c r="C79" s="49">
        <v>104000</v>
      </c>
      <c r="D79" s="49">
        <v>2012000</v>
      </c>
      <c r="E79" s="49">
        <v>1231000</v>
      </c>
      <c r="F79" s="49">
        <v>521000</v>
      </c>
      <c r="G79" s="49">
        <v>3095000</v>
      </c>
      <c r="H79" s="49">
        <v>5377000</v>
      </c>
      <c r="I79" s="49">
        <v>555000</v>
      </c>
      <c r="J79" s="49">
        <v>1131000</v>
      </c>
      <c r="K79" s="49">
        <v>1219000</v>
      </c>
      <c r="L79" s="48"/>
    </row>
    <row r="80" spans="1:12" x14ac:dyDescent="0.25">
      <c r="A80" s="48" t="s">
        <v>171</v>
      </c>
      <c r="B80" s="49">
        <v>10110000</v>
      </c>
      <c r="C80" s="50" t="s">
        <v>2</v>
      </c>
      <c r="D80" s="50" t="s">
        <v>2</v>
      </c>
      <c r="E80" s="50" t="s">
        <v>2</v>
      </c>
      <c r="F80" s="50" t="s">
        <v>2</v>
      </c>
      <c r="G80" s="50" t="s">
        <v>2</v>
      </c>
      <c r="H80" s="50" t="s">
        <v>2</v>
      </c>
      <c r="I80" s="50" t="s">
        <v>2</v>
      </c>
      <c r="J80" s="50" t="s">
        <v>2</v>
      </c>
      <c r="K80" s="50" t="s">
        <v>2</v>
      </c>
      <c r="L80" s="48"/>
    </row>
    <row r="81" spans="1:12" x14ac:dyDescent="0.25">
      <c r="A81" s="48" t="s">
        <v>151</v>
      </c>
      <c r="B81" s="50" t="s">
        <v>2</v>
      </c>
      <c r="C81" s="50" t="s">
        <v>2</v>
      </c>
      <c r="D81" s="49">
        <v>-7000</v>
      </c>
      <c r="E81" s="49">
        <v>13000</v>
      </c>
      <c r="F81" s="49">
        <v>-21000</v>
      </c>
      <c r="G81" s="49">
        <v>-93000</v>
      </c>
      <c r="H81" s="49">
        <v>-145000</v>
      </c>
      <c r="I81" s="49">
        <v>-74000</v>
      </c>
      <c r="J81" s="49">
        <v>-84000</v>
      </c>
      <c r="K81" s="49">
        <v>-32000</v>
      </c>
      <c r="L81" s="48"/>
    </row>
    <row r="82" spans="1:12" x14ac:dyDescent="0.25">
      <c r="A82" s="48" t="s">
        <v>67</v>
      </c>
      <c r="B82" s="49">
        <v>10142000</v>
      </c>
      <c r="C82" s="49">
        <v>7232000</v>
      </c>
      <c r="D82" s="49">
        <v>12936000</v>
      </c>
      <c r="E82" s="49">
        <v>9043000</v>
      </c>
      <c r="F82" s="49">
        <v>5198000</v>
      </c>
      <c r="G82" s="49">
        <v>4386000</v>
      </c>
      <c r="H82" s="49">
        <v>-4864000</v>
      </c>
      <c r="I82" s="49">
        <v>2466000</v>
      </c>
      <c r="J82" s="49">
        <v>5705000</v>
      </c>
      <c r="K82" s="49">
        <v>5271000</v>
      </c>
      <c r="L82" s="48"/>
    </row>
    <row r="83" spans="1:12" x14ac:dyDescent="0.25">
      <c r="A83" s="48" t="s">
        <v>68</v>
      </c>
      <c r="B83" s="49">
        <v>10142000</v>
      </c>
      <c r="C83" s="49">
        <v>7232000</v>
      </c>
      <c r="D83" s="49">
        <v>12936000</v>
      </c>
      <c r="E83" s="49">
        <v>9043000</v>
      </c>
      <c r="F83" s="49">
        <v>5198000</v>
      </c>
      <c r="G83" s="49">
        <v>4386000</v>
      </c>
      <c r="H83" s="49">
        <v>-4864000</v>
      </c>
      <c r="I83" s="49">
        <v>2466000</v>
      </c>
      <c r="J83" s="49">
        <v>5705000</v>
      </c>
      <c r="K83" s="49">
        <v>5271000</v>
      </c>
      <c r="L83" s="48"/>
    </row>
    <row r="84" spans="1:12" x14ac:dyDescent="0.25">
      <c r="A84" s="48" t="s">
        <v>69</v>
      </c>
      <c r="B84" s="49">
        <v>1116000</v>
      </c>
      <c r="C84" s="49">
        <v>1117000</v>
      </c>
      <c r="D84" s="49">
        <v>1123000</v>
      </c>
      <c r="E84" s="49">
        <v>1131000</v>
      </c>
      <c r="F84" s="49">
        <v>1135000</v>
      </c>
      <c r="G84" s="49">
        <v>1210000</v>
      </c>
      <c r="H84" s="49">
        <v>1463000</v>
      </c>
      <c r="I84" s="49">
        <v>1477000</v>
      </c>
      <c r="J84" s="49">
        <v>1484000</v>
      </c>
      <c r="K84" s="49">
        <v>1618000</v>
      </c>
      <c r="L84" s="48"/>
    </row>
    <row r="85" spans="1:12" x14ac:dyDescent="0.25">
      <c r="A85" s="48" t="s">
        <v>70</v>
      </c>
      <c r="B85" s="51">
        <v>9.09</v>
      </c>
      <c r="C85" s="51">
        <v>6.47</v>
      </c>
      <c r="D85" s="51">
        <v>11.52</v>
      </c>
      <c r="E85" s="51">
        <v>7.99</v>
      </c>
      <c r="F85" s="51">
        <v>4.58</v>
      </c>
      <c r="G85" s="51">
        <v>3.63</v>
      </c>
      <c r="H85" s="51">
        <v>-3.32</v>
      </c>
      <c r="I85" s="51">
        <v>1.67</v>
      </c>
      <c r="J85" s="51">
        <v>3.84</v>
      </c>
      <c r="K85" s="51">
        <v>3.26</v>
      </c>
      <c r="L85" s="48"/>
    </row>
    <row r="86" spans="1:12" x14ac:dyDescent="0.25">
      <c r="A86" s="48" t="s">
        <v>71</v>
      </c>
      <c r="B86" s="51">
        <v>9.06</v>
      </c>
      <c r="C86" s="51">
        <v>6.57</v>
      </c>
      <c r="D86" s="51">
        <v>11.56</v>
      </c>
      <c r="E86" s="51">
        <v>7.99</v>
      </c>
      <c r="F86" s="51">
        <v>4.58</v>
      </c>
      <c r="G86" s="51">
        <v>3.63</v>
      </c>
      <c r="H86" s="51">
        <v>-3.32</v>
      </c>
      <c r="I86" s="51">
        <v>1.67</v>
      </c>
      <c r="J86" s="51">
        <v>3.84</v>
      </c>
      <c r="K86" s="51">
        <v>3.26</v>
      </c>
      <c r="L86" s="48"/>
    </row>
    <row r="87" spans="1:12" x14ac:dyDescent="0.25">
      <c r="A87" s="48" t="s">
        <v>72</v>
      </c>
      <c r="B87" s="49">
        <v>1130000</v>
      </c>
      <c r="C87" s="49">
        <v>1126000</v>
      </c>
      <c r="D87" s="49">
        <v>1137000</v>
      </c>
      <c r="E87" s="49">
        <v>1149000</v>
      </c>
      <c r="F87" s="49">
        <v>1149000</v>
      </c>
      <c r="G87" s="49">
        <v>1220000</v>
      </c>
      <c r="H87" s="49">
        <v>1463000</v>
      </c>
      <c r="I87" s="49">
        <v>1490000</v>
      </c>
      <c r="J87" s="49">
        <v>1498000</v>
      </c>
      <c r="K87" s="49">
        <v>1639000</v>
      </c>
      <c r="L87" s="48"/>
    </row>
    <row r="88" spans="1:12" x14ac:dyDescent="0.25">
      <c r="A88" s="48" t="s">
        <v>73</v>
      </c>
      <c r="B88" s="51">
        <v>8.9700000000000006</v>
      </c>
      <c r="C88" s="51">
        <v>6.42</v>
      </c>
      <c r="D88" s="51">
        <v>11.37</v>
      </c>
      <c r="E88" s="51">
        <v>7.87</v>
      </c>
      <c r="F88" s="51">
        <v>4.5199999999999996</v>
      </c>
      <c r="G88" s="51">
        <v>3.59</v>
      </c>
      <c r="H88" s="51">
        <v>-3.32</v>
      </c>
      <c r="I88" s="51">
        <v>1.65</v>
      </c>
      <c r="J88" s="51">
        <v>3.81</v>
      </c>
      <c r="K88" s="51">
        <v>3.22</v>
      </c>
      <c r="L88" s="48"/>
    </row>
    <row r="89" spans="1:12" x14ac:dyDescent="0.25">
      <c r="A89" s="48" t="s">
        <v>74</v>
      </c>
      <c r="B89" s="51">
        <v>8.94</v>
      </c>
      <c r="C89" s="51">
        <v>6.52</v>
      </c>
      <c r="D89" s="51">
        <v>11.41</v>
      </c>
      <c r="E89" s="51">
        <v>7.87</v>
      </c>
      <c r="F89" s="51">
        <v>4.5199999999999996</v>
      </c>
      <c r="G89" s="51">
        <v>3.59</v>
      </c>
      <c r="H89" s="51">
        <v>-3.32</v>
      </c>
      <c r="I89" s="51">
        <v>1.65</v>
      </c>
      <c r="J89" s="51">
        <v>3.81</v>
      </c>
      <c r="K89" s="51">
        <v>3.22</v>
      </c>
      <c r="L89" s="48"/>
    </row>
    <row r="90" spans="1:12" x14ac:dyDescent="0.25">
      <c r="A90" s="48" t="s">
        <v>75</v>
      </c>
      <c r="B90" s="49">
        <v>1113000</v>
      </c>
      <c r="C90" s="49">
        <v>1114000</v>
      </c>
      <c r="D90" s="49">
        <v>1121000</v>
      </c>
      <c r="E90" s="49">
        <v>1125000</v>
      </c>
      <c r="F90" s="49">
        <v>1131000</v>
      </c>
      <c r="G90" s="49">
        <v>1145000</v>
      </c>
      <c r="H90" s="49">
        <v>1219000</v>
      </c>
      <c r="I90" s="49">
        <v>1474000</v>
      </c>
      <c r="J90" s="49">
        <v>1476000</v>
      </c>
      <c r="K90" s="49">
        <v>1524000</v>
      </c>
      <c r="L90" s="48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6EF2-7942-499F-B3CC-F84A7416A932}">
  <dimension ref="A4:L43"/>
  <sheetViews>
    <sheetView topLeftCell="A25" workbookViewId="0">
      <selection activeCell="A10" sqref="A10:XFD43"/>
    </sheetView>
  </sheetViews>
  <sheetFormatPr defaultRowHeight="15" x14ac:dyDescent="0.25"/>
  <cols>
    <col min="1" max="1" width="43.42578125" bestFit="1" customWidth="1"/>
    <col min="2" max="11" width="10.140625" bestFit="1" customWidth="1"/>
  </cols>
  <sheetData>
    <row r="4" spans="1:12" x14ac:dyDescent="0.25">
      <c r="A4" s="42" t="s">
        <v>52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20.25" x14ac:dyDescent="0.3">
      <c r="A5" s="43" t="s">
        <v>155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7" spans="1:12" ht="25.5" x14ac:dyDescent="0.25">
      <c r="A7" s="44" t="s">
        <v>129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</row>
    <row r="10" spans="1:12" x14ac:dyDescent="0.25">
      <c r="A10" s="45" t="s">
        <v>53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</row>
    <row r="11" spans="1:12" x14ac:dyDescent="0.25">
      <c r="A11" s="46" t="s">
        <v>49</v>
      </c>
      <c r="B11" s="52" t="s">
        <v>156</v>
      </c>
      <c r="C11" s="52" t="s">
        <v>157</v>
      </c>
      <c r="D11" s="52" t="s">
        <v>158</v>
      </c>
      <c r="E11" s="52" t="s">
        <v>159</v>
      </c>
      <c r="F11" s="52" t="s">
        <v>160</v>
      </c>
      <c r="G11" s="52" t="s">
        <v>161</v>
      </c>
      <c r="H11" s="52" t="s">
        <v>162</v>
      </c>
      <c r="I11" s="52" t="s">
        <v>163</v>
      </c>
      <c r="J11" s="52" t="s">
        <v>164</v>
      </c>
      <c r="K11" s="52" t="s">
        <v>165</v>
      </c>
      <c r="L11" s="46"/>
    </row>
    <row r="12" spans="1:12" x14ac:dyDescent="0.25">
      <c r="A12" s="46" t="s">
        <v>38</v>
      </c>
      <c r="B12" s="47" t="s">
        <v>37</v>
      </c>
      <c r="C12" s="47" t="s">
        <v>37</v>
      </c>
      <c r="D12" s="47" t="s">
        <v>37</v>
      </c>
      <c r="E12" s="47" t="s">
        <v>37</v>
      </c>
      <c r="F12" s="47" t="s">
        <v>37</v>
      </c>
      <c r="G12" s="47" t="s">
        <v>37</v>
      </c>
      <c r="H12" s="47" t="s">
        <v>37</v>
      </c>
      <c r="I12" s="47" t="s">
        <v>37</v>
      </c>
      <c r="J12" s="47" t="s">
        <v>37</v>
      </c>
      <c r="K12" s="47" t="s">
        <v>37</v>
      </c>
      <c r="L12" s="46"/>
    </row>
    <row r="13" spans="1:12" ht="38.25" x14ac:dyDescent="0.25">
      <c r="A13" s="46" t="s">
        <v>36</v>
      </c>
      <c r="B13" s="47" t="s">
        <v>35</v>
      </c>
      <c r="C13" s="47" t="s">
        <v>35</v>
      </c>
      <c r="D13" s="47" t="s">
        <v>35</v>
      </c>
      <c r="E13" s="47" t="s">
        <v>35</v>
      </c>
      <c r="F13" s="47" t="s">
        <v>35</v>
      </c>
      <c r="G13" s="47" t="s">
        <v>35</v>
      </c>
      <c r="H13" s="47" t="s">
        <v>35</v>
      </c>
      <c r="I13" s="47" t="s">
        <v>35</v>
      </c>
      <c r="J13" s="47" t="s">
        <v>35</v>
      </c>
      <c r="K13" s="47" t="s">
        <v>35</v>
      </c>
      <c r="L13" s="46"/>
    </row>
    <row r="14" spans="1:12" x14ac:dyDescent="0.25">
      <c r="A14" s="46" t="s">
        <v>34</v>
      </c>
      <c r="B14" s="47" t="s">
        <v>33</v>
      </c>
      <c r="C14" s="47" t="s">
        <v>33</v>
      </c>
      <c r="D14" s="47" t="s">
        <v>33</v>
      </c>
      <c r="E14" s="47" t="s">
        <v>33</v>
      </c>
      <c r="F14" s="47" t="s">
        <v>33</v>
      </c>
      <c r="G14" s="47" t="s">
        <v>33</v>
      </c>
      <c r="H14" s="47" t="s">
        <v>33</v>
      </c>
      <c r="I14" s="47" t="s">
        <v>33</v>
      </c>
      <c r="J14" s="47" t="s">
        <v>33</v>
      </c>
      <c r="K14" s="47" t="s">
        <v>33</v>
      </c>
      <c r="L14" s="46"/>
    </row>
    <row r="15" spans="1:12" ht="25.5" x14ac:dyDescent="0.25">
      <c r="A15" s="46" t="s">
        <v>32</v>
      </c>
      <c r="B15" s="47" t="s">
        <v>31</v>
      </c>
      <c r="C15" s="47" t="s">
        <v>31</v>
      </c>
      <c r="D15" s="47" t="s">
        <v>31</v>
      </c>
      <c r="E15" s="47" t="s">
        <v>31</v>
      </c>
      <c r="F15" s="47" t="s">
        <v>31</v>
      </c>
      <c r="G15" s="47" t="s">
        <v>31</v>
      </c>
      <c r="H15" s="47" t="s">
        <v>31</v>
      </c>
      <c r="I15" s="47" t="s">
        <v>31</v>
      </c>
      <c r="J15" s="47" t="s">
        <v>31</v>
      </c>
      <c r="K15" s="47" t="s">
        <v>31</v>
      </c>
      <c r="L15" s="46"/>
    </row>
    <row r="16" spans="1:12" x14ac:dyDescent="0.25">
      <c r="A16" s="48" t="s">
        <v>54</v>
      </c>
      <c r="B16" s="49">
        <v>38962000</v>
      </c>
      <c r="C16" s="49">
        <v>30028000</v>
      </c>
      <c r="D16" s="49">
        <v>37171000</v>
      </c>
      <c r="E16" s="49">
        <v>26741000</v>
      </c>
      <c r="F16" s="49">
        <v>16298000</v>
      </c>
      <c r="G16" s="49">
        <v>14611000</v>
      </c>
      <c r="H16" s="49">
        <v>17400000</v>
      </c>
      <c r="I16" s="49">
        <v>16647000</v>
      </c>
      <c r="J16" s="49">
        <v>15467000</v>
      </c>
      <c r="K16" s="49">
        <v>17079000</v>
      </c>
      <c r="L16" s="48"/>
    </row>
    <row r="17" spans="1:12" x14ac:dyDescent="0.25">
      <c r="A17" s="48" t="s">
        <v>146</v>
      </c>
      <c r="B17" s="50" t="s">
        <v>2</v>
      </c>
      <c r="C17" s="49">
        <v>5792000</v>
      </c>
      <c r="D17" s="49">
        <v>7029000</v>
      </c>
      <c r="E17" s="49">
        <v>6825000</v>
      </c>
      <c r="F17" s="49">
        <v>7233000</v>
      </c>
      <c r="G17" s="49">
        <v>9662000</v>
      </c>
      <c r="H17" s="49">
        <v>5332000</v>
      </c>
      <c r="I17" s="49">
        <v>5644000</v>
      </c>
      <c r="J17" s="49">
        <v>8087000</v>
      </c>
      <c r="K17" s="49">
        <v>8202000</v>
      </c>
      <c r="L17" s="48"/>
    </row>
    <row r="18" spans="1:12" x14ac:dyDescent="0.25">
      <c r="A18" s="48" t="s">
        <v>55</v>
      </c>
      <c r="B18" s="49">
        <v>38962000</v>
      </c>
      <c r="C18" s="49">
        <v>35820000</v>
      </c>
      <c r="D18" s="49">
        <v>44200000</v>
      </c>
      <c r="E18" s="49">
        <v>33566000</v>
      </c>
      <c r="F18" s="49">
        <v>23531000</v>
      </c>
      <c r="G18" s="49">
        <v>24273000</v>
      </c>
      <c r="H18" s="49">
        <v>22732000</v>
      </c>
      <c r="I18" s="49">
        <v>22291000</v>
      </c>
      <c r="J18" s="49">
        <v>23554000</v>
      </c>
      <c r="K18" s="49">
        <v>25281000</v>
      </c>
      <c r="L18" s="48"/>
    </row>
    <row r="19" spans="1:12" x14ac:dyDescent="0.25">
      <c r="A19" s="48" t="s">
        <v>56</v>
      </c>
      <c r="B19" s="49">
        <v>17060000</v>
      </c>
      <c r="C19" s="49">
        <v>15869000</v>
      </c>
      <c r="D19" s="49">
        <v>18635000</v>
      </c>
      <c r="E19" s="49">
        <v>14262000</v>
      </c>
      <c r="F19" s="49">
        <v>9255000</v>
      </c>
      <c r="G19" s="49">
        <v>8599000</v>
      </c>
      <c r="H19" s="49">
        <v>10244000</v>
      </c>
      <c r="I19" s="49">
        <v>9792000</v>
      </c>
      <c r="J19" s="49">
        <v>9749000</v>
      </c>
      <c r="K19" s="49">
        <v>10378000</v>
      </c>
      <c r="L19" s="48"/>
    </row>
    <row r="20" spans="1:12" x14ac:dyDescent="0.25">
      <c r="A20" s="48" t="s">
        <v>57</v>
      </c>
      <c r="B20" s="49">
        <v>21902000</v>
      </c>
      <c r="C20" s="49">
        <v>19951000</v>
      </c>
      <c r="D20" s="49">
        <v>25565000</v>
      </c>
      <c r="E20" s="49">
        <v>19304000</v>
      </c>
      <c r="F20" s="49">
        <v>14276000</v>
      </c>
      <c r="G20" s="49">
        <v>15674000</v>
      </c>
      <c r="H20" s="49">
        <v>12488000</v>
      </c>
      <c r="I20" s="49">
        <v>12499000</v>
      </c>
      <c r="J20" s="49">
        <v>13805000</v>
      </c>
      <c r="K20" s="49">
        <v>14903000</v>
      </c>
      <c r="L20" s="48"/>
    </row>
    <row r="21" spans="1:12" x14ac:dyDescent="0.25">
      <c r="A21" s="48" t="s">
        <v>58</v>
      </c>
      <c r="B21" s="49">
        <v>2759000</v>
      </c>
      <c r="C21" s="49">
        <v>2483000</v>
      </c>
      <c r="D21" s="49">
        <v>2570000</v>
      </c>
      <c r="E21" s="49">
        <v>2339000</v>
      </c>
      <c r="F21" s="49">
        <v>2074000</v>
      </c>
      <c r="G21" s="49">
        <v>2195000</v>
      </c>
      <c r="H21" s="49">
        <v>2986000</v>
      </c>
      <c r="I21" s="49">
        <v>2658000</v>
      </c>
      <c r="J21" s="49">
        <v>2385000</v>
      </c>
      <c r="K21" s="49">
        <v>2344000</v>
      </c>
      <c r="L21" s="48"/>
    </row>
    <row r="22" spans="1:12" x14ac:dyDescent="0.25">
      <c r="A22" s="48" t="s">
        <v>59</v>
      </c>
      <c r="B22" s="49">
        <v>8893000</v>
      </c>
      <c r="C22" s="49">
        <v>8818000</v>
      </c>
      <c r="D22" s="49">
        <v>8194000</v>
      </c>
      <c r="E22" s="49">
        <v>7176000</v>
      </c>
      <c r="F22" s="49">
        <v>5975000</v>
      </c>
      <c r="G22" s="49">
        <v>5398000</v>
      </c>
      <c r="H22" s="49">
        <v>5625000</v>
      </c>
      <c r="I22" s="49">
        <v>5485000</v>
      </c>
      <c r="J22" s="49">
        <v>5151000</v>
      </c>
      <c r="K22" s="49">
        <v>5490000</v>
      </c>
      <c r="L22" s="48"/>
    </row>
    <row r="23" spans="1:12" x14ac:dyDescent="0.25">
      <c r="A23" s="48" t="s">
        <v>148</v>
      </c>
      <c r="B23" s="49">
        <v>179000</v>
      </c>
      <c r="C23" s="49">
        <v>862000</v>
      </c>
      <c r="D23" s="49">
        <v>-1059000</v>
      </c>
      <c r="E23" s="49">
        <v>0</v>
      </c>
      <c r="F23" s="49">
        <v>-28000</v>
      </c>
      <c r="G23" s="49">
        <v>414000</v>
      </c>
      <c r="H23" s="49">
        <v>3135000</v>
      </c>
      <c r="I23" s="49">
        <v>1742000</v>
      </c>
      <c r="J23" s="49">
        <v>-226000</v>
      </c>
      <c r="K23" s="49">
        <v>1293000</v>
      </c>
      <c r="L23" s="48"/>
    </row>
    <row r="24" spans="1:12" x14ac:dyDescent="0.25">
      <c r="A24" s="48" t="s">
        <v>61</v>
      </c>
      <c r="B24" s="49">
        <v>11831000</v>
      </c>
      <c r="C24" s="49">
        <v>12163000</v>
      </c>
      <c r="D24" s="49">
        <v>9705000</v>
      </c>
      <c r="E24" s="49">
        <v>9515000</v>
      </c>
      <c r="F24" s="49">
        <v>8021000</v>
      </c>
      <c r="G24" s="49">
        <v>8007000</v>
      </c>
      <c r="H24" s="49">
        <v>11746000</v>
      </c>
      <c r="I24" s="49">
        <v>9885000</v>
      </c>
      <c r="J24" s="49">
        <v>7310000</v>
      </c>
      <c r="K24" s="49">
        <v>9127000</v>
      </c>
      <c r="L24" s="48"/>
    </row>
    <row r="25" spans="1:12" x14ac:dyDescent="0.25">
      <c r="A25" s="48" t="s">
        <v>62</v>
      </c>
      <c r="B25" s="49">
        <v>10071000</v>
      </c>
      <c r="C25" s="49">
        <v>7788000</v>
      </c>
      <c r="D25" s="49">
        <v>15860000</v>
      </c>
      <c r="E25" s="49">
        <v>9789000</v>
      </c>
      <c r="F25" s="49">
        <v>6255000</v>
      </c>
      <c r="G25" s="49">
        <v>7667000</v>
      </c>
      <c r="H25" s="49">
        <v>742000</v>
      </c>
      <c r="I25" s="49">
        <v>2614000</v>
      </c>
      <c r="J25" s="49">
        <v>6495000</v>
      </c>
      <c r="K25" s="49">
        <v>5776000</v>
      </c>
      <c r="L25" s="48"/>
    </row>
    <row r="26" spans="1:12" x14ac:dyDescent="0.25">
      <c r="A26" s="48" t="s">
        <v>63</v>
      </c>
      <c r="B26" s="49">
        <v>-22000</v>
      </c>
      <c r="C26" s="49">
        <v>-381000</v>
      </c>
      <c r="D26" s="49">
        <v>-399000</v>
      </c>
      <c r="E26" s="49">
        <v>-476000</v>
      </c>
      <c r="F26" s="49">
        <v>-446000</v>
      </c>
      <c r="G26" s="49">
        <v>-311000</v>
      </c>
      <c r="H26" s="49">
        <v>-143000</v>
      </c>
      <c r="I26" s="49">
        <v>125000</v>
      </c>
      <c r="J26" s="49">
        <v>314000</v>
      </c>
      <c r="K26" s="49">
        <v>423000</v>
      </c>
      <c r="L26" s="48"/>
    </row>
    <row r="27" spans="1:12" x14ac:dyDescent="0.25">
      <c r="A27" s="48" t="s">
        <v>149</v>
      </c>
      <c r="B27" s="49">
        <v>387000</v>
      </c>
      <c r="C27" s="49">
        <v>82000</v>
      </c>
      <c r="D27" s="49">
        <v>-287000</v>
      </c>
      <c r="E27" s="49">
        <v>883000</v>
      </c>
      <c r="F27" s="49">
        <v>314000</v>
      </c>
      <c r="G27" s="49">
        <v>342000</v>
      </c>
      <c r="H27" s="49">
        <v>97000</v>
      </c>
      <c r="I27" s="49">
        <v>562000</v>
      </c>
      <c r="J27" s="49">
        <v>280000</v>
      </c>
      <c r="K27" s="49">
        <v>520000</v>
      </c>
      <c r="L27" s="48"/>
    </row>
    <row r="28" spans="1:12" x14ac:dyDescent="0.25">
      <c r="A28" s="48" t="s">
        <v>170</v>
      </c>
      <c r="B28" s="50" t="s">
        <v>2</v>
      </c>
      <c r="C28" s="50" t="s">
        <v>2</v>
      </c>
      <c r="D28" s="49">
        <v>19000</v>
      </c>
      <c r="E28" s="49">
        <v>-32000</v>
      </c>
      <c r="F28" s="49">
        <v>-25000</v>
      </c>
      <c r="G28" s="49">
        <v>11000</v>
      </c>
      <c r="H28" s="49">
        <v>37000</v>
      </c>
      <c r="I28" s="49">
        <v>-30000</v>
      </c>
      <c r="J28" s="50" t="s">
        <v>2</v>
      </c>
      <c r="K28" s="50" t="s">
        <v>2</v>
      </c>
      <c r="L28" s="48"/>
    </row>
    <row r="29" spans="1:12" x14ac:dyDescent="0.25">
      <c r="A29" s="48" t="s">
        <v>64</v>
      </c>
      <c r="B29" s="49">
        <v>-100000</v>
      </c>
      <c r="C29" s="49">
        <v>-46000</v>
      </c>
      <c r="D29" s="49">
        <v>-188000</v>
      </c>
      <c r="E29" s="49">
        <v>97000</v>
      </c>
      <c r="F29" s="49">
        <v>-358000</v>
      </c>
      <c r="G29" s="49">
        <v>-135000</v>
      </c>
      <c r="H29" s="49">
        <v>-75000</v>
      </c>
      <c r="I29" s="49">
        <v>-177000</v>
      </c>
      <c r="J29" s="49">
        <v>-172000</v>
      </c>
      <c r="K29" s="49">
        <v>-200000</v>
      </c>
      <c r="L29" s="48"/>
    </row>
    <row r="30" spans="1:12" x14ac:dyDescent="0.25">
      <c r="A30" s="48" t="s">
        <v>65</v>
      </c>
      <c r="B30" s="49">
        <v>265000</v>
      </c>
      <c r="C30" s="49">
        <v>-345000</v>
      </c>
      <c r="D30" s="49">
        <v>-855000</v>
      </c>
      <c r="E30" s="49">
        <v>472000</v>
      </c>
      <c r="F30" s="49">
        <v>-515000</v>
      </c>
      <c r="G30" s="49">
        <v>-93000</v>
      </c>
      <c r="H30" s="49">
        <v>-84000</v>
      </c>
      <c r="I30" s="49">
        <v>480000</v>
      </c>
      <c r="J30" s="49">
        <v>422000</v>
      </c>
      <c r="K30" s="49">
        <v>743000</v>
      </c>
      <c r="L30" s="48"/>
    </row>
    <row r="31" spans="1:12" x14ac:dyDescent="0.25">
      <c r="A31" s="48" t="s">
        <v>66</v>
      </c>
      <c r="B31" s="49">
        <v>10336000</v>
      </c>
      <c r="C31" s="49">
        <v>7443000</v>
      </c>
      <c r="D31" s="49">
        <v>15005000</v>
      </c>
      <c r="E31" s="49">
        <v>10261000</v>
      </c>
      <c r="F31" s="49">
        <v>5740000</v>
      </c>
      <c r="G31" s="49">
        <v>7574000</v>
      </c>
      <c r="H31" s="49">
        <v>658000</v>
      </c>
      <c r="I31" s="49">
        <v>3094000</v>
      </c>
      <c r="J31" s="49">
        <v>6917000</v>
      </c>
      <c r="K31" s="49">
        <v>6519000</v>
      </c>
      <c r="L31" s="48"/>
    </row>
    <row r="32" spans="1:12" x14ac:dyDescent="0.25">
      <c r="A32" s="48" t="s">
        <v>150</v>
      </c>
      <c r="B32" s="49">
        <v>226000</v>
      </c>
      <c r="C32" s="49">
        <v>104000</v>
      </c>
      <c r="D32" s="49">
        <v>2012000</v>
      </c>
      <c r="E32" s="49">
        <v>1231000</v>
      </c>
      <c r="F32" s="49">
        <v>521000</v>
      </c>
      <c r="G32" s="49">
        <v>3095000</v>
      </c>
      <c r="H32" s="49">
        <v>5377000</v>
      </c>
      <c r="I32" s="49">
        <v>555000</v>
      </c>
      <c r="J32" s="49">
        <v>1131000</v>
      </c>
      <c r="K32" s="49">
        <v>1219000</v>
      </c>
      <c r="L32" s="48"/>
    </row>
    <row r="33" spans="1:12" x14ac:dyDescent="0.25">
      <c r="A33" s="48" t="s">
        <v>171</v>
      </c>
      <c r="B33" s="49">
        <v>10110000</v>
      </c>
      <c r="C33" s="50" t="s">
        <v>2</v>
      </c>
      <c r="D33" s="50" t="s">
        <v>2</v>
      </c>
      <c r="E33" s="50" t="s">
        <v>2</v>
      </c>
      <c r="F33" s="50" t="s">
        <v>2</v>
      </c>
      <c r="G33" s="50" t="s">
        <v>2</v>
      </c>
      <c r="H33" s="50" t="s">
        <v>2</v>
      </c>
      <c r="I33" s="50" t="s">
        <v>2</v>
      </c>
      <c r="J33" s="50" t="s">
        <v>2</v>
      </c>
      <c r="K33" s="50" t="s">
        <v>2</v>
      </c>
      <c r="L33" s="48"/>
    </row>
    <row r="34" spans="1:12" x14ac:dyDescent="0.25">
      <c r="A34" s="48" t="s">
        <v>151</v>
      </c>
      <c r="B34" s="50" t="s">
        <v>2</v>
      </c>
      <c r="C34" s="50" t="s">
        <v>2</v>
      </c>
      <c r="D34" s="49">
        <v>-7000</v>
      </c>
      <c r="E34" s="49">
        <v>13000</v>
      </c>
      <c r="F34" s="49">
        <v>-21000</v>
      </c>
      <c r="G34" s="49">
        <v>-93000</v>
      </c>
      <c r="H34" s="49">
        <v>-145000</v>
      </c>
      <c r="I34" s="49">
        <v>-74000</v>
      </c>
      <c r="J34" s="49">
        <v>-84000</v>
      </c>
      <c r="K34" s="49">
        <v>-32000</v>
      </c>
      <c r="L34" s="48"/>
    </row>
    <row r="35" spans="1:12" x14ac:dyDescent="0.25">
      <c r="A35" s="48" t="s">
        <v>67</v>
      </c>
      <c r="B35" s="49">
        <v>10142000</v>
      </c>
      <c r="C35" s="49">
        <v>7232000</v>
      </c>
      <c r="D35" s="49">
        <v>12936000</v>
      </c>
      <c r="E35" s="49">
        <v>9043000</v>
      </c>
      <c r="F35" s="49">
        <v>5198000</v>
      </c>
      <c r="G35" s="49">
        <v>4386000</v>
      </c>
      <c r="H35" s="49">
        <v>-4864000</v>
      </c>
      <c r="I35" s="49">
        <v>2466000</v>
      </c>
      <c r="J35" s="49">
        <v>5705000</v>
      </c>
      <c r="K35" s="49">
        <v>5271000</v>
      </c>
      <c r="L35" s="48"/>
    </row>
    <row r="36" spans="1:12" x14ac:dyDescent="0.25">
      <c r="A36" s="48" t="s">
        <v>68</v>
      </c>
      <c r="B36" s="49">
        <v>10142000</v>
      </c>
      <c r="C36" s="49">
        <v>7232000</v>
      </c>
      <c r="D36" s="49">
        <v>12936000</v>
      </c>
      <c r="E36" s="49">
        <v>9043000</v>
      </c>
      <c r="F36" s="49">
        <v>5198000</v>
      </c>
      <c r="G36" s="49">
        <v>4386000</v>
      </c>
      <c r="H36" s="49">
        <v>-4864000</v>
      </c>
      <c r="I36" s="49">
        <v>2466000</v>
      </c>
      <c r="J36" s="49">
        <v>5705000</v>
      </c>
      <c r="K36" s="49">
        <v>5271000</v>
      </c>
      <c r="L36" s="48"/>
    </row>
    <row r="37" spans="1:12" x14ac:dyDescent="0.25">
      <c r="A37" s="48" t="s">
        <v>69</v>
      </c>
      <c r="B37" s="49">
        <v>1116000</v>
      </c>
      <c r="C37" s="49">
        <v>1117000</v>
      </c>
      <c r="D37" s="49">
        <v>1123000</v>
      </c>
      <c r="E37" s="49">
        <v>1131000</v>
      </c>
      <c r="F37" s="49">
        <v>1135000</v>
      </c>
      <c r="G37" s="49">
        <v>1210000</v>
      </c>
      <c r="H37" s="49">
        <v>1463000</v>
      </c>
      <c r="I37" s="49">
        <v>1477000</v>
      </c>
      <c r="J37" s="49">
        <v>1484000</v>
      </c>
      <c r="K37" s="49">
        <v>1618000</v>
      </c>
      <c r="L37" s="48"/>
    </row>
    <row r="38" spans="1:12" x14ac:dyDescent="0.25">
      <c r="A38" s="48" t="s">
        <v>70</v>
      </c>
      <c r="B38" s="51">
        <v>9.09</v>
      </c>
      <c r="C38" s="51">
        <v>6.47</v>
      </c>
      <c r="D38" s="51">
        <v>11.52</v>
      </c>
      <c r="E38" s="51">
        <v>7.99</v>
      </c>
      <c r="F38" s="51">
        <v>4.58</v>
      </c>
      <c r="G38" s="51">
        <v>3.63</v>
      </c>
      <c r="H38" s="51">
        <v>-3.32</v>
      </c>
      <c r="I38" s="51">
        <v>1.67</v>
      </c>
      <c r="J38" s="51">
        <v>3.84</v>
      </c>
      <c r="K38" s="51">
        <v>3.26</v>
      </c>
      <c r="L38" s="48"/>
    </row>
    <row r="39" spans="1:12" x14ac:dyDescent="0.25">
      <c r="A39" s="48" t="s">
        <v>71</v>
      </c>
      <c r="B39" s="51">
        <v>9.06</v>
      </c>
      <c r="C39" s="51">
        <v>6.57</v>
      </c>
      <c r="D39" s="51">
        <v>11.56</v>
      </c>
      <c r="E39" s="51">
        <v>7.99</v>
      </c>
      <c r="F39" s="51">
        <v>4.58</v>
      </c>
      <c r="G39" s="51">
        <v>3.63</v>
      </c>
      <c r="H39" s="51">
        <v>-3.32</v>
      </c>
      <c r="I39" s="51">
        <v>1.67</v>
      </c>
      <c r="J39" s="51">
        <v>3.84</v>
      </c>
      <c r="K39" s="51">
        <v>3.26</v>
      </c>
      <c r="L39" s="48"/>
    </row>
    <row r="40" spans="1:12" x14ac:dyDescent="0.25">
      <c r="A40" s="48" t="s">
        <v>72</v>
      </c>
      <c r="B40" s="49">
        <v>1130000</v>
      </c>
      <c r="C40" s="49">
        <v>1126000</v>
      </c>
      <c r="D40" s="49">
        <v>1137000</v>
      </c>
      <c r="E40" s="49">
        <v>1149000</v>
      </c>
      <c r="F40" s="49">
        <v>1149000</v>
      </c>
      <c r="G40" s="49">
        <v>1220000</v>
      </c>
      <c r="H40" s="49">
        <v>1463000</v>
      </c>
      <c r="I40" s="49">
        <v>1490000</v>
      </c>
      <c r="J40" s="49">
        <v>1498000</v>
      </c>
      <c r="K40" s="49">
        <v>1639000</v>
      </c>
      <c r="L40" s="48"/>
    </row>
    <row r="41" spans="1:12" x14ac:dyDescent="0.25">
      <c r="A41" s="48" t="s">
        <v>73</v>
      </c>
      <c r="B41" s="51">
        <v>8.9700000000000006</v>
      </c>
      <c r="C41" s="51">
        <v>6.42</v>
      </c>
      <c r="D41" s="51">
        <v>11.37</v>
      </c>
      <c r="E41" s="51">
        <v>7.87</v>
      </c>
      <c r="F41" s="51">
        <v>4.5199999999999996</v>
      </c>
      <c r="G41" s="51">
        <v>3.59</v>
      </c>
      <c r="H41" s="51">
        <v>-3.32</v>
      </c>
      <c r="I41" s="51">
        <v>1.65</v>
      </c>
      <c r="J41" s="51">
        <v>3.81</v>
      </c>
      <c r="K41" s="51">
        <v>3.22</v>
      </c>
      <c r="L41" s="48"/>
    </row>
    <row r="42" spans="1:12" x14ac:dyDescent="0.25">
      <c r="A42" s="48" t="s">
        <v>74</v>
      </c>
      <c r="B42" s="51">
        <v>8.94</v>
      </c>
      <c r="C42" s="51">
        <v>6.52</v>
      </c>
      <c r="D42" s="51">
        <v>11.41</v>
      </c>
      <c r="E42" s="51">
        <v>7.87</v>
      </c>
      <c r="F42" s="51">
        <v>4.5199999999999996</v>
      </c>
      <c r="G42" s="51">
        <v>3.59</v>
      </c>
      <c r="H42" s="51">
        <v>-3.32</v>
      </c>
      <c r="I42" s="51">
        <v>1.65</v>
      </c>
      <c r="J42" s="51">
        <v>3.81</v>
      </c>
      <c r="K42" s="51">
        <v>3.22</v>
      </c>
      <c r="L42" s="48"/>
    </row>
    <row r="43" spans="1:12" x14ac:dyDescent="0.25">
      <c r="A43" s="48" t="s">
        <v>75</v>
      </c>
      <c r="B43" s="49">
        <v>1113000</v>
      </c>
      <c r="C43" s="49">
        <v>1114000</v>
      </c>
      <c r="D43" s="49">
        <v>1121000</v>
      </c>
      <c r="E43" s="49">
        <v>1125000</v>
      </c>
      <c r="F43" s="49">
        <v>1131000</v>
      </c>
      <c r="G43" s="49">
        <v>1145000</v>
      </c>
      <c r="H43" s="49">
        <v>1219000</v>
      </c>
      <c r="I43" s="49">
        <v>1474000</v>
      </c>
      <c r="J43" s="49">
        <v>1476000</v>
      </c>
      <c r="K43" s="49">
        <v>1524000</v>
      </c>
      <c r="L43" s="4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7AC9-509E-40F3-A392-07C70D0409BA}">
  <dimension ref="A4:L42"/>
  <sheetViews>
    <sheetView workbookViewId="0">
      <selection activeCell="C33" sqref="C33"/>
    </sheetView>
  </sheetViews>
  <sheetFormatPr defaultRowHeight="15" x14ac:dyDescent="0.25"/>
  <cols>
    <col min="1" max="1" width="50" customWidth="1"/>
    <col min="2" max="191" width="12" customWidth="1"/>
  </cols>
  <sheetData>
    <row r="4" spans="1:12" x14ac:dyDescent="0.25">
      <c r="A4" s="34" t="s">
        <v>52</v>
      </c>
    </row>
    <row r="5" spans="1:12" ht="20.25" x14ac:dyDescent="0.3">
      <c r="A5" s="35" t="s">
        <v>172</v>
      </c>
    </row>
    <row r="7" spans="1:12" ht="30" x14ac:dyDescent="0.25">
      <c r="A7" s="36" t="s">
        <v>129</v>
      </c>
    </row>
    <row r="10" spans="1:12" x14ac:dyDescent="0.25">
      <c r="A10" s="37" t="s">
        <v>53</v>
      </c>
    </row>
    <row r="11" spans="1:12" x14ac:dyDescent="0.25">
      <c r="A11" s="38" t="s">
        <v>49</v>
      </c>
      <c r="B11" s="39" t="s">
        <v>130</v>
      </c>
      <c r="C11" s="39" t="s">
        <v>131</v>
      </c>
      <c r="D11" s="39" t="s">
        <v>132</v>
      </c>
      <c r="E11" s="39" t="s">
        <v>133</v>
      </c>
      <c r="F11" s="39" t="s">
        <v>134</v>
      </c>
      <c r="G11" s="39" t="s">
        <v>135</v>
      </c>
      <c r="H11" s="39" t="s">
        <v>136</v>
      </c>
      <c r="I11" s="39" t="s">
        <v>137</v>
      </c>
      <c r="J11" s="39" t="s">
        <v>138</v>
      </c>
      <c r="K11" s="39" t="s">
        <v>139</v>
      </c>
      <c r="L11" s="38"/>
    </row>
    <row r="12" spans="1:12" x14ac:dyDescent="0.25">
      <c r="A12" s="38" t="s">
        <v>38</v>
      </c>
      <c r="B12" s="39" t="s">
        <v>37</v>
      </c>
      <c r="C12" s="39" t="s">
        <v>37</v>
      </c>
      <c r="D12" s="39" t="s">
        <v>37</v>
      </c>
      <c r="E12" s="39" t="s">
        <v>37</v>
      </c>
      <c r="F12" s="39" t="s">
        <v>37</v>
      </c>
      <c r="G12" s="39" t="s">
        <v>37</v>
      </c>
      <c r="H12" s="39" t="s">
        <v>37</v>
      </c>
      <c r="I12" s="39" t="s">
        <v>37</v>
      </c>
      <c r="J12" s="39" t="s">
        <v>37</v>
      </c>
      <c r="K12" s="39" t="s">
        <v>37</v>
      </c>
      <c r="L12" s="38"/>
    </row>
    <row r="13" spans="1:12" ht="25.5" x14ac:dyDescent="0.25">
      <c r="A13" s="38" t="s">
        <v>36</v>
      </c>
      <c r="B13" s="39" t="s">
        <v>35</v>
      </c>
      <c r="C13" s="39" t="s">
        <v>35</v>
      </c>
      <c r="D13" s="39" t="s">
        <v>35</v>
      </c>
      <c r="E13" s="39" t="s">
        <v>35</v>
      </c>
      <c r="F13" s="39" t="s">
        <v>35</v>
      </c>
      <c r="G13" s="39" t="s">
        <v>35</v>
      </c>
      <c r="H13" s="39" t="s">
        <v>35</v>
      </c>
      <c r="I13" s="39" t="s">
        <v>35</v>
      </c>
      <c r="J13" s="39" t="s">
        <v>35</v>
      </c>
      <c r="K13" s="39" t="s">
        <v>35</v>
      </c>
      <c r="L13" s="38"/>
    </row>
    <row r="14" spans="1:12" x14ac:dyDescent="0.25">
      <c r="A14" s="38" t="s">
        <v>34</v>
      </c>
      <c r="B14" s="39" t="s">
        <v>33</v>
      </c>
      <c r="C14" s="39" t="s">
        <v>33</v>
      </c>
      <c r="D14" s="39" t="s">
        <v>33</v>
      </c>
      <c r="E14" s="39" t="s">
        <v>33</v>
      </c>
      <c r="F14" s="39" t="s">
        <v>33</v>
      </c>
      <c r="G14" s="39" t="s">
        <v>33</v>
      </c>
      <c r="H14" s="39" t="s">
        <v>33</v>
      </c>
      <c r="I14" s="39" t="s">
        <v>33</v>
      </c>
      <c r="J14" s="39" t="s">
        <v>33</v>
      </c>
      <c r="K14" s="39" t="s">
        <v>33</v>
      </c>
      <c r="L14" s="38"/>
    </row>
    <row r="15" spans="1:12" x14ac:dyDescent="0.25">
      <c r="A15" s="38" t="s">
        <v>32</v>
      </c>
      <c r="B15" s="39" t="s">
        <v>173</v>
      </c>
      <c r="C15" s="39" t="s">
        <v>173</v>
      </c>
      <c r="D15" s="39" t="s">
        <v>173</v>
      </c>
      <c r="E15" s="39" t="s">
        <v>173</v>
      </c>
      <c r="F15" s="39" t="s">
        <v>173</v>
      </c>
      <c r="G15" s="39" t="s">
        <v>173</v>
      </c>
      <c r="H15" s="39" t="s">
        <v>173</v>
      </c>
      <c r="I15" s="39" t="s">
        <v>173</v>
      </c>
      <c r="J15" s="39" t="s">
        <v>173</v>
      </c>
      <c r="K15" s="39" t="s">
        <v>173</v>
      </c>
      <c r="L15" s="38"/>
    </row>
    <row r="16" spans="1:12" x14ac:dyDescent="0.25">
      <c r="A16" s="1" t="s">
        <v>54</v>
      </c>
      <c r="B16" s="2">
        <v>54228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1"/>
    </row>
    <row r="17" spans="1:12" x14ac:dyDescent="0.25">
      <c r="A17" s="1" t="s">
        <v>55</v>
      </c>
      <c r="B17" s="2">
        <v>54228</v>
      </c>
      <c r="C17" s="2">
        <v>63054</v>
      </c>
      <c r="D17" s="2">
        <v>79024</v>
      </c>
      <c r="E17" s="2">
        <v>77867</v>
      </c>
      <c r="F17" s="2">
        <v>71965</v>
      </c>
      <c r="G17" s="2">
        <v>70848</v>
      </c>
      <c r="H17" s="2">
        <v>62761</v>
      </c>
      <c r="I17" s="2">
        <v>59387</v>
      </c>
      <c r="J17" s="2">
        <v>55355</v>
      </c>
      <c r="K17" s="2">
        <v>55870</v>
      </c>
      <c r="L17" s="1"/>
    </row>
    <row r="18" spans="1:12" x14ac:dyDescent="0.25">
      <c r="A18" s="1" t="s">
        <v>56</v>
      </c>
      <c r="B18" s="2">
        <v>32517</v>
      </c>
      <c r="C18" s="2">
        <v>36188</v>
      </c>
      <c r="D18" s="2">
        <v>35209</v>
      </c>
      <c r="E18" s="2">
        <v>34255</v>
      </c>
      <c r="F18" s="2">
        <v>29825</v>
      </c>
      <c r="G18" s="2">
        <v>27111</v>
      </c>
      <c r="H18" s="2">
        <v>23692</v>
      </c>
      <c r="I18" s="2">
        <v>23196</v>
      </c>
      <c r="J18" s="2">
        <v>20676</v>
      </c>
      <c r="K18" s="2">
        <v>20261</v>
      </c>
      <c r="L18" s="1"/>
    </row>
    <row r="19" spans="1:12" x14ac:dyDescent="0.25">
      <c r="A19" s="1" t="s">
        <v>57</v>
      </c>
      <c r="B19" s="2">
        <v>21711</v>
      </c>
      <c r="C19" s="2">
        <v>26866</v>
      </c>
      <c r="D19" s="2">
        <v>43815</v>
      </c>
      <c r="E19" s="2">
        <v>43612</v>
      </c>
      <c r="F19" s="2">
        <v>42140</v>
      </c>
      <c r="G19" s="2">
        <v>43737</v>
      </c>
      <c r="H19" s="2">
        <v>39069</v>
      </c>
      <c r="I19" s="2">
        <v>36191</v>
      </c>
      <c r="J19" s="2">
        <v>34679</v>
      </c>
      <c r="K19" s="2">
        <v>35609</v>
      </c>
      <c r="L19" s="1"/>
    </row>
    <row r="20" spans="1:12" x14ac:dyDescent="0.25">
      <c r="A20" s="1" t="s">
        <v>58</v>
      </c>
      <c r="B20" s="2">
        <v>5634</v>
      </c>
      <c r="C20" s="2">
        <v>7002</v>
      </c>
      <c r="D20" s="2">
        <v>6543</v>
      </c>
      <c r="E20" s="2">
        <v>6180</v>
      </c>
      <c r="F20" s="2">
        <v>6150</v>
      </c>
      <c r="G20" s="2">
        <v>6750</v>
      </c>
      <c r="H20" s="2">
        <v>7474</v>
      </c>
      <c r="I20" s="2">
        <v>8397</v>
      </c>
      <c r="J20" s="2">
        <v>7930</v>
      </c>
      <c r="K20" s="2">
        <v>8136</v>
      </c>
      <c r="L20" s="1"/>
    </row>
    <row r="21" spans="1:12" x14ac:dyDescent="0.25">
      <c r="A21" s="1" t="s">
        <v>147</v>
      </c>
      <c r="B21" s="3">
        <v>0</v>
      </c>
      <c r="C21" s="3">
        <v>0</v>
      </c>
      <c r="D21" s="3">
        <v>0</v>
      </c>
      <c r="E21" s="3">
        <v>0</v>
      </c>
      <c r="F21" s="2">
        <v>200</v>
      </c>
      <c r="G21" s="2">
        <v>200</v>
      </c>
      <c r="H21" s="2">
        <v>177</v>
      </c>
      <c r="I21" s="2">
        <v>294</v>
      </c>
      <c r="J21" s="2">
        <v>265</v>
      </c>
      <c r="K21" s="2">
        <v>294</v>
      </c>
      <c r="L21" s="1"/>
    </row>
    <row r="22" spans="1:12" x14ac:dyDescent="0.25">
      <c r="A22" s="1" t="s">
        <v>59</v>
      </c>
      <c r="B22" s="2">
        <v>16046</v>
      </c>
      <c r="C22" s="2">
        <v>17528</v>
      </c>
      <c r="D22" s="2">
        <v>15190</v>
      </c>
      <c r="E22" s="2">
        <v>13556</v>
      </c>
      <c r="F22" s="2">
        <v>13362</v>
      </c>
      <c r="G22" s="2">
        <v>13543</v>
      </c>
      <c r="H22" s="2">
        <v>13098</v>
      </c>
      <c r="I22" s="2">
        <v>12740</v>
      </c>
      <c r="J22" s="2">
        <v>12128</v>
      </c>
      <c r="K22" s="2">
        <v>11537</v>
      </c>
      <c r="L22" s="1"/>
    </row>
    <row r="23" spans="1:12" x14ac:dyDescent="0.25">
      <c r="A23" s="1" t="s">
        <v>60</v>
      </c>
      <c r="B23" s="2">
        <v>267</v>
      </c>
      <c r="C23" s="2">
        <v>2</v>
      </c>
      <c r="D23" s="2">
        <v>2626</v>
      </c>
      <c r="E23" s="2">
        <v>198</v>
      </c>
      <c r="F23" s="2">
        <v>393</v>
      </c>
      <c r="G23" s="2">
        <v>-72</v>
      </c>
      <c r="H23" s="2">
        <v>384</v>
      </c>
      <c r="I23" s="2">
        <v>1886</v>
      </c>
      <c r="J23" s="2">
        <v>354</v>
      </c>
      <c r="K23" s="2">
        <v>295</v>
      </c>
      <c r="L23" s="1"/>
    </row>
    <row r="24" spans="1:12" x14ac:dyDescent="0.25">
      <c r="A24" s="1" t="s">
        <v>148</v>
      </c>
      <c r="B24" s="2">
        <v>-329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1"/>
    </row>
    <row r="25" spans="1:12" x14ac:dyDescent="0.25">
      <c r="A25" s="1" t="s">
        <v>61</v>
      </c>
      <c r="B25" s="2">
        <v>21618</v>
      </c>
      <c r="C25" s="2">
        <v>24532</v>
      </c>
      <c r="D25" s="2">
        <v>24359</v>
      </c>
      <c r="E25" s="2">
        <v>19934</v>
      </c>
      <c r="F25" s="2">
        <v>20105</v>
      </c>
      <c r="G25" s="2">
        <v>20421</v>
      </c>
      <c r="H25" s="2">
        <v>21133</v>
      </c>
      <c r="I25" s="2">
        <v>23317</v>
      </c>
      <c r="J25" s="2">
        <v>20677</v>
      </c>
      <c r="K25" s="2">
        <v>20262</v>
      </c>
      <c r="L25" s="1"/>
    </row>
    <row r="26" spans="1:12" x14ac:dyDescent="0.25">
      <c r="A26" s="1" t="s">
        <v>62</v>
      </c>
      <c r="B26" s="2">
        <v>93</v>
      </c>
      <c r="C26" s="2">
        <v>2334</v>
      </c>
      <c r="D26" s="2">
        <v>19456</v>
      </c>
      <c r="E26" s="2">
        <v>23678</v>
      </c>
      <c r="F26" s="2">
        <v>22035</v>
      </c>
      <c r="G26" s="2">
        <v>23316</v>
      </c>
      <c r="H26" s="2">
        <v>17936</v>
      </c>
      <c r="I26" s="2">
        <v>12874</v>
      </c>
      <c r="J26" s="2">
        <v>14002</v>
      </c>
      <c r="K26" s="2">
        <v>15347</v>
      </c>
      <c r="L26" s="1"/>
    </row>
    <row r="27" spans="1:12" x14ac:dyDescent="0.25">
      <c r="A27" s="1" t="s">
        <v>63</v>
      </c>
      <c r="B27" s="2">
        <v>629</v>
      </c>
      <c r="C27" s="2">
        <v>1166</v>
      </c>
      <c r="D27" s="2">
        <v>-482</v>
      </c>
      <c r="E27" s="2">
        <v>-504</v>
      </c>
      <c r="F27" s="2">
        <v>484</v>
      </c>
      <c r="G27" s="2">
        <v>126</v>
      </c>
      <c r="H27" s="2">
        <v>-235</v>
      </c>
      <c r="I27" s="2">
        <v>-444</v>
      </c>
      <c r="J27" s="2">
        <v>-105</v>
      </c>
      <c r="K27" s="2">
        <v>43</v>
      </c>
      <c r="L27" s="1"/>
    </row>
    <row r="28" spans="1:12" x14ac:dyDescent="0.25">
      <c r="A28" s="1" t="s">
        <v>149</v>
      </c>
      <c r="B28" s="2">
        <v>-19</v>
      </c>
      <c r="C28" s="2">
        <v>4268</v>
      </c>
      <c r="D28" s="2">
        <v>2729</v>
      </c>
      <c r="E28" s="2">
        <v>1904</v>
      </c>
      <c r="F28" s="2">
        <v>1539</v>
      </c>
      <c r="G28" s="2">
        <v>-125</v>
      </c>
      <c r="H28" s="2">
        <v>2815</v>
      </c>
      <c r="I28" s="2">
        <v>470</v>
      </c>
      <c r="J28" s="2">
        <v>358</v>
      </c>
      <c r="K28" s="2">
        <v>423</v>
      </c>
      <c r="L28" s="1"/>
    </row>
    <row r="29" spans="1:12" x14ac:dyDescent="0.25">
      <c r="A29" s="1" t="s">
        <v>64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68</v>
      </c>
      <c r="I29" s="2">
        <v>74</v>
      </c>
      <c r="J29" s="2">
        <v>52</v>
      </c>
      <c r="K29" s="2">
        <v>57</v>
      </c>
      <c r="L29" s="1"/>
    </row>
    <row r="30" spans="1:12" x14ac:dyDescent="0.25">
      <c r="A30" s="1" t="s">
        <v>65</v>
      </c>
      <c r="B30" s="2">
        <v>610</v>
      </c>
      <c r="C30" s="2">
        <v>5434</v>
      </c>
      <c r="D30" s="2">
        <v>2247</v>
      </c>
      <c r="E30" s="2">
        <v>1400</v>
      </c>
      <c r="F30" s="2">
        <v>2023</v>
      </c>
      <c r="G30" s="2">
        <v>1</v>
      </c>
      <c r="H30" s="2">
        <v>2648</v>
      </c>
      <c r="I30" s="2">
        <v>100</v>
      </c>
      <c r="J30" s="2">
        <v>305</v>
      </c>
      <c r="K30" s="2">
        <v>523</v>
      </c>
      <c r="L30" s="1"/>
    </row>
    <row r="31" spans="1:12" x14ac:dyDescent="0.25">
      <c r="A31" s="1" t="s">
        <v>66</v>
      </c>
      <c r="B31" s="2">
        <v>703</v>
      </c>
      <c r="C31" s="2">
        <v>7768</v>
      </c>
      <c r="D31" s="2">
        <v>21703</v>
      </c>
      <c r="E31" s="2">
        <v>25078</v>
      </c>
      <c r="F31" s="2">
        <v>24058</v>
      </c>
      <c r="G31" s="2">
        <v>23317</v>
      </c>
      <c r="H31" s="2">
        <v>20584</v>
      </c>
      <c r="I31" s="2">
        <v>12974</v>
      </c>
      <c r="J31" s="2">
        <v>14307</v>
      </c>
      <c r="K31" s="2">
        <v>15870</v>
      </c>
      <c r="L31" s="1"/>
    </row>
    <row r="32" spans="1:12" x14ac:dyDescent="0.25">
      <c r="A32" s="1" t="s">
        <v>150</v>
      </c>
      <c r="B32" s="2">
        <v>-913</v>
      </c>
      <c r="C32" s="2">
        <v>-249</v>
      </c>
      <c r="D32" s="2">
        <v>1835</v>
      </c>
      <c r="E32" s="2">
        <v>4179</v>
      </c>
      <c r="F32" s="2">
        <v>3010</v>
      </c>
      <c r="G32" s="2">
        <v>2264</v>
      </c>
      <c r="H32" s="2">
        <v>10751</v>
      </c>
      <c r="I32" s="2">
        <v>2620</v>
      </c>
      <c r="J32" s="2">
        <v>2792</v>
      </c>
      <c r="K32" s="2">
        <v>4097</v>
      </c>
      <c r="L32" s="1"/>
    </row>
    <row r="33" spans="1:12" x14ac:dyDescent="0.25">
      <c r="A33" s="1" t="s">
        <v>151</v>
      </c>
      <c r="B33" s="2">
        <v>59</v>
      </c>
      <c r="C33" s="3" t="s">
        <v>2</v>
      </c>
      <c r="D33" s="3" t="s">
        <v>2</v>
      </c>
      <c r="E33" s="3" t="s">
        <v>2</v>
      </c>
      <c r="F33" s="3" t="s">
        <v>2</v>
      </c>
      <c r="G33" s="3" t="s">
        <v>2</v>
      </c>
      <c r="H33" s="2">
        <v>-232</v>
      </c>
      <c r="I33" s="2">
        <v>-38</v>
      </c>
      <c r="J33" s="2">
        <v>-95</v>
      </c>
      <c r="K33" s="2">
        <v>-69</v>
      </c>
      <c r="L33" s="1"/>
    </row>
    <row r="34" spans="1:12" x14ac:dyDescent="0.25">
      <c r="A34" s="1" t="s">
        <v>67</v>
      </c>
      <c r="B34" s="2">
        <v>1689</v>
      </c>
      <c r="C34" s="2">
        <v>8014</v>
      </c>
      <c r="D34" s="2">
        <v>19868</v>
      </c>
      <c r="E34" s="2">
        <v>20899</v>
      </c>
      <c r="F34" s="2">
        <v>21048</v>
      </c>
      <c r="G34" s="2">
        <v>21053</v>
      </c>
      <c r="H34" s="2">
        <v>9601</v>
      </c>
      <c r="I34" s="2">
        <v>10316</v>
      </c>
      <c r="J34" s="2">
        <v>11420</v>
      </c>
      <c r="K34" s="2">
        <v>11704</v>
      </c>
      <c r="L34" s="1"/>
    </row>
    <row r="35" spans="1:12" x14ac:dyDescent="0.25">
      <c r="A35" s="1" t="s">
        <v>68</v>
      </c>
      <c r="B35" s="2">
        <v>1689</v>
      </c>
      <c r="C35" s="2">
        <v>8014</v>
      </c>
      <c r="D35" s="2">
        <v>19868</v>
      </c>
      <c r="E35" s="2">
        <v>20899</v>
      </c>
      <c r="F35" s="2">
        <v>21048</v>
      </c>
      <c r="G35" s="2">
        <v>21053</v>
      </c>
      <c r="H35" s="2">
        <v>9601</v>
      </c>
      <c r="I35" s="2">
        <v>10316</v>
      </c>
      <c r="J35" s="2">
        <v>11420</v>
      </c>
      <c r="K35" s="2">
        <v>11704</v>
      </c>
      <c r="L35" s="1"/>
    </row>
    <row r="36" spans="1:12" x14ac:dyDescent="0.25">
      <c r="A36" s="1" t="s">
        <v>69</v>
      </c>
      <c r="B36" s="2">
        <v>4190</v>
      </c>
      <c r="C36" s="2">
        <v>4108</v>
      </c>
      <c r="D36" s="2">
        <v>4059</v>
      </c>
      <c r="E36" s="2">
        <v>4199</v>
      </c>
      <c r="F36" s="2">
        <v>4417</v>
      </c>
      <c r="G36" s="2">
        <v>4611</v>
      </c>
      <c r="H36" s="2">
        <v>4701</v>
      </c>
      <c r="I36" s="2">
        <v>4730</v>
      </c>
      <c r="J36" s="2">
        <v>4742</v>
      </c>
      <c r="K36" s="2">
        <v>4901</v>
      </c>
      <c r="L36" s="1"/>
    </row>
    <row r="37" spans="1:12" x14ac:dyDescent="0.25">
      <c r="A37" s="1" t="s">
        <v>70</v>
      </c>
      <c r="B37" s="40">
        <v>0.4</v>
      </c>
      <c r="C37" s="15">
        <v>1.95</v>
      </c>
      <c r="D37" s="15">
        <v>4.8899999999999997</v>
      </c>
      <c r="E37" s="15">
        <v>4.9800000000000004</v>
      </c>
      <c r="F37" s="15">
        <v>4.7699999999999996</v>
      </c>
      <c r="G37" s="15">
        <v>4.57</v>
      </c>
      <c r="H37" s="15">
        <v>2.04</v>
      </c>
      <c r="I37" s="15">
        <v>2.1800000000000002</v>
      </c>
      <c r="J37" s="15">
        <v>2.41</v>
      </c>
      <c r="K37" s="15">
        <v>2.39</v>
      </c>
      <c r="L37" s="1"/>
    </row>
    <row r="38" spans="1:12" x14ac:dyDescent="0.25">
      <c r="A38" s="1" t="s">
        <v>71</v>
      </c>
      <c r="B38" s="40">
        <v>0.4</v>
      </c>
      <c r="C38" s="15">
        <v>1.95</v>
      </c>
      <c r="D38" s="15">
        <v>4.8899999999999997</v>
      </c>
      <c r="E38" s="15">
        <v>4.9800000000000004</v>
      </c>
      <c r="F38" s="15">
        <v>4.7699999999999996</v>
      </c>
      <c r="G38" s="15">
        <v>4.57</v>
      </c>
      <c r="H38" s="15">
        <v>2.04</v>
      </c>
      <c r="I38" s="15">
        <v>2.1800000000000002</v>
      </c>
      <c r="J38" s="15">
        <v>2.41</v>
      </c>
      <c r="K38" s="15">
        <v>2.39</v>
      </c>
      <c r="L38" s="1"/>
    </row>
    <row r="39" spans="1:12" x14ac:dyDescent="0.25">
      <c r="A39" s="1" t="s">
        <v>72</v>
      </c>
      <c r="B39" s="2">
        <v>4212</v>
      </c>
      <c r="C39" s="2">
        <v>4123</v>
      </c>
      <c r="D39" s="2">
        <v>4090</v>
      </c>
      <c r="E39" s="2">
        <v>4232</v>
      </c>
      <c r="F39" s="2">
        <v>4473</v>
      </c>
      <c r="G39" s="2">
        <v>4701</v>
      </c>
      <c r="H39" s="2">
        <v>4835</v>
      </c>
      <c r="I39" s="2">
        <v>4875</v>
      </c>
      <c r="J39" s="2">
        <v>4894</v>
      </c>
      <c r="K39" s="2">
        <v>5056</v>
      </c>
      <c r="L39" s="1"/>
    </row>
    <row r="40" spans="1:12" x14ac:dyDescent="0.25">
      <c r="A40" s="1" t="s">
        <v>73</v>
      </c>
      <c r="B40" s="40">
        <v>0.4</v>
      </c>
      <c r="C40" s="15">
        <v>1.94</v>
      </c>
      <c r="D40" s="15">
        <v>4.8600000000000003</v>
      </c>
      <c r="E40" s="15">
        <v>4.9400000000000004</v>
      </c>
      <c r="F40" s="15">
        <v>4.71</v>
      </c>
      <c r="G40" s="15">
        <v>4.4800000000000004</v>
      </c>
      <c r="H40" s="15">
        <v>1.99</v>
      </c>
      <c r="I40" s="15">
        <v>2.12</v>
      </c>
      <c r="J40" s="15">
        <v>2.33</v>
      </c>
      <c r="K40" s="15">
        <v>2.31</v>
      </c>
      <c r="L40" s="1"/>
    </row>
    <row r="41" spans="1:12" x14ac:dyDescent="0.25">
      <c r="A41" s="1" t="s">
        <v>74</v>
      </c>
      <c r="B41" s="40">
        <v>0.4</v>
      </c>
      <c r="C41" s="15">
        <v>1.94</v>
      </c>
      <c r="D41" s="15">
        <v>4.8600000000000003</v>
      </c>
      <c r="E41" s="15">
        <v>4.9400000000000004</v>
      </c>
      <c r="F41" s="15">
        <v>4.71</v>
      </c>
      <c r="G41" s="15">
        <v>4.4800000000000004</v>
      </c>
      <c r="H41" s="15">
        <v>1.99</v>
      </c>
      <c r="I41" s="15">
        <v>2.12</v>
      </c>
      <c r="J41" s="15">
        <v>2.33</v>
      </c>
      <c r="K41" s="15">
        <v>2.31</v>
      </c>
      <c r="L41" s="1"/>
    </row>
    <row r="42" spans="1:12" x14ac:dyDescent="0.25">
      <c r="A42" s="1" t="s">
        <v>75</v>
      </c>
      <c r="B42" s="2">
        <v>4228</v>
      </c>
      <c r="C42" s="2">
        <v>4137</v>
      </c>
      <c r="D42" s="2">
        <v>4070</v>
      </c>
      <c r="E42" s="2">
        <v>4062</v>
      </c>
      <c r="F42" s="2">
        <v>4290</v>
      </c>
      <c r="G42" s="2">
        <v>4516</v>
      </c>
      <c r="H42" s="2">
        <v>4687</v>
      </c>
      <c r="I42" s="2">
        <v>4730</v>
      </c>
      <c r="J42" s="2">
        <v>4725</v>
      </c>
      <c r="K42" s="2">
        <v>4748</v>
      </c>
      <c r="L42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37B5-5CCB-4664-8769-B7149F61BF77}">
  <dimension ref="A1:J13"/>
  <sheetViews>
    <sheetView workbookViewId="0">
      <selection activeCell="D14" sqref="D14"/>
    </sheetView>
  </sheetViews>
  <sheetFormatPr defaultRowHeight="15" x14ac:dyDescent="0.25"/>
  <cols>
    <col min="1" max="1" width="20.85546875" bestFit="1" customWidth="1"/>
    <col min="2" max="10" width="12.7109375" bestFit="1" customWidth="1"/>
  </cols>
  <sheetData>
    <row r="1" spans="1:10" x14ac:dyDescent="0.25">
      <c r="A1" s="53" t="s">
        <v>174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</row>
    <row r="2" spans="1:10" x14ac:dyDescent="0.25">
      <c r="A2" s="53" t="s">
        <v>108</v>
      </c>
      <c r="B2">
        <v>4681507</v>
      </c>
      <c r="C2">
        <v>5010000</v>
      </c>
      <c r="D2">
        <v>6910000</v>
      </c>
      <c r="E2">
        <v>9714000</v>
      </c>
      <c r="F2">
        <v>11716000</v>
      </c>
      <c r="G2">
        <v>10918000</v>
      </c>
      <c r="H2">
        <v>16675000</v>
      </c>
      <c r="I2">
        <v>26914000</v>
      </c>
      <c r="J2">
        <v>26974000</v>
      </c>
    </row>
    <row r="3" spans="1:10" x14ac:dyDescent="0.25">
      <c r="A3" s="53" t="s">
        <v>175</v>
      </c>
      <c r="B3">
        <v>758989</v>
      </c>
      <c r="C3">
        <v>747000</v>
      </c>
      <c r="D3">
        <v>1934000</v>
      </c>
      <c r="E3">
        <v>3210000</v>
      </c>
      <c r="F3">
        <v>3804000</v>
      </c>
      <c r="G3">
        <v>2846000</v>
      </c>
      <c r="H3">
        <v>4532000</v>
      </c>
      <c r="I3">
        <v>10041000</v>
      </c>
      <c r="J3">
        <v>4224000</v>
      </c>
    </row>
    <row r="4" spans="1:10" x14ac:dyDescent="0.25">
      <c r="A4" s="53" t="s">
        <v>67</v>
      </c>
      <c r="B4">
        <v>630587</v>
      </c>
      <c r="C4">
        <v>614000</v>
      </c>
      <c r="D4">
        <v>1666000</v>
      </c>
      <c r="E4">
        <v>3047000</v>
      </c>
      <c r="F4">
        <v>4141000</v>
      </c>
      <c r="G4">
        <v>2796000</v>
      </c>
      <c r="H4">
        <v>4332000</v>
      </c>
      <c r="I4">
        <v>9752000</v>
      </c>
      <c r="J4">
        <v>4368000</v>
      </c>
    </row>
    <row r="5" spans="1:10" x14ac:dyDescent="0.25">
      <c r="A5" s="53" t="s">
        <v>176</v>
      </c>
      <c r="B5">
        <v>-122381</v>
      </c>
      <c r="C5">
        <v>-86000</v>
      </c>
      <c r="D5">
        <v>-176000</v>
      </c>
      <c r="E5">
        <v>-593000</v>
      </c>
      <c r="F5">
        <v>-600000</v>
      </c>
      <c r="G5">
        <v>-489000</v>
      </c>
      <c r="H5">
        <v>-1128000</v>
      </c>
      <c r="I5">
        <v>-976000</v>
      </c>
      <c r="J5">
        <v>-1833000</v>
      </c>
    </row>
    <row r="6" spans="1:10" x14ac:dyDescent="0.25">
      <c r="A6" s="53" t="s">
        <v>177</v>
      </c>
      <c r="B6">
        <v>248092</v>
      </c>
      <c r="C6">
        <v>226000</v>
      </c>
      <c r="D6">
        <v>212000</v>
      </c>
      <c r="E6">
        <v>202000</v>
      </c>
      <c r="F6">
        <v>262000</v>
      </c>
      <c r="G6">
        <v>381000</v>
      </c>
      <c r="H6">
        <v>1098000</v>
      </c>
      <c r="I6">
        <v>1174000</v>
      </c>
      <c r="J6">
        <v>1544000</v>
      </c>
    </row>
    <row r="7" spans="1:10" x14ac:dyDescent="0.25">
      <c r="A7" s="53" t="s">
        <v>178</v>
      </c>
      <c r="B7">
        <v>-202527</v>
      </c>
      <c r="C7">
        <v>-51000</v>
      </c>
      <c r="D7">
        <v>-679000</v>
      </c>
      <c r="E7">
        <v>185000</v>
      </c>
      <c r="F7">
        <v>-857000</v>
      </c>
      <c r="G7">
        <v>717000</v>
      </c>
      <c r="H7">
        <v>-703000</v>
      </c>
      <c r="I7">
        <v>-3363000</v>
      </c>
      <c r="J7">
        <v>-2207000</v>
      </c>
    </row>
    <row r="8" spans="1:10" x14ac:dyDescent="0.25">
      <c r="A8" s="53" t="s">
        <v>179</v>
      </c>
      <c r="B8">
        <v>1</v>
      </c>
      <c r="C8">
        <v>7.0168217200145169E-2</v>
      </c>
      <c r="D8">
        <v>0.37924151696606778</v>
      </c>
      <c r="E8">
        <v>0.4057887120115774</v>
      </c>
      <c r="F8">
        <v>0.20609429689108499</v>
      </c>
      <c r="G8">
        <v>-6.8111983612154314E-2</v>
      </c>
      <c r="H8">
        <v>0.52729437625938813</v>
      </c>
      <c r="I8">
        <v>0.61403298350824587</v>
      </c>
      <c r="J8">
        <v>2.2293230289068891E-3</v>
      </c>
    </row>
    <row r="9" spans="1:10" x14ac:dyDescent="0.25">
      <c r="A9" s="53" t="s">
        <v>180</v>
      </c>
      <c r="B9">
        <v>0.16212493113862689</v>
      </c>
      <c r="C9">
        <v>0.1491017964071856</v>
      </c>
      <c r="D9">
        <v>0.27988422575976851</v>
      </c>
      <c r="E9">
        <v>0.33045089561457691</v>
      </c>
      <c r="F9">
        <v>0.32468419255718678</v>
      </c>
      <c r="G9">
        <v>0.2606704524638212</v>
      </c>
      <c r="H9">
        <v>0.27178410794602698</v>
      </c>
      <c r="I9">
        <v>0.37307720888756779</v>
      </c>
      <c r="J9">
        <v>0.1565952398606065</v>
      </c>
    </row>
    <row r="10" spans="1:10" x14ac:dyDescent="0.25">
      <c r="A10" s="53" t="s">
        <v>181</v>
      </c>
      <c r="B10">
        <v>0.83082495266729817</v>
      </c>
      <c r="C10">
        <v>0.82195448460508702</v>
      </c>
      <c r="D10">
        <v>0.86142709410548091</v>
      </c>
      <c r="E10">
        <v>0.94922118380062304</v>
      </c>
      <c r="F10">
        <v>1.088590956887487</v>
      </c>
      <c r="G10">
        <v>0.98243148278285308</v>
      </c>
      <c r="H10">
        <v>0.95586937334510147</v>
      </c>
      <c r="I10">
        <v>0.97121800617468379</v>
      </c>
      <c r="J10">
        <v>1.0340909090909089</v>
      </c>
    </row>
    <row r="11" spans="1:10" x14ac:dyDescent="0.25">
      <c r="A11" s="53" t="s">
        <v>182</v>
      </c>
      <c r="B11">
        <v>-2.6141368580672852E-2</v>
      </c>
      <c r="C11">
        <v>-1.716566866267465E-2</v>
      </c>
      <c r="D11">
        <v>-2.547033285094067E-2</v>
      </c>
      <c r="E11">
        <v>-6.1045913115091617E-2</v>
      </c>
      <c r="F11">
        <v>-5.1212017753499491E-2</v>
      </c>
      <c r="G11">
        <v>-4.478842278805642E-2</v>
      </c>
      <c r="H11">
        <v>-6.7646176911544231E-2</v>
      </c>
      <c r="I11">
        <v>-3.6263654603552048E-2</v>
      </c>
      <c r="J11">
        <v>-6.7954326388373995E-2</v>
      </c>
    </row>
    <row r="12" spans="1:10" x14ac:dyDescent="0.25">
      <c r="A12" s="53" t="s">
        <v>183</v>
      </c>
      <c r="B12">
        <v>5.2994046575173342E-2</v>
      </c>
      <c r="C12">
        <v>4.5109780439121748E-2</v>
      </c>
      <c r="D12">
        <v>3.068017366136035E-2</v>
      </c>
      <c r="E12">
        <v>2.0794729256742851E-2</v>
      </c>
      <c r="F12">
        <v>2.2362581085694781E-2</v>
      </c>
      <c r="G12">
        <v>3.4896501190694269E-2</v>
      </c>
      <c r="H12">
        <v>6.5847076461769113E-2</v>
      </c>
      <c r="I12">
        <v>4.362042059894479E-2</v>
      </c>
      <c r="J12">
        <v>5.7240305479350488E-2</v>
      </c>
    </row>
    <row r="13" spans="1:10" x14ac:dyDescent="0.25">
      <c r="A13" s="53" t="s">
        <v>184</v>
      </c>
      <c r="B13">
        <v>-4.3261069565847063E-2</v>
      </c>
      <c r="C13">
        <v>-1.0179640718562869E-2</v>
      </c>
      <c r="D13">
        <v>-9.8263386396526778E-2</v>
      </c>
      <c r="E13">
        <v>1.904467778464072E-2</v>
      </c>
      <c r="F13">
        <v>-7.3147832024581763E-2</v>
      </c>
      <c r="G13">
        <v>6.5671368382487633E-2</v>
      </c>
      <c r="H13">
        <v>-4.2158920539730138E-2</v>
      </c>
      <c r="I13">
        <v>-0.1249535557702311</v>
      </c>
      <c r="J13">
        <v>-8.181952991769853E-2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EEAA-FF0D-4445-B9DE-DCDD6A99C8AB}">
  <dimension ref="A1:I12"/>
  <sheetViews>
    <sheetView workbookViewId="0">
      <selection activeCell="G16" sqref="G16"/>
    </sheetView>
  </sheetViews>
  <sheetFormatPr defaultRowHeight="15" x14ac:dyDescent="0.25"/>
  <cols>
    <col min="1" max="1" width="14.42578125" bestFit="1" customWidth="1"/>
    <col min="2" max="2" width="18.42578125" bestFit="1" customWidth="1"/>
    <col min="3" max="3" width="14.140625" bestFit="1" customWidth="1"/>
    <col min="4" max="5" width="12" bestFit="1" customWidth="1"/>
    <col min="6" max="6" width="12.7109375" bestFit="1" customWidth="1"/>
    <col min="7" max="7" width="13.85546875" bestFit="1" customWidth="1"/>
    <col min="8" max="8" width="14.7109375" bestFit="1" customWidth="1"/>
    <col min="9" max="9" width="15.42578125" bestFit="1" customWidth="1"/>
  </cols>
  <sheetData>
    <row r="1" spans="1:9" x14ac:dyDescent="0.25">
      <c r="A1" s="54" t="s">
        <v>174</v>
      </c>
      <c r="B1" s="54" t="s">
        <v>185</v>
      </c>
      <c r="C1" s="54" t="s">
        <v>186</v>
      </c>
      <c r="D1" s="54" t="s">
        <v>187</v>
      </c>
      <c r="E1" s="54" t="s">
        <v>176</v>
      </c>
      <c r="F1" s="54" t="s">
        <v>177</v>
      </c>
      <c r="G1" s="54" t="s">
        <v>178</v>
      </c>
      <c r="H1" s="54" t="s">
        <v>188</v>
      </c>
      <c r="I1" s="54" t="s">
        <v>189</v>
      </c>
    </row>
    <row r="2" spans="1:9" x14ac:dyDescent="0.25">
      <c r="A2">
        <v>2025</v>
      </c>
      <c r="B2">
        <v>87698941.314072266</v>
      </c>
      <c r="C2">
        <v>24990599.884368829</v>
      </c>
      <c r="D2">
        <v>1503903.1774102291</v>
      </c>
      <c r="E2">
        <v>3641566.19160196</v>
      </c>
      <c r="F2">
        <v>3493036.357836477</v>
      </c>
      <c r="G2">
        <v>3947876.6168025518</v>
      </c>
      <c r="H2">
        <v>12586382.34365122</v>
      </c>
      <c r="I2">
        <v>8166523.7942777975</v>
      </c>
    </row>
    <row r="3" spans="1:9" x14ac:dyDescent="0.25">
      <c r="A3">
        <v>2026</v>
      </c>
      <c r="B3">
        <v>126245105.3414053</v>
      </c>
      <c r="C3">
        <v>35974675.037962042</v>
      </c>
      <c r="D3">
        <v>2164911.1404377152</v>
      </c>
      <c r="E3">
        <v>5242137.482824102</v>
      </c>
      <c r="F3">
        <v>5028324.5880605029</v>
      </c>
      <c r="G3">
        <v>5683079.999543108</v>
      </c>
      <c r="H3">
        <v>18118453.210865431</v>
      </c>
      <c r="I3">
        <v>7627702.4194766805</v>
      </c>
    </row>
    <row r="4" spans="1:9" x14ac:dyDescent="0.25">
      <c r="A4">
        <v>2027</v>
      </c>
      <c r="B4">
        <v>181733398.1898948</v>
      </c>
      <c r="C4">
        <v>51786561.750222467</v>
      </c>
      <c r="D4">
        <v>3116450.7904439839</v>
      </c>
      <c r="E4">
        <v>7546205.1059796028</v>
      </c>
      <c r="F4">
        <v>7238415.3993044319</v>
      </c>
      <c r="G4">
        <v>8180954.3245971724</v>
      </c>
      <c r="H4">
        <v>26082025.620325189</v>
      </c>
      <c r="I4">
        <v>7124432.0920068622</v>
      </c>
    </row>
    <row r="5" spans="1:9" x14ac:dyDescent="0.25">
      <c r="A5">
        <v>2028</v>
      </c>
      <c r="B5">
        <v>261610364.4440845</v>
      </c>
      <c r="C5">
        <v>74548219.687310651</v>
      </c>
      <c r="D5">
        <v>4486219.0174213108</v>
      </c>
      <c r="E5">
        <v>10862975.587361829</v>
      </c>
      <c r="F5">
        <v>10419903.603139689</v>
      </c>
      <c r="G5">
        <v>11776715.032434151</v>
      </c>
      <c r="H5">
        <v>37545813.240356982</v>
      </c>
      <c r="I5">
        <v>6654367.1792979622</v>
      </c>
    </row>
    <row r="6" spans="1:9" x14ac:dyDescent="0.25">
      <c r="A6">
        <v>2029</v>
      </c>
      <c r="B6">
        <v>376595515.55324548</v>
      </c>
      <c r="C6">
        <v>107314269.7781758</v>
      </c>
      <c r="D6">
        <v>6458039.104607638</v>
      </c>
      <c r="E6">
        <v>15637560.46308797</v>
      </c>
      <c r="F6">
        <v>14999745.815797869</v>
      </c>
      <c r="G6">
        <v>16952914.226420589</v>
      </c>
      <c r="H6">
        <v>54048259.609914057</v>
      </c>
      <c r="I6">
        <v>6215316.8119319724</v>
      </c>
    </row>
    <row r="7" spans="1:9" x14ac:dyDescent="0.25">
      <c r="A7">
        <v>2030</v>
      </c>
      <c r="B7">
        <v>542119891.29783773</v>
      </c>
      <c r="C7">
        <v>154481925.20663729</v>
      </c>
      <c r="D7">
        <v>9296529.8650564514</v>
      </c>
      <c r="E7">
        <v>22510710.373060782</v>
      </c>
      <c r="F7">
        <v>21592558.156752229</v>
      </c>
      <c r="G7">
        <v>24404199.30148977</v>
      </c>
      <c r="H7">
        <v>77803997.696359232</v>
      </c>
      <c r="I7">
        <v>5805234.672481617</v>
      </c>
    </row>
    <row r="8" spans="1:9" x14ac:dyDescent="0.25">
      <c r="A8">
        <v>2031</v>
      </c>
      <c r="B8">
        <v>780396909.68977225</v>
      </c>
      <c r="C8">
        <v>222381098.66356629</v>
      </c>
      <c r="D8">
        <v>13382617.561145499</v>
      </c>
      <c r="E8">
        <v>32404803.97795764</v>
      </c>
      <c r="F8">
        <v>31083097.90567784</v>
      </c>
      <c r="G8">
        <v>35130534.820890233</v>
      </c>
      <c r="H8">
        <v>112001054.26567119</v>
      </c>
      <c r="I8">
        <v>5422209.4580738144</v>
      </c>
    </row>
    <row r="9" spans="1:9" x14ac:dyDescent="0.25">
      <c r="A9">
        <v>2032</v>
      </c>
      <c r="B9">
        <v>1123403413.948437</v>
      </c>
      <c r="C9">
        <v>320123878.41920829</v>
      </c>
      <c r="D9">
        <v>19264656.316660181</v>
      </c>
      <c r="E9">
        <v>46647631.436212242</v>
      </c>
      <c r="F9">
        <v>44744998.179468893</v>
      </c>
      <c r="G9">
        <v>50571398.043222889</v>
      </c>
      <c r="H9">
        <v>161228683.97556421</v>
      </c>
      <c r="I9">
        <v>5064455.9722263729</v>
      </c>
    </row>
    <row r="10" spans="1:9" x14ac:dyDescent="0.25">
      <c r="A10">
        <v>2033</v>
      </c>
      <c r="B10">
        <v>1617170973.8992879</v>
      </c>
      <c r="C10">
        <v>460827373.14466631</v>
      </c>
      <c r="D10">
        <v>27732017.395202931</v>
      </c>
      <c r="E10">
        <v>67150584.218588531</v>
      </c>
      <c r="F10">
        <v>64411689.856529877</v>
      </c>
      <c r="G10">
        <v>72798957.17742677</v>
      </c>
      <c r="H10">
        <v>232093248.64774811</v>
      </c>
      <c r="I10">
        <v>4730306.8044388732</v>
      </c>
    </row>
    <row r="11" spans="1:9" x14ac:dyDescent="0.25">
      <c r="A11">
        <v>2034</v>
      </c>
      <c r="B11">
        <v>2327963335.6556711</v>
      </c>
      <c r="C11">
        <v>663374031.60323322</v>
      </c>
      <c r="D11">
        <v>39921023.046891652</v>
      </c>
      <c r="E11">
        <v>96665164.383829519</v>
      </c>
      <c r="F11">
        <v>92722448.518893629</v>
      </c>
      <c r="G11">
        <v>104796156.942136</v>
      </c>
      <c r="H11">
        <v>334104792.89175081</v>
      </c>
      <c r="I11">
        <v>4418204.5587581899</v>
      </c>
    </row>
    <row r="12" spans="1:9" x14ac:dyDescent="0.25">
      <c r="A12" t="s">
        <v>190</v>
      </c>
      <c r="H12">
        <v>673154806.24497998</v>
      </c>
      <c r="I12">
        <v>8901804.7540107258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BALANCE SHEET </vt:lpstr>
      <vt:lpstr>Percentage Balance sheet</vt:lpstr>
      <vt:lpstr>FINANCIAL RATIOS</vt:lpstr>
      <vt:lpstr>INCOME STATEMENT</vt:lpstr>
      <vt:lpstr>Income statement c</vt:lpstr>
      <vt:lpstr>CASHFLOW STATEMENT</vt:lpstr>
      <vt:lpstr>comparision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Babu Palakurti</dc:creator>
  <cp:lastModifiedBy>Manish Babu Palakurti</cp:lastModifiedBy>
  <dcterms:created xsi:type="dcterms:W3CDTF">2025-01-19T20:59:10Z</dcterms:created>
  <dcterms:modified xsi:type="dcterms:W3CDTF">2025-02-16T16:08:00Z</dcterms:modified>
</cp:coreProperties>
</file>