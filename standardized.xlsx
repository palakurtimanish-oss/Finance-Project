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ish\Desktop\"/>
    </mc:Choice>
  </mc:AlternateContent>
  <xr:revisionPtr revIDLastSave="0" documentId="13_ncr:1_{553F3442-2035-4E14-8D9F-A62DCE98F2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ndardized" sheetId="1" r:id="rId1"/>
  </sheets>
  <definedNames>
    <definedName name="_xlnm._FilterDatabase" localSheetId="0" hidden="1">standardized!$B$12:$K$37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C14" i="1"/>
</calcChain>
</file>

<file path=xl/sharedStrings.xml><?xml version="1.0" encoding="utf-8"?>
<sst xmlns="http://schemas.openxmlformats.org/spreadsheetml/2006/main" count="95" uniqueCount="42">
  <si>
    <t>Powered by Clearbit</t>
  </si>
  <si>
    <t>NVIDIA Corp (NMS: NVDA)</t>
  </si>
  <si>
    <t xml:space="preserve">Exchange rate used is that of the Year End reported date </t>
  </si>
  <si>
    <t xml:space="preserve">Standardized Annual Income Statement </t>
  </si>
  <si>
    <t>Report Date</t>
  </si>
  <si>
    <t>01/28/2024</t>
  </si>
  <si>
    <t>01/29/2023</t>
  </si>
  <si>
    <t>01/30/2022</t>
  </si>
  <si>
    <t>01/31/2021</t>
  </si>
  <si>
    <t>01/26/2020</t>
  </si>
  <si>
    <t>01/27/2019</t>
  </si>
  <si>
    <t>01/28/2018</t>
  </si>
  <si>
    <t>01/29/2017</t>
  </si>
  <si>
    <t>01/31/2016</t>
  </si>
  <si>
    <t>01/25/2015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</si>
  <si>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</si>
  <si>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</si>
  <si>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</si>
  <si>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</si>
  <si>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</si>
  <si>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</si>
  <si>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</si>
  <si>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</si>
  <si>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Sales Revenue</t>
  </si>
  <si>
    <t>-</t>
  </si>
  <si>
    <t>Total Revenue</t>
  </si>
  <si>
    <t>Direct Costs</t>
  </si>
  <si>
    <t>Gross Profit</t>
  </si>
  <si>
    <t>Selling General &amp; Admin</t>
  </si>
  <si>
    <t>Research &amp; Development</t>
  </si>
  <si>
    <t>Restruct Remediation &amp; Impair</t>
  </si>
  <si>
    <t>Other Operating Expense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</si>
  <si>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</si>
  <si>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</si>
  <si>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</si>
  <si>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</si>
  <si>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</si>
  <si>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</si>
  <si>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Taxation</t>
  </si>
  <si>
    <t>Net Income</t>
  </si>
  <si>
    <t>Net Income to Common</t>
  </si>
  <si>
    <t>REVENUE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</si>
</sst>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8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0" fontId="3" fillId="0" borderId="0" xfId="0" applyFont="1"/>
    <xf numFmtId="0" fontId="3" fillId="3" borderId="0" xfId="0" applyFont="1" applyFill="1" applyAlignment="1">
      <alignment horizontal="left"/>
    </xf>
    <xf numFmtId="1" fontId="3" fillId="3" borderId="0" xfId="0" applyNumberFormat="1" applyFont="1" applyFill="1"/>
    <xf numFmtId="0" fontId="3" fillId="3" borderId="0" xfId="0" applyFont="1" applyFill="1"/>
    <xf numFmtId="0" fontId="4" fillId="2" borderId="0" xfId="0" applyFont="1" applyFill="1" applyAlignment="1">
      <alignment horizontal="left"/>
    </xf>
    <xf numFmtId="1" fontId="4" fillId="2" borderId="0" xfId="0" applyNumberFormat="1" applyFont="1" applyFill="1"/>
    <xf numFmtId="0" fontId="4" fillId="2" borderId="0" xfId="0" applyFont="1" applyFill="1"/>
    <xf numFmtId="0" fontId="3" fillId="4" borderId="0" xfId="0" applyFont="1" applyFill="1" applyAlignment="1">
      <alignment horizontal="left"/>
    </xf>
    <xf numFmtId="1" fontId="3" fillId="4" borderId="0" xfId="0" applyNumberFormat="1" applyFont="1" applyFill="1"/>
    <xf numFmtId="0" fontId="3" fillId="4" borderId="0" xfId="0" applyFont="1" applyFill="1"/>
    <xf numFmtId="0" fontId="4" fillId="0" borderId="0" xfId="0" applyFont="1" applyAlignment="1">
      <alignment horizontal="left"/>
    </xf>
    <xf numFmtId="1" fontId="4" fillId="0" borderId="0" xfId="0" applyNumberFormat="1" applyFont="1"/>
    <xf numFmtId="0" fontId="4" fillId="0" borderId="0" xfId="0" applyFont="1"/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right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37"/>
  <sheetViews>
    <sheetView tabSelected="1" zoomScale="90" zoomScaleNormal="90" workbookViewId="0">
      <selection activeCell="F8" sqref="F8"/>
    </sheetView>
  </sheetViews>
  <sheetFormatPr defaultRowHeight="12.75" x14ac:dyDescent="0.2"/>
  <cols>
    <col min="1" max="1" width="51.140625" bestFit="1" customWidth="1"/>
    <col min="2" max="2" width="11.85546875" bestFit="1" customWidth="1"/>
    <col min="3" max="5" width="13.5703125" bestFit="1" customWidth="1"/>
    <col min="6" max="6" width="15.5703125" bestFit="1" customWidth="1"/>
    <col min="7" max="9" width="13.5703125" bestFit="1" customWidth="1"/>
    <col min="10" max="10" width="11.85546875" bestFit="1" customWidth="1"/>
    <col min="11" max="11" width="13.5703125" bestFit="1" customWidth="1"/>
    <col min="12" max="191" width="12" customWidth="1"/>
  </cols>
  <sheetData>
    <row r="4" spans="1:12" x14ac:dyDescent="0.2">
      <c r="A4" s="1" t="s">
        <v>0</v>
      </c>
    </row>
    <row r="5" spans="1:12" ht="20.25" x14ac:dyDescent="0.3">
      <c r="A5" s="2" t="s">
        <v>1</v>
      </c>
    </row>
    <row r="7" spans="1:12" x14ac:dyDescent="0.2">
      <c r="A7" s="3" t="s">
        <v>2</v>
      </c>
    </row>
    <row r="10" spans="1:12" x14ac:dyDescent="0.2">
      <c r="A10" s="4" t="s">
        <v>3</v>
      </c>
    </row>
    <row r="12" spans="1:12" s="27" customFormat="1" x14ac:dyDescent="0.2">
      <c r="A12" s="25" t="s">
        <v>4</v>
      </c>
      <c r="B12" s="26" t="s">
        <v>14</v>
      </c>
      <c r="C12" s="26" t="s">
        <v>9</v>
      </c>
      <c r="D12" s="26" t="s">
        <v>10</v>
      </c>
      <c r="E12" s="26" t="s">
        <v>11</v>
      </c>
      <c r="F12" s="26" t="s">
        <v>5</v>
      </c>
      <c r="G12" s="26" t="s">
        <v>12</v>
      </c>
      <c r="H12" s="26" t="s">
        <v>6</v>
      </c>
      <c r="I12" s="26" t="s">
        <v>7</v>
      </c>
      <c r="J12" s="26" t="s">
        <v>13</v>
      </c>
      <c r="K12" s="26" t="s">
        <v>8</v>
      </c>
      <c r="L12" s="25"/>
    </row>
    <row r="13" spans="1:12" x14ac:dyDescent="0.2">
      <c r="A13" s="5" t="s">
        <v>15</v>
      </c>
      <c r="B13" s="6" t="s">
        <v>16</v>
      </c>
      <c r="C13" s="6" t="s">
        <v>16</v>
      </c>
      <c r="D13" s="6" t="s">
        <v>16</v>
      </c>
      <c r="E13" s="6" t="s">
        <v>16</v>
      </c>
      <c r="F13" s="6" t="s">
        <v>16</v>
      </c>
      <c r="G13" s="6" t="s">
        <v>16</v>
      </c>
      <c r="H13" s="6" t="s">
        <v>16</v>
      </c>
      <c r="I13" s="6" t="s">
        <v>16</v>
      </c>
      <c r="J13" s="6" t="s">
        <v>16</v>
      </c>
      <c r="K13" s="6" t="s">
        <v>16</v>
      </c>
      <c r="L13" s="5"/>
    </row>
    <row r="14" spans="1:12" x14ac:dyDescent="0.2">
      <c r="A14" s="5" t="s">
        <v>41</v>
      </c>
      <c r="B14" s="6"/>
      <c r="C14" s="6">
        <f>(C22/B22)-1</f>
        <v>1.3321550090601169</v>
      </c>
      <c r="D14" s="6">
        <f>(D22/C22)-1</f>
        <v>7.3090309580509327E-2</v>
      </c>
      <c r="E14" s="6">
        <f>(E22/D22)-1</f>
        <v>-0.17087743257084331</v>
      </c>
      <c r="F14" s="6">
        <f>(F22/E22)-1</f>
        <v>5.2715668107885527</v>
      </c>
      <c r="G14" s="6">
        <f>(G22/F22)-1</f>
        <v>-0.88657627786349757</v>
      </c>
      <c r="H14" s="6">
        <f>(H22/G22)-1</f>
        <v>2.9036179450072357</v>
      </c>
      <c r="I14" s="6">
        <f>(I22/H22)-1</f>
        <v>-2.2243642025654431E-3</v>
      </c>
      <c r="J14" s="6">
        <f>(J22/I22)-1</f>
        <v>-0.81385152708627484</v>
      </c>
      <c r="K14" s="6">
        <f>(K22/J22)-1</f>
        <v>2.3283433133732534</v>
      </c>
      <c r="L14" s="5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5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5"/>
    </row>
    <row r="17" spans="1:12" x14ac:dyDescent="0.2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5"/>
    </row>
    <row r="18" spans="1:12" ht="25.5" x14ac:dyDescent="0.2">
      <c r="A18" s="5" t="s">
        <v>17</v>
      </c>
      <c r="B18" s="6" t="s">
        <v>18</v>
      </c>
      <c r="C18" s="6" t="s">
        <v>18</v>
      </c>
      <c r="D18" s="6" t="s">
        <v>18</v>
      </c>
      <c r="E18" s="6" t="s">
        <v>18</v>
      </c>
      <c r="F18" s="6" t="s">
        <v>18</v>
      </c>
      <c r="G18" s="6" t="s">
        <v>18</v>
      </c>
      <c r="H18" s="6" t="s">
        <v>18</v>
      </c>
      <c r="I18" s="6" t="s">
        <v>18</v>
      </c>
      <c r="J18" s="6" t="s">
        <v>18</v>
      </c>
      <c r="K18" s="6" t="s">
        <v>18</v>
      </c>
      <c r="L18" s="5"/>
    </row>
    <row r="19" spans="1:12" x14ac:dyDescent="0.2">
      <c r="A19" s="5" t="s">
        <v>19</v>
      </c>
      <c r="B19" s="6" t="s">
        <v>20</v>
      </c>
      <c r="C19" s="6" t="s">
        <v>20</v>
      </c>
      <c r="D19" s="6" t="s">
        <v>20</v>
      </c>
      <c r="E19" s="6" t="s">
        <v>20</v>
      </c>
      <c r="F19" s="6" t="s">
        <v>20</v>
      </c>
      <c r="G19" s="6" t="s">
        <v>20</v>
      </c>
      <c r="H19" s="6" t="s">
        <v>20</v>
      </c>
      <c r="I19" s="6" t="s">
        <v>20</v>
      </c>
      <c r="J19" s="6" t="s">
        <v>20</v>
      </c>
      <c r="K19" s="6" t="s">
        <v>20</v>
      </c>
      <c r="L19" s="5"/>
    </row>
    <row r="20" spans="1:12" x14ac:dyDescent="0.2">
      <c r="A20" s="5" t="s">
        <v>21</v>
      </c>
      <c r="B20" s="6" t="s">
        <v>22</v>
      </c>
      <c r="C20" s="6" t="s">
        <v>22</v>
      </c>
      <c r="D20" s="6" t="s">
        <v>22</v>
      </c>
      <c r="E20" s="6" t="s">
        <v>22</v>
      </c>
      <c r="F20" s="6" t="s">
        <v>22</v>
      </c>
      <c r="G20" s="6" t="s">
        <v>22</v>
      </c>
      <c r="H20" s="6" t="s">
        <v>22</v>
      </c>
      <c r="I20" s="6" t="s">
        <v>22</v>
      </c>
      <c r="J20" s="6" t="s">
        <v>22</v>
      </c>
      <c r="K20" s="6" t="s">
        <v>22</v>
      </c>
      <c r="L20" s="5"/>
    </row>
    <row r="21" spans="1:12" x14ac:dyDescent="0.2">
      <c r="A21" s="7" t="s">
        <v>23</v>
      </c>
      <c r="B21" s="9" t="s">
        <v>24</v>
      </c>
      <c r="C21" s="9" t="s">
        <v>24</v>
      </c>
      <c r="D21" s="9" t="s">
        <v>24</v>
      </c>
      <c r="E21" s="9" t="s">
        <v>24</v>
      </c>
      <c r="F21" s="8">
        <v>60922000</v>
      </c>
      <c r="G21" s="9" t="s">
        <v>24</v>
      </c>
      <c r="H21" s="9" t="s">
        <v>24</v>
      </c>
      <c r="I21" s="9" t="s">
        <v>24</v>
      </c>
      <c r="J21" s="9" t="s">
        <v>24</v>
      </c>
      <c r="K21" s="9" t="s">
        <v>24</v>
      </c>
      <c r="L21" s="7"/>
    </row>
    <row r="22" spans="1:12" s="18" customFormat="1" ht="15.75" x14ac:dyDescent="0.25">
      <c r="A22" s="16" t="s">
        <v>25</v>
      </c>
      <c r="B22" s="17">
        <v>4681507</v>
      </c>
      <c r="C22" s="17">
        <v>10918000</v>
      </c>
      <c r="D22" s="17">
        <v>11716000</v>
      </c>
      <c r="E22" s="17">
        <v>9714000</v>
      </c>
      <c r="F22" s="17">
        <v>60922000</v>
      </c>
      <c r="G22" s="17">
        <v>6910000</v>
      </c>
      <c r="H22" s="17">
        <v>26974000</v>
      </c>
      <c r="I22" s="17">
        <v>26914000</v>
      </c>
      <c r="J22" s="17">
        <v>5010000</v>
      </c>
      <c r="K22" s="17">
        <v>16675000</v>
      </c>
      <c r="L22" s="16"/>
    </row>
    <row r="23" spans="1:12" x14ac:dyDescent="0.2">
      <c r="A23" s="7" t="s">
        <v>26</v>
      </c>
      <c r="B23" s="8">
        <v>2082030</v>
      </c>
      <c r="C23" s="8">
        <v>4150000</v>
      </c>
      <c r="D23" s="8">
        <v>4545000</v>
      </c>
      <c r="E23" s="8">
        <v>3892000</v>
      </c>
      <c r="F23" s="8">
        <v>16621000</v>
      </c>
      <c r="G23" s="8">
        <v>2847000</v>
      </c>
      <c r="H23" s="8">
        <v>11618000</v>
      </c>
      <c r="I23" s="8">
        <v>9439000</v>
      </c>
      <c r="J23" s="8">
        <v>2199000</v>
      </c>
      <c r="K23" s="8">
        <v>6279000</v>
      </c>
      <c r="L23" s="7"/>
    </row>
    <row r="24" spans="1:12" s="15" customFormat="1" x14ac:dyDescent="0.2">
      <c r="A24" s="13" t="s">
        <v>27</v>
      </c>
      <c r="B24" s="14">
        <v>2599477</v>
      </c>
      <c r="C24" s="14">
        <v>6768000</v>
      </c>
      <c r="D24" s="14">
        <v>7171000</v>
      </c>
      <c r="E24" s="14">
        <v>5822000</v>
      </c>
      <c r="F24" s="14">
        <v>44301000</v>
      </c>
      <c r="G24" s="14">
        <v>4063000</v>
      </c>
      <c r="H24" s="14">
        <v>15356000</v>
      </c>
      <c r="I24" s="14">
        <v>17475000</v>
      </c>
      <c r="J24" s="14">
        <v>2811000</v>
      </c>
      <c r="K24" s="14">
        <v>10396000</v>
      </c>
      <c r="L24" s="13"/>
    </row>
    <row r="25" spans="1:12" x14ac:dyDescent="0.2">
      <c r="A25" s="7" t="s">
        <v>28</v>
      </c>
      <c r="B25" s="8">
        <v>480763</v>
      </c>
      <c r="C25" s="8">
        <v>1093000</v>
      </c>
      <c r="D25" s="8">
        <v>991000</v>
      </c>
      <c r="E25" s="8">
        <v>815000</v>
      </c>
      <c r="F25" s="8">
        <v>2654000</v>
      </c>
      <c r="G25" s="8">
        <v>663000</v>
      </c>
      <c r="H25" s="8">
        <v>2440000</v>
      </c>
      <c r="I25" s="8">
        <v>2166000</v>
      </c>
      <c r="J25" s="8">
        <v>602000</v>
      </c>
      <c r="K25" s="8">
        <v>1940000</v>
      </c>
      <c r="L25" s="7"/>
    </row>
    <row r="26" spans="1:12" x14ac:dyDescent="0.2">
      <c r="A26" s="7" t="s">
        <v>29</v>
      </c>
      <c r="B26" s="8">
        <v>1359725</v>
      </c>
      <c r="C26" s="8">
        <v>2829000</v>
      </c>
      <c r="D26" s="8">
        <v>2376000</v>
      </c>
      <c r="E26" s="8">
        <v>1797000</v>
      </c>
      <c r="F26" s="8">
        <v>8675000</v>
      </c>
      <c r="G26" s="8">
        <v>1463000</v>
      </c>
      <c r="H26" s="8">
        <v>7339000</v>
      </c>
      <c r="I26" s="8">
        <v>5268000</v>
      </c>
      <c r="J26" s="8">
        <v>1331000</v>
      </c>
      <c r="K26" s="8">
        <v>3924000</v>
      </c>
      <c r="L26" s="7"/>
    </row>
    <row r="27" spans="1:12" x14ac:dyDescent="0.2">
      <c r="A27" s="7" t="s">
        <v>30</v>
      </c>
      <c r="B27" s="9" t="s">
        <v>24</v>
      </c>
      <c r="C27" s="9" t="s">
        <v>24</v>
      </c>
      <c r="D27" s="9" t="s">
        <v>24</v>
      </c>
      <c r="E27" s="9" t="s">
        <v>24</v>
      </c>
      <c r="F27" s="9" t="s">
        <v>24</v>
      </c>
      <c r="G27" s="9" t="s">
        <v>24</v>
      </c>
      <c r="H27" s="8">
        <v>1353000</v>
      </c>
      <c r="I27" s="9" t="s">
        <v>24</v>
      </c>
      <c r="J27" s="9" t="s">
        <v>24</v>
      </c>
      <c r="K27" s="9" t="s">
        <v>24</v>
      </c>
      <c r="L27" s="7"/>
    </row>
    <row r="28" spans="1:12" x14ac:dyDescent="0.2">
      <c r="A28" s="7" t="s">
        <v>31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3000</v>
      </c>
      <c r="H28" s="8">
        <v>0</v>
      </c>
      <c r="I28" s="8">
        <v>0</v>
      </c>
      <c r="J28" s="8">
        <v>131000</v>
      </c>
      <c r="K28" s="8">
        <v>0</v>
      </c>
      <c r="L28" s="7"/>
    </row>
    <row r="29" spans="1:12" s="12" customFormat="1" x14ac:dyDescent="0.2">
      <c r="A29" s="10" t="s">
        <v>32</v>
      </c>
      <c r="B29" s="11">
        <v>1840488</v>
      </c>
      <c r="C29" s="11">
        <v>3922000</v>
      </c>
      <c r="D29" s="11">
        <v>3367000</v>
      </c>
      <c r="E29" s="11">
        <v>2612000</v>
      </c>
      <c r="F29" s="11">
        <v>11329000</v>
      </c>
      <c r="G29" s="11">
        <v>2129000</v>
      </c>
      <c r="H29" s="11">
        <v>11132000</v>
      </c>
      <c r="I29" s="11">
        <v>7434000</v>
      </c>
      <c r="J29" s="11">
        <v>2064000</v>
      </c>
      <c r="K29" s="11">
        <v>5864000</v>
      </c>
      <c r="L29" s="10"/>
    </row>
    <row r="30" spans="1:12" x14ac:dyDescent="0.2">
      <c r="A30" s="7" t="s">
        <v>33</v>
      </c>
      <c r="B30" s="8">
        <v>758989</v>
      </c>
      <c r="C30" s="8">
        <v>2846000</v>
      </c>
      <c r="D30" s="8">
        <v>3804000</v>
      </c>
      <c r="E30" s="8">
        <v>3210000</v>
      </c>
      <c r="F30" s="8">
        <v>32972000</v>
      </c>
      <c r="G30" s="8">
        <v>1934000</v>
      </c>
      <c r="H30" s="8">
        <v>4224000</v>
      </c>
      <c r="I30" s="8">
        <v>10041000</v>
      </c>
      <c r="J30" s="8">
        <v>747000</v>
      </c>
      <c r="K30" s="8">
        <v>4532000</v>
      </c>
      <c r="L30" s="7"/>
    </row>
    <row r="31" spans="1:12" s="21" customFormat="1" x14ac:dyDescent="0.2">
      <c r="A31" s="19" t="s">
        <v>34</v>
      </c>
      <c r="B31" s="20">
        <v>-18043</v>
      </c>
      <c r="C31" s="20">
        <v>126000</v>
      </c>
      <c r="D31" s="20">
        <v>78000</v>
      </c>
      <c r="E31" s="20">
        <v>8000</v>
      </c>
      <c r="F31" s="20">
        <v>609000</v>
      </c>
      <c r="G31" s="20">
        <v>-4000</v>
      </c>
      <c r="H31" s="20">
        <v>5000</v>
      </c>
      <c r="I31" s="20">
        <v>-207000</v>
      </c>
      <c r="J31" s="20">
        <v>-8000</v>
      </c>
      <c r="K31" s="20">
        <v>-127000</v>
      </c>
      <c r="L31" s="19"/>
    </row>
    <row r="32" spans="1:12" x14ac:dyDescent="0.2">
      <c r="A32" s="7" t="s">
        <v>35</v>
      </c>
      <c r="B32" s="8">
        <v>13890</v>
      </c>
      <c r="C32" s="8">
        <v>-2000</v>
      </c>
      <c r="D32" s="8">
        <v>14000</v>
      </c>
      <c r="E32" s="8">
        <v>-22000</v>
      </c>
      <c r="F32" s="8">
        <v>237000</v>
      </c>
      <c r="G32" s="8">
        <v>-25000</v>
      </c>
      <c r="H32" s="8">
        <v>-48000</v>
      </c>
      <c r="I32" s="8">
        <v>107000</v>
      </c>
      <c r="J32" s="8">
        <v>4000</v>
      </c>
      <c r="K32" s="8">
        <v>4000</v>
      </c>
      <c r="L32" s="7"/>
    </row>
    <row r="33" spans="1:12" s="12" customFormat="1" x14ac:dyDescent="0.2">
      <c r="A33" s="10" t="s">
        <v>36</v>
      </c>
      <c r="B33" s="11">
        <v>-4153</v>
      </c>
      <c r="C33" s="11">
        <v>124000</v>
      </c>
      <c r="D33" s="11">
        <v>92000</v>
      </c>
      <c r="E33" s="11">
        <v>-14000</v>
      </c>
      <c r="F33" s="11">
        <v>846000</v>
      </c>
      <c r="G33" s="11">
        <v>-29000</v>
      </c>
      <c r="H33" s="11">
        <v>-43000</v>
      </c>
      <c r="I33" s="11">
        <v>-100000</v>
      </c>
      <c r="J33" s="11">
        <v>-4000</v>
      </c>
      <c r="K33" s="11">
        <v>-123000</v>
      </c>
      <c r="L33" s="10"/>
    </row>
    <row r="34" spans="1:12" ht="15.75" x14ac:dyDescent="0.25">
      <c r="A34" s="22" t="s">
        <v>37</v>
      </c>
      <c r="B34" s="8">
        <v>754836</v>
      </c>
      <c r="C34" s="8">
        <v>2970000</v>
      </c>
      <c r="D34" s="8">
        <v>3896000</v>
      </c>
      <c r="E34" s="8">
        <v>3196000</v>
      </c>
      <c r="F34" s="8">
        <v>33818000</v>
      </c>
      <c r="G34" s="8">
        <v>1905000</v>
      </c>
      <c r="H34" s="8">
        <v>4181000</v>
      </c>
      <c r="I34" s="8">
        <v>9941000</v>
      </c>
      <c r="J34" s="8">
        <v>743000</v>
      </c>
      <c r="K34" s="8">
        <v>4409000</v>
      </c>
      <c r="L34" s="7"/>
    </row>
    <row r="35" spans="1:12" x14ac:dyDescent="0.2">
      <c r="A35" s="7" t="s">
        <v>38</v>
      </c>
      <c r="B35" s="8">
        <v>124249</v>
      </c>
      <c r="C35" s="8">
        <v>174000</v>
      </c>
      <c r="D35" s="8">
        <v>-245000</v>
      </c>
      <c r="E35" s="8">
        <v>149000</v>
      </c>
      <c r="F35" s="8">
        <v>4058000</v>
      </c>
      <c r="G35" s="8">
        <v>239000</v>
      </c>
      <c r="H35" s="8">
        <v>-187000</v>
      </c>
      <c r="I35" s="8">
        <v>189000</v>
      </c>
      <c r="J35" s="8">
        <v>129000</v>
      </c>
      <c r="K35" s="8">
        <v>77000</v>
      </c>
      <c r="L35" s="7"/>
    </row>
    <row r="36" spans="1:12" s="24" customFormat="1" ht="15.75" x14ac:dyDescent="0.25">
      <c r="A36" s="22" t="s">
        <v>39</v>
      </c>
      <c r="B36" s="23">
        <v>630587</v>
      </c>
      <c r="C36" s="23">
        <v>2796000</v>
      </c>
      <c r="D36" s="23">
        <v>4141000</v>
      </c>
      <c r="E36" s="23">
        <v>3047000</v>
      </c>
      <c r="F36" s="23">
        <v>29760000</v>
      </c>
      <c r="G36" s="23">
        <v>1666000</v>
      </c>
      <c r="H36" s="23">
        <v>4368000</v>
      </c>
      <c r="I36" s="23">
        <v>9752000</v>
      </c>
      <c r="J36" s="23">
        <v>614000</v>
      </c>
      <c r="K36" s="23">
        <v>4332000</v>
      </c>
      <c r="L36" s="22"/>
    </row>
    <row r="37" spans="1:12" x14ac:dyDescent="0.2">
      <c r="A37" s="7" t="s">
        <v>40</v>
      </c>
      <c r="B37" s="8">
        <v>630587</v>
      </c>
      <c r="C37" s="8">
        <v>2796000</v>
      </c>
      <c r="D37" s="8">
        <v>4141000</v>
      </c>
      <c r="E37" s="8">
        <v>3047000</v>
      </c>
      <c r="F37" s="8">
        <v>29760000</v>
      </c>
      <c r="G37" s="8">
        <v>1666000</v>
      </c>
      <c r="H37" s="8">
        <v>4368000</v>
      </c>
      <c r="I37" s="8">
        <v>9752000</v>
      </c>
      <c r="J37" s="8">
        <v>614000</v>
      </c>
      <c r="K37" s="8">
        <v>4332000</v>
      </c>
      <c r="L37" s="7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columnSort="1" caseSensitive="1" ref="B12:K37">
    <sortCondition ref="B12:K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Manish Babu Palakurti</cp:lastModifiedBy>
  <dcterms:created xsi:type="dcterms:W3CDTF">2025-01-14T16:00:01Z</dcterms:created>
  <dcterms:modified xsi:type="dcterms:W3CDTF">2025-01-14T18:28:11Z</dcterms:modified>
  <cp:category/>
</cp:coreProperties>
</file>