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chenn\OneDrive\Desktop\Fin mid\"/>
    </mc:Choice>
  </mc:AlternateContent>
  <xr:revisionPtr revIDLastSave="0" documentId="13_ncr:1_{7C97D446-3A96-4A66-A62B-449DA2A321B6}" xr6:coauthVersionLast="47" xr6:coauthVersionMax="47" xr10:uidLastSave="{00000000-0000-0000-0000-000000000000}"/>
  <bookViews>
    <workbookView xWindow="-108" yWindow="-108" windowWidth="23256" windowHeight="12456" activeTab="1" xr2:uid="{30CDD2A9-3DAE-43D5-AF04-1812A4A0B65B}"/>
  </bookViews>
  <sheets>
    <sheet name="S&amp;P500" sheetId="2" r:id="rId1"/>
    <sheet name="Task 1 " sheetId="1" r:id="rId2"/>
    <sheet name="Task 2 " sheetId="3" r:id="rId3"/>
    <sheet name="Task 3" sheetId="4" r:id="rId4"/>
    <sheet name="Regression" sheetId="5" r:id="rId5"/>
  </sheets>
  <externalReferences>
    <externalReference r:id="rId6"/>
  </externalReferences>
  <calcPr calcId="191029"/>
  <pivotCaches>
    <pivotCache cacheId="6" r:id="rId7"/>
    <pivotCache cacheId="1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4" l="1"/>
  <c r="R6" i="4"/>
  <c r="R5" i="4"/>
  <c r="R4" i="4"/>
  <c r="G409" i="4"/>
  <c r="F409" i="4"/>
  <c r="G408" i="4"/>
  <c r="I408" i="4" s="1"/>
  <c r="F408" i="4"/>
  <c r="H408" i="4" s="1"/>
  <c r="I407" i="4"/>
  <c r="G407" i="4"/>
  <c r="F407" i="4"/>
  <c r="H407" i="4" s="1"/>
  <c r="G406" i="4"/>
  <c r="I406" i="4" s="1"/>
  <c r="F406" i="4"/>
  <c r="H406" i="4" s="1"/>
  <c r="H405" i="4"/>
  <c r="G405" i="4"/>
  <c r="I405" i="4" s="1"/>
  <c r="F405" i="4"/>
  <c r="G404" i="4"/>
  <c r="I404" i="4" s="1"/>
  <c r="F404" i="4"/>
  <c r="H404" i="4" s="1"/>
  <c r="I403" i="4"/>
  <c r="G403" i="4"/>
  <c r="F403" i="4"/>
  <c r="H403" i="4" s="1"/>
  <c r="G402" i="4"/>
  <c r="I402" i="4" s="1"/>
  <c r="F402" i="4"/>
  <c r="H402" i="4" s="1"/>
  <c r="I401" i="4"/>
  <c r="H401" i="4"/>
  <c r="G401" i="4"/>
  <c r="F401" i="4"/>
  <c r="G400" i="4"/>
  <c r="I400" i="4" s="1"/>
  <c r="F400" i="4"/>
  <c r="H400" i="4" s="1"/>
  <c r="I399" i="4"/>
  <c r="G399" i="4"/>
  <c r="F399" i="4"/>
  <c r="H399" i="4" s="1"/>
  <c r="I398" i="4"/>
  <c r="G398" i="4"/>
  <c r="F398" i="4"/>
  <c r="H398" i="4" s="1"/>
  <c r="H397" i="4"/>
  <c r="G397" i="4"/>
  <c r="I397" i="4" s="1"/>
  <c r="F397" i="4"/>
  <c r="G396" i="4"/>
  <c r="I396" i="4" s="1"/>
  <c r="F396" i="4"/>
  <c r="H396" i="4" s="1"/>
  <c r="I395" i="4"/>
  <c r="G395" i="4"/>
  <c r="F395" i="4"/>
  <c r="H395" i="4" s="1"/>
  <c r="G394" i="4"/>
  <c r="I394" i="4" s="1"/>
  <c r="F394" i="4"/>
  <c r="H394" i="4" s="1"/>
  <c r="I393" i="4"/>
  <c r="H393" i="4"/>
  <c r="G393" i="4"/>
  <c r="F393" i="4"/>
  <c r="G392" i="4"/>
  <c r="I392" i="4" s="1"/>
  <c r="F392" i="4"/>
  <c r="H392" i="4" s="1"/>
  <c r="I391" i="4"/>
  <c r="G391" i="4"/>
  <c r="F391" i="4"/>
  <c r="H391" i="4" s="1"/>
  <c r="G390" i="4"/>
  <c r="I390" i="4" s="1"/>
  <c r="F390" i="4"/>
  <c r="H390" i="4" s="1"/>
  <c r="H389" i="4"/>
  <c r="G389" i="4"/>
  <c r="I389" i="4" s="1"/>
  <c r="F389" i="4"/>
  <c r="G388" i="4"/>
  <c r="I388" i="4" s="1"/>
  <c r="F388" i="4"/>
  <c r="H388" i="4" s="1"/>
  <c r="I387" i="4"/>
  <c r="G387" i="4"/>
  <c r="F387" i="4"/>
  <c r="H387" i="4" s="1"/>
  <c r="G386" i="4"/>
  <c r="I386" i="4" s="1"/>
  <c r="F386" i="4"/>
  <c r="H386" i="4" s="1"/>
  <c r="I385" i="4"/>
  <c r="H385" i="4"/>
  <c r="G385" i="4"/>
  <c r="F385" i="4"/>
  <c r="G384" i="4"/>
  <c r="I384" i="4" s="1"/>
  <c r="F384" i="4"/>
  <c r="H384" i="4" s="1"/>
  <c r="I383" i="4"/>
  <c r="G383" i="4"/>
  <c r="F383" i="4"/>
  <c r="H383" i="4" s="1"/>
  <c r="I382" i="4"/>
  <c r="G382" i="4"/>
  <c r="F382" i="4"/>
  <c r="H382" i="4" s="1"/>
  <c r="H381" i="4"/>
  <c r="G381" i="4"/>
  <c r="I381" i="4" s="1"/>
  <c r="F381" i="4"/>
  <c r="G380" i="4"/>
  <c r="I380" i="4" s="1"/>
  <c r="F380" i="4"/>
  <c r="H380" i="4" s="1"/>
  <c r="I379" i="4"/>
  <c r="G379" i="4"/>
  <c r="F379" i="4"/>
  <c r="H379" i="4" s="1"/>
  <c r="G378" i="4"/>
  <c r="I378" i="4" s="1"/>
  <c r="F378" i="4"/>
  <c r="H378" i="4" s="1"/>
  <c r="I377" i="4"/>
  <c r="H377" i="4"/>
  <c r="G377" i="4"/>
  <c r="F377" i="4"/>
  <c r="G376" i="4"/>
  <c r="I376" i="4" s="1"/>
  <c r="F376" i="4"/>
  <c r="H376" i="4" s="1"/>
  <c r="I375" i="4"/>
  <c r="G375" i="4"/>
  <c r="F375" i="4"/>
  <c r="H375" i="4" s="1"/>
  <c r="G374" i="4"/>
  <c r="I374" i="4" s="1"/>
  <c r="F374" i="4"/>
  <c r="H374" i="4" s="1"/>
  <c r="H373" i="4"/>
  <c r="G373" i="4"/>
  <c r="I373" i="4" s="1"/>
  <c r="F373" i="4"/>
  <c r="G372" i="4"/>
  <c r="I372" i="4" s="1"/>
  <c r="F372" i="4"/>
  <c r="H372" i="4" s="1"/>
  <c r="I371" i="4"/>
  <c r="G371" i="4"/>
  <c r="F371" i="4"/>
  <c r="H371" i="4" s="1"/>
  <c r="G370" i="4"/>
  <c r="I370" i="4" s="1"/>
  <c r="F370" i="4"/>
  <c r="H370" i="4" s="1"/>
  <c r="I369" i="4"/>
  <c r="H369" i="4"/>
  <c r="G369" i="4"/>
  <c r="F369" i="4"/>
  <c r="G368" i="4"/>
  <c r="I368" i="4" s="1"/>
  <c r="F368" i="4"/>
  <c r="H368" i="4" s="1"/>
  <c r="I367" i="4"/>
  <c r="G367" i="4"/>
  <c r="F367" i="4"/>
  <c r="H367" i="4" s="1"/>
  <c r="I366" i="4"/>
  <c r="G366" i="4"/>
  <c r="F366" i="4"/>
  <c r="H366" i="4" s="1"/>
  <c r="H365" i="4"/>
  <c r="G365" i="4"/>
  <c r="I365" i="4" s="1"/>
  <c r="F365" i="4"/>
  <c r="G364" i="4"/>
  <c r="I364" i="4" s="1"/>
  <c r="F364" i="4"/>
  <c r="H364" i="4" s="1"/>
  <c r="I363" i="4"/>
  <c r="G363" i="4"/>
  <c r="F363" i="4"/>
  <c r="H363" i="4" s="1"/>
  <c r="G362" i="4"/>
  <c r="I362" i="4" s="1"/>
  <c r="F362" i="4"/>
  <c r="H362" i="4" s="1"/>
  <c r="I361" i="4"/>
  <c r="H361" i="4"/>
  <c r="G361" i="4"/>
  <c r="F361" i="4"/>
  <c r="G360" i="4"/>
  <c r="I360" i="4" s="1"/>
  <c r="F360" i="4"/>
  <c r="H360" i="4" s="1"/>
  <c r="I359" i="4"/>
  <c r="G359" i="4"/>
  <c r="F359" i="4"/>
  <c r="H359" i="4" s="1"/>
  <c r="G358" i="4"/>
  <c r="I358" i="4" s="1"/>
  <c r="F358" i="4"/>
  <c r="H358" i="4" s="1"/>
  <c r="H357" i="4"/>
  <c r="G357" i="4"/>
  <c r="I357" i="4" s="1"/>
  <c r="F357" i="4"/>
  <c r="G356" i="4"/>
  <c r="I356" i="4" s="1"/>
  <c r="F356" i="4"/>
  <c r="H356" i="4" s="1"/>
  <c r="I355" i="4"/>
  <c r="G355" i="4"/>
  <c r="F355" i="4"/>
  <c r="H355" i="4" s="1"/>
  <c r="G354" i="4"/>
  <c r="I354" i="4" s="1"/>
  <c r="F354" i="4"/>
  <c r="H354" i="4" s="1"/>
  <c r="I353" i="4"/>
  <c r="H353" i="4"/>
  <c r="G353" i="4"/>
  <c r="F353" i="4"/>
  <c r="G352" i="4"/>
  <c r="I352" i="4" s="1"/>
  <c r="F352" i="4"/>
  <c r="H352" i="4" s="1"/>
  <c r="I351" i="4"/>
  <c r="G351" i="4"/>
  <c r="F351" i="4"/>
  <c r="H351" i="4" s="1"/>
  <c r="I350" i="4"/>
  <c r="G350" i="4"/>
  <c r="F350" i="4"/>
  <c r="H350" i="4" s="1"/>
  <c r="H349" i="4"/>
  <c r="G349" i="4"/>
  <c r="I349" i="4" s="1"/>
  <c r="F349" i="4"/>
  <c r="G348" i="4"/>
  <c r="I348" i="4" s="1"/>
  <c r="F348" i="4"/>
  <c r="H348" i="4" s="1"/>
  <c r="I347" i="4"/>
  <c r="G347" i="4"/>
  <c r="F347" i="4"/>
  <c r="H347" i="4" s="1"/>
  <c r="G346" i="4"/>
  <c r="I346" i="4" s="1"/>
  <c r="F346" i="4"/>
  <c r="H346" i="4" s="1"/>
  <c r="I345" i="4"/>
  <c r="H345" i="4"/>
  <c r="G345" i="4"/>
  <c r="F345" i="4"/>
  <c r="G344" i="4"/>
  <c r="I344" i="4" s="1"/>
  <c r="F344" i="4"/>
  <c r="H344" i="4" s="1"/>
  <c r="I343" i="4"/>
  <c r="G343" i="4"/>
  <c r="F343" i="4"/>
  <c r="H343" i="4" s="1"/>
  <c r="G342" i="4"/>
  <c r="I342" i="4" s="1"/>
  <c r="F342" i="4"/>
  <c r="H342" i="4" s="1"/>
  <c r="H341" i="4"/>
  <c r="G341" i="4"/>
  <c r="I341" i="4" s="1"/>
  <c r="F341" i="4"/>
  <c r="G340" i="4"/>
  <c r="I340" i="4" s="1"/>
  <c r="F340" i="4"/>
  <c r="H340" i="4" s="1"/>
  <c r="I339" i="4"/>
  <c r="G339" i="4"/>
  <c r="F339" i="4"/>
  <c r="H339" i="4" s="1"/>
  <c r="G338" i="4"/>
  <c r="I338" i="4" s="1"/>
  <c r="F338" i="4"/>
  <c r="H338" i="4" s="1"/>
  <c r="I337" i="4"/>
  <c r="H337" i="4"/>
  <c r="G337" i="4"/>
  <c r="F337" i="4"/>
  <c r="G336" i="4"/>
  <c r="I336" i="4" s="1"/>
  <c r="F336" i="4"/>
  <c r="H336" i="4" s="1"/>
  <c r="I335" i="4"/>
  <c r="G335" i="4"/>
  <c r="F335" i="4"/>
  <c r="H335" i="4" s="1"/>
  <c r="I334" i="4"/>
  <c r="G334" i="4"/>
  <c r="F334" i="4"/>
  <c r="H334" i="4" s="1"/>
  <c r="H333" i="4"/>
  <c r="G333" i="4"/>
  <c r="I333" i="4" s="1"/>
  <c r="F333" i="4"/>
  <c r="G332" i="4"/>
  <c r="I332" i="4" s="1"/>
  <c r="F332" i="4"/>
  <c r="H332" i="4" s="1"/>
  <c r="I331" i="4"/>
  <c r="G331" i="4"/>
  <c r="F331" i="4"/>
  <c r="H331" i="4" s="1"/>
  <c r="G330" i="4"/>
  <c r="I330" i="4" s="1"/>
  <c r="F330" i="4"/>
  <c r="H330" i="4" s="1"/>
  <c r="I329" i="4"/>
  <c r="H329" i="4"/>
  <c r="G329" i="4"/>
  <c r="F329" i="4"/>
  <c r="G328" i="4"/>
  <c r="I328" i="4" s="1"/>
  <c r="F328" i="4"/>
  <c r="H328" i="4" s="1"/>
  <c r="I327" i="4"/>
  <c r="G327" i="4"/>
  <c r="F327" i="4"/>
  <c r="H327" i="4" s="1"/>
  <c r="G326" i="4"/>
  <c r="I326" i="4" s="1"/>
  <c r="F326" i="4"/>
  <c r="H326" i="4" s="1"/>
  <c r="H325" i="4"/>
  <c r="G325" i="4"/>
  <c r="I325" i="4" s="1"/>
  <c r="F325" i="4"/>
  <c r="G324" i="4"/>
  <c r="I324" i="4" s="1"/>
  <c r="F324" i="4"/>
  <c r="H324" i="4" s="1"/>
  <c r="I323" i="4"/>
  <c r="G323" i="4"/>
  <c r="F323" i="4"/>
  <c r="H323" i="4" s="1"/>
  <c r="G322" i="4"/>
  <c r="I322" i="4" s="1"/>
  <c r="F322" i="4"/>
  <c r="H322" i="4" s="1"/>
  <c r="I321" i="4"/>
  <c r="H321" i="4"/>
  <c r="G321" i="4"/>
  <c r="F321" i="4"/>
  <c r="G320" i="4"/>
  <c r="I320" i="4" s="1"/>
  <c r="F320" i="4"/>
  <c r="H320" i="4" s="1"/>
  <c r="I319" i="4"/>
  <c r="G319" i="4"/>
  <c r="F319" i="4"/>
  <c r="H319" i="4" s="1"/>
  <c r="I318" i="4"/>
  <c r="G318" i="4"/>
  <c r="F318" i="4"/>
  <c r="H318" i="4" s="1"/>
  <c r="H317" i="4"/>
  <c r="G317" i="4"/>
  <c r="I317" i="4" s="1"/>
  <c r="F317" i="4"/>
  <c r="G316" i="4"/>
  <c r="I316" i="4" s="1"/>
  <c r="F316" i="4"/>
  <c r="H316" i="4" s="1"/>
  <c r="I315" i="4"/>
  <c r="G315" i="4"/>
  <c r="F315" i="4"/>
  <c r="H315" i="4" s="1"/>
  <c r="G314" i="4"/>
  <c r="I314" i="4" s="1"/>
  <c r="F314" i="4"/>
  <c r="H314" i="4" s="1"/>
  <c r="I313" i="4"/>
  <c r="H313" i="4"/>
  <c r="G313" i="4"/>
  <c r="F313" i="4"/>
  <c r="G312" i="4"/>
  <c r="I312" i="4" s="1"/>
  <c r="F312" i="4"/>
  <c r="H312" i="4" s="1"/>
  <c r="I311" i="4"/>
  <c r="G311" i="4"/>
  <c r="F311" i="4"/>
  <c r="H311" i="4" s="1"/>
  <c r="G310" i="4"/>
  <c r="I310" i="4" s="1"/>
  <c r="F310" i="4"/>
  <c r="H310" i="4" s="1"/>
  <c r="H309" i="4"/>
  <c r="G309" i="4"/>
  <c r="I309" i="4" s="1"/>
  <c r="F309" i="4"/>
  <c r="G308" i="4"/>
  <c r="I308" i="4" s="1"/>
  <c r="F308" i="4"/>
  <c r="H308" i="4" s="1"/>
  <c r="I307" i="4"/>
  <c r="G307" i="4"/>
  <c r="F307" i="4"/>
  <c r="H307" i="4" s="1"/>
  <c r="G306" i="4"/>
  <c r="I306" i="4" s="1"/>
  <c r="F306" i="4"/>
  <c r="H306" i="4" s="1"/>
  <c r="I305" i="4"/>
  <c r="H305" i="4"/>
  <c r="G305" i="4"/>
  <c r="F305" i="4"/>
  <c r="G304" i="4"/>
  <c r="I304" i="4" s="1"/>
  <c r="F304" i="4"/>
  <c r="H304" i="4" s="1"/>
  <c r="I303" i="4"/>
  <c r="G303" i="4"/>
  <c r="F303" i="4"/>
  <c r="H303" i="4" s="1"/>
  <c r="I302" i="4"/>
  <c r="G302" i="4"/>
  <c r="F302" i="4"/>
  <c r="H302" i="4" s="1"/>
  <c r="H301" i="4"/>
  <c r="G301" i="4"/>
  <c r="I301" i="4" s="1"/>
  <c r="F301" i="4"/>
  <c r="G300" i="4"/>
  <c r="I300" i="4" s="1"/>
  <c r="F300" i="4"/>
  <c r="H300" i="4" s="1"/>
  <c r="I299" i="4"/>
  <c r="G299" i="4"/>
  <c r="F299" i="4"/>
  <c r="H299" i="4" s="1"/>
  <c r="G298" i="4"/>
  <c r="I298" i="4" s="1"/>
  <c r="F298" i="4"/>
  <c r="H298" i="4" s="1"/>
  <c r="I297" i="4"/>
  <c r="H297" i="4"/>
  <c r="G297" i="4"/>
  <c r="F297" i="4"/>
  <c r="G296" i="4"/>
  <c r="I296" i="4" s="1"/>
  <c r="F296" i="4"/>
  <c r="H296" i="4" s="1"/>
  <c r="I295" i="4"/>
  <c r="G295" i="4"/>
  <c r="F295" i="4"/>
  <c r="H295" i="4" s="1"/>
  <c r="G294" i="4"/>
  <c r="I294" i="4" s="1"/>
  <c r="F294" i="4"/>
  <c r="H294" i="4" s="1"/>
  <c r="H293" i="4"/>
  <c r="G293" i="4"/>
  <c r="I293" i="4" s="1"/>
  <c r="F293" i="4"/>
  <c r="G292" i="4"/>
  <c r="I292" i="4" s="1"/>
  <c r="F292" i="4"/>
  <c r="H292" i="4" s="1"/>
  <c r="I291" i="4"/>
  <c r="G291" i="4"/>
  <c r="F291" i="4"/>
  <c r="H291" i="4" s="1"/>
  <c r="G290" i="4"/>
  <c r="I290" i="4" s="1"/>
  <c r="F290" i="4"/>
  <c r="H290" i="4" s="1"/>
  <c r="I289" i="4"/>
  <c r="H289" i="4"/>
  <c r="G289" i="4"/>
  <c r="F289" i="4"/>
  <c r="G288" i="4"/>
  <c r="I288" i="4" s="1"/>
  <c r="F288" i="4"/>
  <c r="H288" i="4" s="1"/>
  <c r="I287" i="4"/>
  <c r="G287" i="4"/>
  <c r="F287" i="4"/>
  <c r="H287" i="4" s="1"/>
  <c r="G286" i="4"/>
  <c r="I286" i="4" s="1"/>
  <c r="F286" i="4"/>
  <c r="H286" i="4" s="1"/>
  <c r="H285" i="4"/>
  <c r="G285" i="4"/>
  <c r="I285" i="4" s="1"/>
  <c r="F285" i="4"/>
  <c r="G284" i="4"/>
  <c r="I284" i="4" s="1"/>
  <c r="F284" i="4"/>
  <c r="H284" i="4" s="1"/>
  <c r="I283" i="4"/>
  <c r="G283" i="4"/>
  <c r="F283" i="4"/>
  <c r="H283" i="4" s="1"/>
  <c r="G282" i="4"/>
  <c r="I282" i="4" s="1"/>
  <c r="F282" i="4"/>
  <c r="H282" i="4" s="1"/>
  <c r="I281" i="4"/>
  <c r="H281" i="4"/>
  <c r="G281" i="4"/>
  <c r="F281" i="4"/>
  <c r="G280" i="4"/>
  <c r="I280" i="4" s="1"/>
  <c r="F280" i="4"/>
  <c r="H280" i="4" s="1"/>
  <c r="I279" i="4"/>
  <c r="G279" i="4"/>
  <c r="F279" i="4"/>
  <c r="H279" i="4" s="1"/>
  <c r="G278" i="4"/>
  <c r="I278" i="4" s="1"/>
  <c r="F278" i="4"/>
  <c r="H278" i="4" s="1"/>
  <c r="H277" i="4"/>
  <c r="G277" i="4"/>
  <c r="I277" i="4" s="1"/>
  <c r="F277" i="4"/>
  <c r="G276" i="4"/>
  <c r="I276" i="4" s="1"/>
  <c r="F276" i="4"/>
  <c r="H276" i="4" s="1"/>
  <c r="I275" i="4"/>
  <c r="G275" i="4"/>
  <c r="F275" i="4"/>
  <c r="H275" i="4" s="1"/>
  <c r="G274" i="4"/>
  <c r="I274" i="4" s="1"/>
  <c r="F274" i="4"/>
  <c r="H274" i="4" s="1"/>
  <c r="I273" i="4"/>
  <c r="H273" i="4"/>
  <c r="G273" i="4"/>
  <c r="F273" i="4"/>
  <c r="G272" i="4"/>
  <c r="I272" i="4" s="1"/>
  <c r="F272" i="4"/>
  <c r="H272" i="4" s="1"/>
  <c r="I271" i="4"/>
  <c r="G271" i="4"/>
  <c r="F271" i="4"/>
  <c r="H271" i="4" s="1"/>
  <c r="G270" i="4"/>
  <c r="I270" i="4" s="1"/>
  <c r="F270" i="4"/>
  <c r="H270" i="4" s="1"/>
  <c r="H269" i="4"/>
  <c r="G269" i="4"/>
  <c r="I269" i="4" s="1"/>
  <c r="F269" i="4"/>
  <c r="G268" i="4"/>
  <c r="I268" i="4" s="1"/>
  <c r="F268" i="4"/>
  <c r="H268" i="4" s="1"/>
  <c r="I267" i="4"/>
  <c r="G267" i="4"/>
  <c r="F267" i="4"/>
  <c r="H267" i="4" s="1"/>
  <c r="G266" i="4"/>
  <c r="I266" i="4" s="1"/>
  <c r="F266" i="4"/>
  <c r="H266" i="4" s="1"/>
  <c r="I265" i="4"/>
  <c r="H265" i="4"/>
  <c r="G265" i="4"/>
  <c r="F265" i="4"/>
  <c r="G264" i="4"/>
  <c r="I264" i="4" s="1"/>
  <c r="F264" i="4"/>
  <c r="H264" i="4" s="1"/>
  <c r="I263" i="4"/>
  <c r="G263" i="4"/>
  <c r="F263" i="4"/>
  <c r="H263" i="4" s="1"/>
  <c r="G262" i="4"/>
  <c r="I262" i="4" s="1"/>
  <c r="F262" i="4"/>
  <c r="H262" i="4" s="1"/>
  <c r="H261" i="4"/>
  <c r="G261" i="4"/>
  <c r="I261" i="4" s="1"/>
  <c r="F261" i="4"/>
  <c r="G260" i="4"/>
  <c r="I260" i="4" s="1"/>
  <c r="F260" i="4"/>
  <c r="H260" i="4" s="1"/>
  <c r="I259" i="4"/>
  <c r="H259" i="4"/>
  <c r="G259" i="4"/>
  <c r="F259" i="4"/>
  <c r="G258" i="4"/>
  <c r="I258" i="4" s="1"/>
  <c r="F258" i="4"/>
  <c r="H258" i="4" s="1"/>
  <c r="I257" i="4"/>
  <c r="H257" i="4"/>
  <c r="G257" i="4"/>
  <c r="F257" i="4"/>
  <c r="G256" i="4"/>
  <c r="I256" i="4" s="1"/>
  <c r="F256" i="4"/>
  <c r="H256" i="4" s="1"/>
  <c r="I255" i="4"/>
  <c r="G255" i="4"/>
  <c r="F255" i="4"/>
  <c r="H255" i="4" s="1"/>
  <c r="I254" i="4"/>
  <c r="G254" i="4"/>
  <c r="F254" i="4"/>
  <c r="H254" i="4" s="1"/>
  <c r="G253" i="4"/>
  <c r="I253" i="4" s="1"/>
  <c r="F253" i="4"/>
  <c r="H253" i="4" s="1"/>
  <c r="G252" i="4"/>
  <c r="I252" i="4" s="1"/>
  <c r="F252" i="4"/>
  <c r="H252" i="4" s="1"/>
  <c r="I251" i="4"/>
  <c r="G251" i="4"/>
  <c r="F251" i="4"/>
  <c r="H251" i="4" s="1"/>
  <c r="I250" i="4"/>
  <c r="H250" i="4"/>
  <c r="G250" i="4"/>
  <c r="F250" i="4"/>
  <c r="G249" i="4"/>
  <c r="I249" i="4" s="1"/>
  <c r="F249" i="4"/>
  <c r="H249" i="4" s="1"/>
  <c r="G248" i="4"/>
  <c r="I248" i="4" s="1"/>
  <c r="F248" i="4"/>
  <c r="H248" i="4" s="1"/>
  <c r="I247" i="4"/>
  <c r="H247" i="4"/>
  <c r="G247" i="4"/>
  <c r="F247" i="4"/>
  <c r="G246" i="4"/>
  <c r="I246" i="4" s="1"/>
  <c r="F246" i="4"/>
  <c r="H246" i="4" s="1"/>
  <c r="G245" i="4"/>
  <c r="I245" i="4" s="1"/>
  <c r="F245" i="4"/>
  <c r="H245" i="4" s="1"/>
  <c r="H244" i="4"/>
  <c r="G244" i="4"/>
  <c r="I244" i="4" s="1"/>
  <c r="F244" i="4"/>
  <c r="I243" i="4"/>
  <c r="H243" i="4"/>
  <c r="G243" i="4"/>
  <c r="F243" i="4"/>
  <c r="G242" i="4"/>
  <c r="I242" i="4" s="1"/>
  <c r="F242" i="4"/>
  <c r="H242" i="4" s="1"/>
  <c r="I241" i="4"/>
  <c r="H241" i="4"/>
  <c r="G241" i="4"/>
  <c r="F241" i="4"/>
  <c r="H240" i="4"/>
  <c r="G240" i="4"/>
  <c r="I240" i="4" s="1"/>
  <c r="F240" i="4"/>
  <c r="G239" i="4"/>
  <c r="I239" i="4" s="1"/>
  <c r="F239" i="4"/>
  <c r="H239" i="4" s="1"/>
  <c r="I238" i="4"/>
  <c r="G238" i="4"/>
  <c r="F238" i="4"/>
  <c r="H238" i="4" s="1"/>
  <c r="I237" i="4"/>
  <c r="H237" i="4"/>
  <c r="G237" i="4"/>
  <c r="F237" i="4"/>
  <c r="G236" i="4"/>
  <c r="I236" i="4" s="1"/>
  <c r="F236" i="4"/>
  <c r="H236" i="4" s="1"/>
  <c r="H235" i="4"/>
  <c r="G235" i="4"/>
  <c r="I235" i="4" s="1"/>
  <c r="F235" i="4"/>
  <c r="I234" i="4"/>
  <c r="G234" i="4"/>
  <c r="F234" i="4"/>
  <c r="H234" i="4" s="1"/>
  <c r="H233" i="4"/>
  <c r="G233" i="4"/>
  <c r="I233" i="4" s="1"/>
  <c r="F233" i="4"/>
  <c r="H232" i="4"/>
  <c r="G232" i="4"/>
  <c r="I232" i="4" s="1"/>
  <c r="F232" i="4"/>
  <c r="H231" i="4"/>
  <c r="G231" i="4"/>
  <c r="I231" i="4" s="1"/>
  <c r="F231" i="4"/>
  <c r="I230" i="4"/>
  <c r="G230" i="4"/>
  <c r="F230" i="4"/>
  <c r="H230" i="4" s="1"/>
  <c r="H229" i="4"/>
  <c r="G229" i="4"/>
  <c r="I229" i="4" s="1"/>
  <c r="F229" i="4"/>
  <c r="G228" i="4"/>
  <c r="I228" i="4" s="1"/>
  <c r="F228" i="4"/>
  <c r="H228" i="4" s="1"/>
  <c r="H227" i="4"/>
  <c r="G227" i="4"/>
  <c r="I227" i="4" s="1"/>
  <c r="F227" i="4"/>
  <c r="I226" i="4"/>
  <c r="G226" i="4"/>
  <c r="F226" i="4"/>
  <c r="H226" i="4" s="1"/>
  <c r="H225" i="4"/>
  <c r="G225" i="4"/>
  <c r="I225" i="4" s="1"/>
  <c r="F225" i="4"/>
  <c r="I224" i="4"/>
  <c r="H224" i="4"/>
  <c r="G224" i="4"/>
  <c r="F224" i="4"/>
  <c r="G223" i="4"/>
  <c r="I223" i="4" s="1"/>
  <c r="F223" i="4"/>
  <c r="H223" i="4" s="1"/>
  <c r="I222" i="4"/>
  <c r="G222" i="4"/>
  <c r="F222" i="4"/>
  <c r="H222" i="4" s="1"/>
  <c r="H221" i="4"/>
  <c r="G221" i="4"/>
  <c r="I221" i="4" s="1"/>
  <c r="F221" i="4"/>
  <c r="G220" i="4"/>
  <c r="I220" i="4" s="1"/>
  <c r="F220" i="4"/>
  <c r="H220" i="4" s="1"/>
  <c r="H219" i="4"/>
  <c r="G219" i="4"/>
  <c r="I219" i="4" s="1"/>
  <c r="F219" i="4"/>
  <c r="I218" i="4"/>
  <c r="G218" i="4"/>
  <c r="F218" i="4"/>
  <c r="H218" i="4" s="1"/>
  <c r="H217" i="4"/>
  <c r="G217" i="4"/>
  <c r="I217" i="4" s="1"/>
  <c r="F217" i="4"/>
  <c r="H216" i="4"/>
  <c r="G216" i="4"/>
  <c r="I216" i="4" s="1"/>
  <c r="F216" i="4"/>
  <c r="G215" i="4"/>
  <c r="I215" i="4" s="1"/>
  <c r="F215" i="4"/>
  <c r="H215" i="4" s="1"/>
  <c r="I214" i="4"/>
  <c r="G214" i="4"/>
  <c r="F214" i="4"/>
  <c r="H214" i="4" s="1"/>
  <c r="I213" i="4"/>
  <c r="H213" i="4"/>
  <c r="G213" i="4"/>
  <c r="F213" i="4"/>
  <c r="G212" i="4"/>
  <c r="I212" i="4" s="1"/>
  <c r="F212" i="4"/>
  <c r="H212" i="4" s="1"/>
  <c r="H211" i="4"/>
  <c r="G211" i="4"/>
  <c r="I211" i="4" s="1"/>
  <c r="F211" i="4"/>
  <c r="I210" i="4"/>
  <c r="G210" i="4"/>
  <c r="F210" i="4"/>
  <c r="H210" i="4" s="1"/>
  <c r="H209" i="4"/>
  <c r="G209" i="4"/>
  <c r="I209" i="4" s="1"/>
  <c r="F209" i="4"/>
  <c r="I208" i="4"/>
  <c r="H208" i="4"/>
  <c r="G208" i="4"/>
  <c r="F208" i="4"/>
  <c r="G207" i="4"/>
  <c r="I207" i="4" s="1"/>
  <c r="F207" i="4"/>
  <c r="H207" i="4" s="1"/>
  <c r="I206" i="4"/>
  <c r="G206" i="4"/>
  <c r="F206" i="4"/>
  <c r="H206" i="4" s="1"/>
  <c r="H205" i="4"/>
  <c r="G205" i="4"/>
  <c r="I205" i="4" s="1"/>
  <c r="F205" i="4"/>
  <c r="H204" i="4"/>
  <c r="G204" i="4"/>
  <c r="I204" i="4" s="1"/>
  <c r="F204" i="4"/>
  <c r="H203" i="4"/>
  <c r="G203" i="4"/>
  <c r="I203" i="4" s="1"/>
  <c r="F203" i="4"/>
  <c r="I202" i="4"/>
  <c r="G202" i="4"/>
  <c r="F202" i="4"/>
  <c r="H202" i="4" s="1"/>
  <c r="H201" i="4"/>
  <c r="G201" i="4"/>
  <c r="I201" i="4" s="1"/>
  <c r="F201" i="4"/>
  <c r="I200" i="4"/>
  <c r="H200" i="4"/>
  <c r="G200" i="4"/>
  <c r="F200" i="4"/>
  <c r="G199" i="4"/>
  <c r="I199" i="4" s="1"/>
  <c r="F199" i="4"/>
  <c r="H199" i="4" s="1"/>
  <c r="I198" i="4"/>
  <c r="G198" i="4"/>
  <c r="F198" i="4"/>
  <c r="H198" i="4" s="1"/>
  <c r="I197" i="4"/>
  <c r="H197" i="4"/>
  <c r="G197" i="4"/>
  <c r="F197" i="4"/>
  <c r="G196" i="4"/>
  <c r="I196" i="4" s="1"/>
  <c r="F196" i="4"/>
  <c r="H196" i="4" s="1"/>
  <c r="I195" i="4"/>
  <c r="H195" i="4"/>
  <c r="G195" i="4"/>
  <c r="F195" i="4"/>
  <c r="G194" i="4"/>
  <c r="I194" i="4" s="1"/>
  <c r="F194" i="4"/>
  <c r="H194" i="4" s="1"/>
  <c r="I193" i="4"/>
  <c r="G193" i="4"/>
  <c r="F193" i="4"/>
  <c r="H193" i="4" s="1"/>
  <c r="G192" i="4"/>
  <c r="I192" i="4" s="1"/>
  <c r="F192" i="4"/>
  <c r="H192" i="4" s="1"/>
  <c r="I191" i="4"/>
  <c r="H191" i="4"/>
  <c r="G191" i="4"/>
  <c r="F191" i="4"/>
  <c r="I190" i="4"/>
  <c r="G190" i="4"/>
  <c r="F190" i="4"/>
  <c r="H190" i="4" s="1"/>
  <c r="G189" i="4"/>
  <c r="I189" i="4" s="1"/>
  <c r="F189" i="4"/>
  <c r="H189" i="4" s="1"/>
  <c r="G188" i="4"/>
  <c r="I188" i="4" s="1"/>
  <c r="F188" i="4"/>
  <c r="H188" i="4" s="1"/>
  <c r="I187" i="4"/>
  <c r="H187" i="4"/>
  <c r="G187" i="4"/>
  <c r="F187" i="4"/>
  <c r="H186" i="4"/>
  <c r="G186" i="4"/>
  <c r="I186" i="4" s="1"/>
  <c r="F186" i="4"/>
  <c r="I185" i="4"/>
  <c r="G185" i="4"/>
  <c r="F185" i="4"/>
  <c r="H185" i="4" s="1"/>
  <c r="G184" i="4"/>
  <c r="I184" i="4" s="1"/>
  <c r="F184" i="4"/>
  <c r="H184" i="4" s="1"/>
  <c r="I183" i="4"/>
  <c r="H183" i="4"/>
  <c r="G183" i="4"/>
  <c r="F183" i="4"/>
  <c r="I182" i="4"/>
  <c r="G182" i="4"/>
  <c r="F182" i="4"/>
  <c r="H182" i="4" s="1"/>
  <c r="G181" i="4"/>
  <c r="I181" i="4" s="1"/>
  <c r="F181" i="4"/>
  <c r="H181" i="4" s="1"/>
  <c r="G180" i="4"/>
  <c r="I180" i="4" s="1"/>
  <c r="F180" i="4"/>
  <c r="H180" i="4" s="1"/>
  <c r="I179" i="4"/>
  <c r="H179" i="4"/>
  <c r="G179" i="4"/>
  <c r="F179" i="4"/>
  <c r="G178" i="4"/>
  <c r="I178" i="4" s="1"/>
  <c r="F178" i="4"/>
  <c r="H178" i="4" s="1"/>
  <c r="I177" i="4"/>
  <c r="G177" i="4"/>
  <c r="F177" i="4"/>
  <c r="H177" i="4" s="1"/>
  <c r="G176" i="4"/>
  <c r="I176" i="4" s="1"/>
  <c r="F176" i="4"/>
  <c r="H176" i="4" s="1"/>
  <c r="I175" i="4"/>
  <c r="H175" i="4"/>
  <c r="G175" i="4"/>
  <c r="F175" i="4"/>
  <c r="I174" i="4"/>
  <c r="G174" i="4"/>
  <c r="F174" i="4"/>
  <c r="H174" i="4" s="1"/>
  <c r="G173" i="4"/>
  <c r="I173" i="4" s="1"/>
  <c r="F173" i="4"/>
  <c r="H173" i="4" s="1"/>
  <c r="G172" i="4"/>
  <c r="I172" i="4" s="1"/>
  <c r="F172" i="4"/>
  <c r="H172" i="4" s="1"/>
  <c r="I171" i="4"/>
  <c r="H171" i="4"/>
  <c r="G171" i="4"/>
  <c r="F171" i="4"/>
  <c r="G170" i="4"/>
  <c r="I170" i="4" s="1"/>
  <c r="F170" i="4"/>
  <c r="H170" i="4" s="1"/>
  <c r="I169" i="4"/>
  <c r="G169" i="4"/>
  <c r="F169" i="4"/>
  <c r="H169" i="4" s="1"/>
  <c r="G168" i="4"/>
  <c r="I168" i="4" s="1"/>
  <c r="F168" i="4"/>
  <c r="H168" i="4" s="1"/>
  <c r="H167" i="4"/>
  <c r="G167" i="4"/>
  <c r="I167" i="4" s="1"/>
  <c r="F167" i="4"/>
  <c r="I166" i="4"/>
  <c r="G166" i="4"/>
  <c r="F166" i="4"/>
  <c r="H166" i="4" s="1"/>
  <c r="I165" i="4"/>
  <c r="H165" i="4"/>
  <c r="G165" i="4"/>
  <c r="F165" i="4"/>
  <c r="G164" i="4"/>
  <c r="I164" i="4" s="1"/>
  <c r="F164" i="4"/>
  <c r="H164" i="4" s="1"/>
  <c r="G163" i="4"/>
  <c r="I163" i="4" s="1"/>
  <c r="F163" i="4"/>
  <c r="H163" i="4" s="1"/>
  <c r="I162" i="4"/>
  <c r="G162" i="4"/>
  <c r="F162" i="4"/>
  <c r="H162" i="4" s="1"/>
  <c r="I161" i="4"/>
  <c r="H161" i="4"/>
  <c r="G161" i="4"/>
  <c r="F161" i="4"/>
  <c r="G160" i="4"/>
  <c r="I160" i="4" s="1"/>
  <c r="F160" i="4"/>
  <c r="H160" i="4" s="1"/>
  <c r="G159" i="4"/>
  <c r="I159" i="4" s="1"/>
  <c r="F159" i="4"/>
  <c r="H159" i="4" s="1"/>
  <c r="I158" i="4"/>
  <c r="G158" i="4"/>
  <c r="F158" i="4"/>
  <c r="H158" i="4" s="1"/>
  <c r="I157" i="4"/>
  <c r="H157" i="4"/>
  <c r="G157" i="4"/>
  <c r="F157" i="4"/>
  <c r="G156" i="4"/>
  <c r="I156" i="4" s="1"/>
  <c r="F156" i="4"/>
  <c r="H156" i="4" s="1"/>
  <c r="G155" i="4"/>
  <c r="I155" i="4" s="1"/>
  <c r="F155" i="4"/>
  <c r="H155" i="4" s="1"/>
  <c r="I154" i="4"/>
  <c r="G154" i="4"/>
  <c r="F154" i="4"/>
  <c r="H154" i="4" s="1"/>
  <c r="I153" i="4"/>
  <c r="H153" i="4"/>
  <c r="G153" i="4"/>
  <c r="F153" i="4"/>
  <c r="G152" i="4"/>
  <c r="I152" i="4" s="1"/>
  <c r="F152" i="4"/>
  <c r="H152" i="4" s="1"/>
  <c r="G151" i="4"/>
  <c r="I151" i="4" s="1"/>
  <c r="F151" i="4"/>
  <c r="H151" i="4" s="1"/>
  <c r="I150" i="4"/>
  <c r="G150" i="4"/>
  <c r="F150" i="4"/>
  <c r="H150" i="4" s="1"/>
  <c r="I149" i="4"/>
  <c r="H149" i="4"/>
  <c r="G149" i="4"/>
  <c r="F149" i="4"/>
  <c r="G148" i="4"/>
  <c r="I148" i="4" s="1"/>
  <c r="F148" i="4"/>
  <c r="H148" i="4" s="1"/>
  <c r="G147" i="4"/>
  <c r="I147" i="4" s="1"/>
  <c r="F147" i="4"/>
  <c r="H147" i="4" s="1"/>
  <c r="I146" i="4"/>
  <c r="G146" i="4"/>
  <c r="F146" i="4"/>
  <c r="H146" i="4" s="1"/>
  <c r="I145" i="4"/>
  <c r="H145" i="4"/>
  <c r="G145" i="4"/>
  <c r="F145" i="4"/>
  <c r="G144" i="4"/>
  <c r="I144" i="4" s="1"/>
  <c r="F144" i="4"/>
  <c r="H144" i="4" s="1"/>
  <c r="G143" i="4"/>
  <c r="I143" i="4" s="1"/>
  <c r="F143" i="4"/>
  <c r="H143" i="4" s="1"/>
  <c r="I142" i="4"/>
  <c r="G142" i="4"/>
  <c r="F142" i="4"/>
  <c r="H142" i="4" s="1"/>
  <c r="I141" i="4"/>
  <c r="H141" i="4"/>
  <c r="G141" i="4"/>
  <c r="F141" i="4"/>
  <c r="G140" i="4"/>
  <c r="I140" i="4" s="1"/>
  <c r="F140" i="4"/>
  <c r="H140" i="4" s="1"/>
  <c r="G139" i="4"/>
  <c r="I139" i="4" s="1"/>
  <c r="F139" i="4"/>
  <c r="H139" i="4" s="1"/>
  <c r="I138" i="4"/>
  <c r="G138" i="4"/>
  <c r="F138" i="4"/>
  <c r="H138" i="4" s="1"/>
  <c r="I137" i="4"/>
  <c r="H137" i="4"/>
  <c r="G137" i="4"/>
  <c r="F137" i="4"/>
  <c r="G136" i="4"/>
  <c r="I136" i="4" s="1"/>
  <c r="F136" i="4"/>
  <c r="H136" i="4" s="1"/>
  <c r="G135" i="4"/>
  <c r="I135" i="4" s="1"/>
  <c r="F135" i="4"/>
  <c r="H135" i="4" s="1"/>
  <c r="I134" i="4"/>
  <c r="G134" i="4"/>
  <c r="F134" i="4"/>
  <c r="H134" i="4" s="1"/>
  <c r="I133" i="4"/>
  <c r="H133" i="4"/>
  <c r="G133" i="4"/>
  <c r="F133" i="4"/>
  <c r="G132" i="4"/>
  <c r="I132" i="4" s="1"/>
  <c r="F132" i="4"/>
  <c r="H132" i="4" s="1"/>
  <c r="G131" i="4"/>
  <c r="I131" i="4" s="1"/>
  <c r="F131" i="4"/>
  <c r="H131" i="4" s="1"/>
  <c r="I130" i="4"/>
  <c r="G130" i="4"/>
  <c r="F130" i="4"/>
  <c r="H130" i="4" s="1"/>
  <c r="I129" i="4"/>
  <c r="H129" i="4"/>
  <c r="G129" i="4"/>
  <c r="F129" i="4"/>
  <c r="G128" i="4"/>
  <c r="I128" i="4" s="1"/>
  <c r="F128" i="4"/>
  <c r="H128" i="4" s="1"/>
  <c r="G127" i="4"/>
  <c r="I127" i="4" s="1"/>
  <c r="F127" i="4"/>
  <c r="H127" i="4" s="1"/>
  <c r="I126" i="4"/>
  <c r="G126" i="4"/>
  <c r="F126" i="4"/>
  <c r="H126" i="4" s="1"/>
  <c r="I125" i="4"/>
  <c r="H125" i="4"/>
  <c r="G125" i="4"/>
  <c r="F125" i="4"/>
  <c r="G124" i="4"/>
  <c r="I124" i="4" s="1"/>
  <c r="F124" i="4"/>
  <c r="H124" i="4" s="1"/>
  <c r="G123" i="4"/>
  <c r="I123" i="4" s="1"/>
  <c r="F123" i="4"/>
  <c r="H123" i="4" s="1"/>
  <c r="I122" i="4"/>
  <c r="G122" i="4"/>
  <c r="F122" i="4"/>
  <c r="H122" i="4" s="1"/>
  <c r="I121" i="4"/>
  <c r="H121" i="4"/>
  <c r="G121" i="4"/>
  <c r="F121" i="4"/>
  <c r="G120" i="4"/>
  <c r="I120" i="4" s="1"/>
  <c r="F120" i="4"/>
  <c r="H120" i="4" s="1"/>
  <c r="G119" i="4"/>
  <c r="I119" i="4" s="1"/>
  <c r="F119" i="4"/>
  <c r="H119" i="4" s="1"/>
  <c r="I118" i="4"/>
  <c r="G118" i="4"/>
  <c r="F118" i="4"/>
  <c r="H118" i="4" s="1"/>
  <c r="I117" i="4"/>
  <c r="H117" i="4"/>
  <c r="G117" i="4"/>
  <c r="F117" i="4"/>
  <c r="G116" i="4"/>
  <c r="I116" i="4" s="1"/>
  <c r="F116" i="4"/>
  <c r="H116" i="4" s="1"/>
  <c r="G115" i="4"/>
  <c r="I115" i="4" s="1"/>
  <c r="F115" i="4"/>
  <c r="H115" i="4" s="1"/>
  <c r="I114" i="4"/>
  <c r="G114" i="4"/>
  <c r="F114" i="4"/>
  <c r="H114" i="4" s="1"/>
  <c r="I113" i="4"/>
  <c r="H113" i="4"/>
  <c r="G113" i="4"/>
  <c r="F113" i="4"/>
  <c r="G112" i="4"/>
  <c r="I112" i="4" s="1"/>
  <c r="F112" i="4"/>
  <c r="H112" i="4" s="1"/>
  <c r="G111" i="4"/>
  <c r="I111" i="4" s="1"/>
  <c r="F111" i="4"/>
  <c r="H111" i="4" s="1"/>
  <c r="I110" i="4"/>
  <c r="G110" i="4"/>
  <c r="F110" i="4"/>
  <c r="H110" i="4" s="1"/>
  <c r="I109" i="4"/>
  <c r="H109" i="4"/>
  <c r="G109" i="4"/>
  <c r="F109" i="4"/>
  <c r="G108" i="4"/>
  <c r="I108" i="4" s="1"/>
  <c r="F108" i="4"/>
  <c r="H108" i="4" s="1"/>
  <c r="G107" i="4"/>
  <c r="I107" i="4" s="1"/>
  <c r="F107" i="4"/>
  <c r="H107" i="4" s="1"/>
  <c r="I106" i="4"/>
  <c r="G106" i="4"/>
  <c r="F106" i="4"/>
  <c r="H106" i="4" s="1"/>
  <c r="I105" i="4"/>
  <c r="H105" i="4"/>
  <c r="G105" i="4"/>
  <c r="F105" i="4"/>
  <c r="G104" i="4"/>
  <c r="I104" i="4" s="1"/>
  <c r="F104" i="4"/>
  <c r="H104" i="4" s="1"/>
  <c r="G103" i="4"/>
  <c r="I103" i="4" s="1"/>
  <c r="F103" i="4"/>
  <c r="H103" i="4" s="1"/>
  <c r="I102" i="4"/>
  <c r="G102" i="4"/>
  <c r="F102" i="4"/>
  <c r="H102" i="4" s="1"/>
  <c r="I101" i="4"/>
  <c r="H101" i="4"/>
  <c r="G101" i="4"/>
  <c r="F101" i="4"/>
  <c r="G100" i="4"/>
  <c r="I100" i="4" s="1"/>
  <c r="F100" i="4"/>
  <c r="H100" i="4" s="1"/>
  <c r="G99" i="4"/>
  <c r="I99" i="4" s="1"/>
  <c r="F99" i="4"/>
  <c r="H99" i="4" s="1"/>
  <c r="I98" i="4"/>
  <c r="G98" i="4"/>
  <c r="F98" i="4"/>
  <c r="H98" i="4" s="1"/>
  <c r="I97" i="4"/>
  <c r="H97" i="4"/>
  <c r="G97" i="4"/>
  <c r="F97" i="4"/>
  <c r="G96" i="4"/>
  <c r="I96" i="4" s="1"/>
  <c r="F96" i="4"/>
  <c r="H96" i="4" s="1"/>
  <c r="H95" i="4"/>
  <c r="G95" i="4"/>
  <c r="I95" i="4" s="1"/>
  <c r="F95" i="4"/>
  <c r="I94" i="4"/>
  <c r="G94" i="4"/>
  <c r="F94" i="4"/>
  <c r="H94" i="4" s="1"/>
  <c r="H93" i="4"/>
  <c r="G93" i="4"/>
  <c r="I93" i="4" s="1"/>
  <c r="F93" i="4"/>
  <c r="G92" i="4"/>
  <c r="I92" i="4" s="1"/>
  <c r="F92" i="4"/>
  <c r="H92" i="4" s="1"/>
  <c r="G91" i="4"/>
  <c r="I91" i="4" s="1"/>
  <c r="F91" i="4"/>
  <c r="H91" i="4" s="1"/>
  <c r="I90" i="4"/>
  <c r="G90" i="4"/>
  <c r="F90" i="4"/>
  <c r="H90" i="4" s="1"/>
  <c r="H89" i="4"/>
  <c r="G89" i="4"/>
  <c r="I89" i="4" s="1"/>
  <c r="F89" i="4"/>
  <c r="I88" i="4"/>
  <c r="G88" i="4"/>
  <c r="F88" i="4"/>
  <c r="H88" i="4" s="1"/>
  <c r="G87" i="4"/>
  <c r="I87" i="4" s="1"/>
  <c r="F87" i="4"/>
  <c r="H87" i="4" s="1"/>
  <c r="I86" i="4"/>
  <c r="G86" i="4"/>
  <c r="F86" i="4"/>
  <c r="H86" i="4" s="1"/>
  <c r="I85" i="4"/>
  <c r="H85" i="4"/>
  <c r="G85" i="4"/>
  <c r="F85" i="4"/>
  <c r="G84" i="4"/>
  <c r="I84" i="4" s="1"/>
  <c r="F84" i="4"/>
  <c r="H84" i="4" s="1"/>
  <c r="G83" i="4"/>
  <c r="I83" i="4" s="1"/>
  <c r="F83" i="4"/>
  <c r="H83" i="4" s="1"/>
  <c r="I82" i="4"/>
  <c r="G82" i="4"/>
  <c r="F82" i="4"/>
  <c r="H82" i="4" s="1"/>
  <c r="H81" i="4"/>
  <c r="G81" i="4"/>
  <c r="I81" i="4" s="1"/>
  <c r="F81" i="4"/>
  <c r="I80" i="4"/>
  <c r="G80" i="4"/>
  <c r="F80" i="4"/>
  <c r="H80" i="4" s="1"/>
  <c r="G79" i="4"/>
  <c r="I79" i="4" s="1"/>
  <c r="F79" i="4"/>
  <c r="H79" i="4" s="1"/>
  <c r="I78" i="4"/>
  <c r="G78" i="4"/>
  <c r="F78" i="4"/>
  <c r="H78" i="4" s="1"/>
  <c r="I77" i="4"/>
  <c r="H77" i="4"/>
  <c r="G77" i="4"/>
  <c r="F77" i="4"/>
  <c r="G76" i="4"/>
  <c r="I76" i="4" s="1"/>
  <c r="F76" i="4"/>
  <c r="H76" i="4" s="1"/>
  <c r="G75" i="4"/>
  <c r="I75" i="4" s="1"/>
  <c r="F75" i="4"/>
  <c r="H75" i="4" s="1"/>
  <c r="I74" i="4"/>
  <c r="G74" i="4"/>
  <c r="F74" i="4"/>
  <c r="H74" i="4" s="1"/>
  <c r="H73" i="4"/>
  <c r="G73" i="4"/>
  <c r="I73" i="4" s="1"/>
  <c r="F73" i="4"/>
  <c r="I72" i="4"/>
  <c r="G72" i="4"/>
  <c r="F72" i="4"/>
  <c r="H72" i="4" s="1"/>
  <c r="G71" i="4"/>
  <c r="I71" i="4" s="1"/>
  <c r="F71" i="4"/>
  <c r="H71" i="4" s="1"/>
  <c r="I70" i="4"/>
  <c r="G70" i="4"/>
  <c r="F70" i="4"/>
  <c r="H70" i="4" s="1"/>
  <c r="I69" i="4"/>
  <c r="H69" i="4"/>
  <c r="G69" i="4"/>
  <c r="F69" i="4"/>
  <c r="G68" i="4"/>
  <c r="I68" i="4" s="1"/>
  <c r="F68" i="4"/>
  <c r="H68" i="4" s="1"/>
  <c r="G67" i="4"/>
  <c r="I67" i="4" s="1"/>
  <c r="F67" i="4"/>
  <c r="H67" i="4" s="1"/>
  <c r="I66" i="4"/>
  <c r="G66" i="4"/>
  <c r="F66" i="4"/>
  <c r="H66" i="4" s="1"/>
  <c r="H65" i="4"/>
  <c r="G65" i="4"/>
  <c r="I65" i="4" s="1"/>
  <c r="F65" i="4"/>
  <c r="I64" i="4"/>
  <c r="G64" i="4"/>
  <c r="F64" i="4"/>
  <c r="H64" i="4" s="1"/>
  <c r="G63" i="4"/>
  <c r="I63" i="4" s="1"/>
  <c r="F63" i="4"/>
  <c r="H63" i="4" s="1"/>
  <c r="I62" i="4"/>
  <c r="G62" i="4"/>
  <c r="F62" i="4"/>
  <c r="H62" i="4" s="1"/>
  <c r="I61" i="4"/>
  <c r="H61" i="4"/>
  <c r="G61" i="4"/>
  <c r="F61" i="4"/>
  <c r="G60" i="4"/>
  <c r="I60" i="4" s="1"/>
  <c r="F60" i="4"/>
  <c r="H60" i="4" s="1"/>
  <c r="G59" i="4"/>
  <c r="I59" i="4" s="1"/>
  <c r="F59" i="4"/>
  <c r="H59" i="4" s="1"/>
  <c r="I58" i="4"/>
  <c r="G58" i="4"/>
  <c r="F58" i="4"/>
  <c r="H58" i="4" s="1"/>
  <c r="H57" i="4"/>
  <c r="G57" i="4"/>
  <c r="I57" i="4" s="1"/>
  <c r="F57" i="4"/>
  <c r="I56" i="4"/>
  <c r="G56" i="4"/>
  <c r="F56" i="4"/>
  <c r="H56" i="4" s="1"/>
  <c r="G55" i="4"/>
  <c r="I55" i="4" s="1"/>
  <c r="F55" i="4"/>
  <c r="H55" i="4" s="1"/>
  <c r="I54" i="4"/>
  <c r="G54" i="4"/>
  <c r="F54" i="4"/>
  <c r="H54" i="4" s="1"/>
  <c r="I53" i="4"/>
  <c r="H53" i="4"/>
  <c r="G53" i="4"/>
  <c r="F53" i="4"/>
  <c r="G52" i="4"/>
  <c r="I52" i="4" s="1"/>
  <c r="F52" i="4"/>
  <c r="H52" i="4" s="1"/>
  <c r="G51" i="4"/>
  <c r="I51" i="4" s="1"/>
  <c r="F51" i="4"/>
  <c r="H51" i="4" s="1"/>
  <c r="I50" i="4"/>
  <c r="G50" i="4"/>
  <c r="F50" i="4"/>
  <c r="H50" i="4" s="1"/>
  <c r="H49" i="4"/>
  <c r="G49" i="4"/>
  <c r="I49" i="4" s="1"/>
  <c r="F49" i="4"/>
  <c r="I48" i="4"/>
  <c r="G48" i="4"/>
  <c r="F48" i="4"/>
  <c r="H48" i="4" s="1"/>
  <c r="G47" i="4"/>
  <c r="I47" i="4" s="1"/>
  <c r="F47" i="4"/>
  <c r="H47" i="4" s="1"/>
  <c r="G46" i="4"/>
  <c r="I46" i="4" s="1"/>
  <c r="F46" i="4"/>
  <c r="H46" i="4" s="1"/>
  <c r="I45" i="4"/>
  <c r="H45" i="4"/>
  <c r="G45" i="4"/>
  <c r="F45" i="4"/>
  <c r="G44" i="4"/>
  <c r="I44" i="4" s="1"/>
  <c r="F44" i="4"/>
  <c r="H44" i="4" s="1"/>
  <c r="G43" i="4"/>
  <c r="I43" i="4" s="1"/>
  <c r="F43" i="4"/>
  <c r="H43" i="4" s="1"/>
  <c r="I42" i="4"/>
  <c r="G42" i="4"/>
  <c r="F42" i="4"/>
  <c r="H42" i="4" s="1"/>
  <c r="H41" i="4"/>
  <c r="G41" i="4"/>
  <c r="I41" i="4" s="1"/>
  <c r="F41" i="4"/>
  <c r="G40" i="4"/>
  <c r="I40" i="4" s="1"/>
  <c r="F40" i="4"/>
  <c r="H40" i="4" s="1"/>
  <c r="I39" i="4"/>
  <c r="G39" i="4"/>
  <c r="F39" i="4"/>
  <c r="H39" i="4" s="1"/>
  <c r="I38" i="4"/>
  <c r="G38" i="4"/>
  <c r="F38" i="4"/>
  <c r="H38" i="4" s="1"/>
  <c r="H37" i="4"/>
  <c r="G37" i="4"/>
  <c r="I37" i="4" s="1"/>
  <c r="F37" i="4"/>
  <c r="G36" i="4"/>
  <c r="I36" i="4" s="1"/>
  <c r="F36" i="4"/>
  <c r="H36" i="4" s="1"/>
  <c r="H35" i="4"/>
  <c r="G35" i="4"/>
  <c r="I35" i="4" s="1"/>
  <c r="F35" i="4"/>
  <c r="G34" i="4"/>
  <c r="I34" i="4" s="1"/>
  <c r="F34" i="4"/>
  <c r="H34" i="4" s="1"/>
  <c r="H33" i="4"/>
  <c r="G33" i="4"/>
  <c r="I33" i="4" s="1"/>
  <c r="F33" i="4"/>
  <c r="I32" i="4"/>
  <c r="H32" i="4"/>
  <c r="G32" i="4"/>
  <c r="F32" i="4"/>
  <c r="G31" i="4"/>
  <c r="I31" i="4" s="1"/>
  <c r="F31" i="4"/>
  <c r="H31" i="4" s="1"/>
  <c r="G30" i="4"/>
  <c r="I30" i="4" s="1"/>
  <c r="F30" i="4"/>
  <c r="H30" i="4" s="1"/>
  <c r="I29" i="4"/>
  <c r="H29" i="4"/>
  <c r="G29" i="4"/>
  <c r="F29" i="4"/>
  <c r="G28" i="4"/>
  <c r="I28" i="4" s="1"/>
  <c r="F28" i="4"/>
  <c r="H28" i="4" s="1"/>
  <c r="G27" i="4"/>
  <c r="I27" i="4" s="1"/>
  <c r="F27" i="4"/>
  <c r="H27" i="4" s="1"/>
  <c r="I26" i="4"/>
  <c r="G26" i="4"/>
  <c r="F26" i="4"/>
  <c r="H26" i="4" s="1"/>
  <c r="H25" i="4"/>
  <c r="G25" i="4"/>
  <c r="I25" i="4" s="1"/>
  <c r="F25" i="4"/>
  <c r="G24" i="4"/>
  <c r="I24" i="4" s="1"/>
  <c r="F24" i="4"/>
  <c r="H24" i="4" s="1"/>
  <c r="G23" i="4"/>
  <c r="I23" i="4" s="1"/>
  <c r="F23" i="4"/>
  <c r="H23" i="4" s="1"/>
  <c r="I22" i="4"/>
  <c r="H22" i="4"/>
  <c r="G22" i="4"/>
  <c r="F22" i="4"/>
  <c r="G21" i="4"/>
  <c r="I21" i="4" s="1"/>
  <c r="F21" i="4"/>
  <c r="H21" i="4" s="1"/>
  <c r="G20" i="4"/>
  <c r="I20" i="4" s="1"/>
  <c r="F20" i="4"/>
  <c r="H20" i="4" s="1"/>
  <c r="G19" i="4"/>
  <c r="I19" i="4" s="1"/>
  <c r="F19" i="4"/>
  <c r="H19" i="4" s="1"/>
  <c r="I18" i="4"/>
  <c r="H18" i="4"/>
  <c r="G18" i="4"/>
  <c r="F18" i="4"/>
  <c r="G17" i="4"/>
  <c r="I17" i="4" s="1"/>
  <c r="F17" i="4"/>
  <c r="H17" i="4" s="1"/>
  <c r="G16" i="4"/>
  <c r="I16" i="4" s="1"/>
  <c r="F16" i="4"/>
  <c r="H16" i="4" s="1"/>
  <c r="G15" i="4"/>
  <c r="I15" i="4" s="1"/>
  <c r="F15" i="4"/>
  <c r="H15" i="4" s="1"/>
  <c r="I14" i="4"/>
  <c r="H14" i="4"/>
  <c r="G14" i="4"/>
  <c r="F14" i="4"/>
  <c r="H13" i="4"/>
  <c r="G13" i="4"/>
  <c r="I13" i="4" s="1"/>
  <c r="F13" i="4"/>
  <c r="G12" i="4"/>
  <c r="I12" i="4" s="1"/>
  <c r="F12" i="4"/>
  <c r="H12" i="4" s="1"/>
  <c r="G11" i="4"/>
  <c r="I11" i="4" s="1"/>
  <c r="F11" i="4"/>
  <c r="H11" i="4" s="1"/>
  <c r="I10" i="4"/>
  <c r="H10" i="4"/>
  <c r="G10" i="4"/>
  <c r="F10" i="4"/>
  <c r="G9" i="4"/>
  <c r="I9" i="4" s="1"/>
  <c r="F9" i="4"/>
  <c r="H9" i="4" s="1"/>
  <c r="G8" i="4"/>
  <c r="I8" i="4" s="1"/>
  <c r="F8" i="4"/>
  <c r="H8" i="4" s="1"/>
  <c r="G7" i="4"/>
  <c r="I7" i="4" s="1"/>
  <c r="F7" i="4"/>
  <c r="H7" i="4" s="1"/>
  <c r="I6" i="4"/>
  <c r="H6" i="4"/>
  <c r="G6" i="4"/>
  <c r="F6" i="4"/>
  <c r="G5" i="4"/>
  <c r="I5" i="4" s="1"/>
  <c r="F5" i="4"/>
  <c r="H5" i="4" s="1"/>
  <c r="G4" i="4"/>
  <c r="I4" i="4" s="1"/>
  <c r="F4" i="4"/>
  <c r="H4" i="4" s="1"/>
  <c r="G3" i="4"/>
  <c r="I3" i="4" s="1"/>
  <c r="F3" i="4"/>
  <c r="H3" i="4" s="1"/>
  <c r="I2" i="4"/>
  <c r="G2" i="4"/>
  <c r="F2" i="4"/>
  <c r="H2" i="4" s="1"/>
  <c r="P3" i="4" s="1"/>
  <c r="C4" i="3"/>
  <c r="C5" i="3"/>
  <c r="C3" i="3"/>
  <c r="D14" i="3" s="1"/>
  <c r="G14" i="3" s="1"/>
  <c r="B4" i="3"/>
  <c r="B5" i="3"/>
  <c r="B6" i="3"/>
  <c r="B7" i="3"/>
  <c r="F21" i="3" s="1"/>
  <c r="B3" i="3"/>
  <c r="A3" i="3"/>
  <c r="A4" i="3"/>
  <c r="A5" i="3"/>
  <c r="A6" i="3"/>
  <c r="A7" i="3"/>
  <c r="D22" i="3"/>
  <c r="G22" i="3" s="1"/>
  <c r="D20" i="3"/>
  <c r="G20" i="3" s="1"/>
  <c r="D18" i="3"/>
  <c r="G18" i="3" s="1"/>
  <c r="D16" i="3"/>
  <c r="G16" i="3" s="1"/>
  <c r="D12" i="3"/>
  <c r="G4" i="3"/>
  <c r="G3" i="3"/>
  <c r="D21" i="3"/>
  <c r="G21" i="3" s="1"/>
  <c r="S6" i="1"/>
  <c r="S5" i="1"/>
  <c r="T4" i="1"/>
  <c r="S4" i="1"/>
  <c r="S3" i="1" a="1"/>
  <c r="S3" i="1" s="1"/>
  <c r="T3" i="1" a="1"/>
  <c r="T3" i="1" s="1"/>
  <c r="T2" i="1"/>
  <c r="S2"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J21" i="4" l="1"/>
  <c r="J28" i="4"/>
  <c r="J69" i="4"/>
  <c r="J64" i="4"/>
  <c r="J19" i="4"/>
  <c r="K19" i="4" s="1"/>
  <c r="K46" i="4"/>
  <c r="J61" i="4"/>
  <c r="K61" i="4" s="1"/>
  <c r="J7" i="4"/>
  <c r="K7" i="4" s="1"/>
  <c r="J44" i="4"/>
  <c r="J56" i="4"/>
  <c r="J88" i="4"/>
  <c r="J17" i="4"/>
  <c r="J23" i="4"/>
  <c r="K23" i="4" s="1"/>
  <c r="J32" i="4"/>
  <c r="K32" i="4" s="1"/>
  <c r="K35" i="4"/>
  <c r="J406" i="4"/>
  <c r="J390" i="4"/>
  <c r="J374" i="4"/>
  <c r="J358" i="4"/>
  <c r="J342" i="4"/>
  <c r="J326" i="4"/>
  <c r="K326" i="4" s="1"/>
  <c r="J310" i="4"/>
  <c r="J294" i="4"/>
  <c r="J278" i="4"/>
  <c r="J262" i="4"/>
  <c r="J286" i="4"/>
  <c r="J240" i="4"/>
  <c r="J238" i="4"/>
  <c r="K238" i="4" s="1"/>
  <c r="J225" i="4"/>
  <c r="J214" i="4"/>
  <c r="J270" i="4"/>
  <c r="K270" i="4" s="1"/>
  <c r="J201" i="4"/>
  <c r="J230" i="4"/>
  <c r="J248" i="4"/>
  <c r="K248" i="4" s="1"/>
  <c r="J217" i="4"/>
  <c r="J366" i="4"/>
  <c r="J302" i="4"/>
  <c r="J300" i="4"/>
  <c r="K300" i="4" s="1"/>
  <c r="J297" i="4"/>
  <c r="K297" i="4" s="1"/>
  <c r="J345" i="4"/>
  <c r="J90" i="4"/>
  <c r="K90" i="4" s="1"/>
  <c r="J377" i="4"/>
  <c r="K377" i="4" s="1"/>
  <c r="J313" i="4"/>
  <c r="J200" i="4"/>
  <c r="J198" i="4"/>
  <c r="K198" i="4" s="1"/>
  <c r="J382" i="4"/>
  <c r="J318" i="4"/>
  <c r="K318" i="4" s="1"/>
  <c r="J254" i="4"/>
  <c r="J233" i="4"/>
  <c r="K233" i="4" s="1"/>
  <c r="J202" i="4"/>
  <c r="K202" i="4" s="1"/>
  <c r="J393" i="4"/>
  <c r="J329" i="4"/>
  <c r="J256" i="4"/>
  <c r="K256" i="4" s="1"/>
  <c r="J218" i="4"/>
  <c r="J209" i="4"/>
  <c r="K209" i="4" s="1"/>
  <c r="J398" i="4"/>
  <c r="J334" i="4"/>
  <c r="J213" i="4"/>
  <c r="K213" i="4" s="1"/>
  <c r="J206" i="4"/>
  <c r="J364" i="4"/>
  <c r="K364" i="4" s="1"/>
  <c r="J361" i="4"/>
  <c r="J26" i="4"/>
  <c r="K26" i="4" s="1"/>
  <c r="J80" i="4"/>
  <c r="K80" i="4" s="1"/>
  <c r="J29" i="4"/>
  <c r="J42" i="4"/>
  <c r="K42" i="4" s="1"/>
  <c r="J14" i="4"/>
  <c r="J93" i="4"/>
  <c r="J53" i="4"/>
  <c r="J48" i="4"/>
  <c r="J6" i="4"/>
  <c r="K6" i="4" s="1"/>
  <c r="J45" i="4"/>
  <c r="K45" i="4" s="1"/>
  <c r="J22" i="4"/>
  <c r="J15" i="4"/>
  <c r="K15" i="4" s="1"/>
  <c r="J224" i="4"/>
  <c r="K224" i="4" s="1"/>
  <c r="J222" i="4"/>
  <c r="K222" i="4" s="1"/>
  <c r="J171" i="4"/>
  <c r="J192" i="4"/>
  <c r="J182" i="4"/>
  <c r="K182" i="4" s="1"/>
  <c r="J2" i="4"/>
  <c r="K2" i="4" s="1"/>
  <c r="J85" i="4"/>
  <c r="J36" i="4"/>
  <c r="K36" i="4" s="1"/>
  <c r="J350" i="4"/>
  <c r="J77" i="4"/>
  <c r="J33" i="4"/>
  <c r="K33" i="4" s="1"/>
  <c r="J10" i="4"/>
  <c r="J9" i="4"/>
  <c r="K9" i="4" s="1"/>
  <c r="J72" i="4"/>
  <c r="J18" i="4"/>
  <c r="J5" i="4"/>
  <c r="J11" i="4"/>
  <c r="K11" i="4" s="1"/>
  <c r="J30" i="4"/>
  <c r="K30" i="4" s="1"/>
  <c r="J54" i="4"/>
  <c r="K54" i="4" s="1"/>
  <c r="J108" i="4"/>
  <c r="J43" i="4"/>
  <c r="K43" i="4" s="1"/>
  <c r="K50" i="4"/>
  <c r="K55" i="4"/>
  <c r="J58" i="4"/>
  <c r="J68" i="4"/>
  <c r="K68" i="4" s="1"/>
  <c r="K82" i="4"/>
  <c r="K87" i="4"/>
  <c r="K93" i="4"/>
  <c r="J95" i="4"/>
  <c r="K95" i="4" s="1"/>
  <c r="J98" i="4"/>
  <c r="J104" i="4"/>
  <c r="J121" i="4"/>
  <c r="K121" i="4" s="1"/>
  <c r="J127" i="4"/>
  <c r="J130" i="4"/>
  <c r="J136" i="4"/>
  <c r="K136" i="4" s="1"/>
  <c r="J153" i="4"/>
  <c r="K153" i="4" s="1"/>
  <c r="J159" i="4"/>
  <c r="K159" i="4" s="1"/>
  <c r="J162" i="4"/>
  <c r="J184" i="4"/>
  <c r="J239" i="4"/>
  <c r="J250" i="4"/>
  <c r="J348" i="4"/>
  <c r="K348" i="4" s="1"/>
  <c r="J353" i="4"/>
  <c r="K353" i="4" s="1"/>
  <c r="J20" i="4"/>
  <c r="K20" i="4" s="1"/>
  <c r="J27" i="4"/>
  <c r="K48" i="4"/>
  <c r="J63" i="4"/>
  <c r="J107" i="4"/>
  <c r="K127" i="4"/>
  <c r="J142" i="4"/>
  <c r="K184" i="4"/>
  <c r="K27" i="4"/>
  <c r="K63" i="4"/>
  <c r="K98" i="4"/>
  <c r="J119" i="4"/>
  <c r="K133" i="4"/>
  <c r="J160" i="4"/>
  <c r="K76" i="4"/>
  <c r="J86" i="4"/>
  <c r="K86" i="4" s="1"/>
  <c r="K88" i="4"/>
  <c r="J94" i="4"/>
  <c r="J99" i="4"/>
  <c r="J102" i="4"/>
  <c r="K102" i="4" s="1"/>
  <c r="J125" i="4"/>
  <c r="K125" i="4" s="1"/>
  <c r="J131" i="4"/>
  <c r="K131" i="4" s="1"/>
  <c r="J134" i="4"/>
  <c r="J140" i="4"/>
  <c r="K142" i="4"/>
  <c r="K145" i="4"/>
  <c r="J157" i="4"/>
  <c r="J163" i="4"/>
  <c r="K163" i="4" s="1"/>
  <c r="J166" i="4"/>
  <c r="K171" i="4"/>
  <c r="J195" i="4"/>
  <c r="K195" i="4" s="1"/>
  <c r="K254" i="4"/>
  <c r="J281" i="4"/>
  <c r="K5" i="4"/>
  <c r="K16" i="4"/>
  <c r="K21" i="4"/>
  <c r="K28" i="4"/>
  <c r="K49" i="4"/>
  <c r="J52" i="4"/>
  <c r="K71" i="4"/>
  <c r="J74" i="4"/>
  <c r="K74" i="4" s="1"/>
  <c r="K81" i="4"/>
  <c r="J84" i="4"/>
  <c r="K91" i="4"/>
  <c r="K99" i="4"/>
  <c r="J105" i="4"/>
  <c r="J111" i="4"/>
  <c r="J114" i="4"/>
  <c r="K114" i="4" s="1"/>
  <c r="J120" i="4"/>
  <c r="K120" i="4" s="1"/>
  <c r="K122" i="4"/>
  <c r="J137" i="4"/>
  <c r="K137" i="4" s="1"/>
  <c r="J143" i="4"/>
  <c r="J146" i="4"/>
  <c r="K146" i="4" s="1"/>
  <c r="J152" i="4"/>
  <c r="K152" i="4" s="1"/>
  <c r="K154" i="4"/>
  <c r="K157" i="4"/>
  <c r="J180" i="4"/>
  <c r="K180" i="4" s="1"/>
  <c r="J193" i="4"/>
  <c r="K193" i="4" s="1"/>
  <c r="J220" i="4"/>
  <c r="J232" i="4"/>
  <c r="K232" i="4" s="1"/>
  <c r="J387" i="4"/>
  <c r="K387" i="4" s="1"/>
  <c r="J396" i="4"/>
  <c r="K396" i="4" s="1"/>
  <c r="J4" i="4"/>
  <c r="J96" i="4"/>
  <c r="J16" i="4"/>
  <c r="K34" i="4"/>
  <c r="J3" i="4"/>
  <c r="K3" i="4" s="1"/>
  <c r="J12" i="4"/>
  <c r="K14" i="4"/>
  <c r="K37" i="4"/>
  <c r="J47" i="4"/>
  <c r="J49" i="4"/>
  <c r="K52" i="4"/>
  <c r="J62" i="4"/>
  <c r="K62" i="4" s="1"/>
  <c r="K64" i="4"/>
  <c r="J67" i="4"/>
  <c r="K67" i="4" s="1"/>
  <c r="K69" i="4"/>
  <c r="J79" i="4"/>
  <c r="K79" i="4" s="1"/>
  <c r="J81" i="4"/>
  <c r="K84" i="4"/>
  <c r="J92" i="4"/>
  <c r="K94" i="4"/>
  <c r="J100" i="4"/>
  <c r="K105" i="4"/>
  <c r="K111" i="4"/>
  <c r="J117" i="4"/>
  <c r="J123" i="4"/>
  <c r="J126" i="4"/>
  <c r="J132" i="4"/>
  <c r="K134" i="4"/>
  <c r="K143" i="4"/>
  <c r="J149" i="4"/>
  <c r="K149" i="4" s="1"/>
  <c r="J155" i="4"/>
  <c r="J158" i="4"/>
  <c r="J164" i="4"/>
  <c r="K166" i="4"/>
  <c r="K169" i="4"/>
  <c r="K201" i="4"/>
  <c r="K206" i="4"/>
  <c r="J267" i="4"/>
  <c r="K267" i="4" s="1"/>
  <c r="J323" i="4"/>
  <c r="K323" i="4" s="1"/>
  <c r="J332" i="4"/>
  <c r="K332" i="4" s="1"/>
  <c r="K41" i="4"/>
  <c r="K53" i="4"/>
  <c r="J65" i="4"/>
  <c r="K65" i="4" s="1"/>
  <c r="J78" i="4"/>
  <c r="K78" i="4" s="1"/>
  <c r="K85" i="4"/>
  <c r="J116" i="4"/>
  <c r="K116" i="4" s="1"/>
  <c r="J139" i="4"/>
  <c r="J165" i="4"/>
  <c r="J168" i="4"/>
  <c r="K168" i="4" s="1"/>
  <c r="J176" i="4"/>
  <c r="K176" i="4" s="1"/>
  <c r="J190" i="4"/>
  <c r="K190" i="4" s="1"/>
  <c r="J380" i="4"/>
  <c r="K380" i="4" s="1"/>
  <c r="J34" i="4"/>
  <c r="J41" i="4"/>
  <c r="J76" i="4"/>
  <c r="K107" i="4"/>
  <c r="J122" i="4"/>
  <c r="K139" i="4"/>
  <c r="J151" i="4"/>
  <c r="K151" i="4" s="1"/>
  <c r="K165" i="4"/>
  <c r="J179" i="4"/>
  <c r="K179" i="4" s="1"/>
  <c r="J316" i="4"/>
  <c r="K316" i="4" s="1"/>
  <c r="K18" i="4"/>
  <c r="J59" i="4"/>
  <c r="K59" i="4" s="1"/>
  <c r="J73" i="4"/>
  <c r="K73" i="4" s="1"/>
  <c r="J91" i="4"/>
  <c r="K12" i="4"/>
  <c r="K17" i="4"/>
  <c r="J31" i="4"/>
  <c r="J35" i="4"/>
  <c r="J37" i="4"/>
  <c r="J40" i="4"/>
  <c r="K40" i="4" s="1"/>
  <c r="K47" i="4"/>
  <c r="J50" i="4"/>
  <c r="K57" i="4"/>
  <c r="J60" i="4"/>
  <c r="K60" i="4" s="1"/>
  <c r="J82" i="4"/>
  <c r="K89" i="4"/>
  <c r="K92" i="4"/>
  <c r="J97" i="4"/>
  <c r="J103" i="4"/>
  <c r="K103" i="4" s="1"/>
  <c r="J106" i="4"/>
  <c r="K106" i="4" s="1"/>
  <c r="J112" i="4"/>
  <c r="K117" i="4"/>
  <c r="K123" i="4"/>
  <c r="J129" i="4"/>
  <c r="K129" i="4" s="1"/>
  <c r="J135" i="4"/>
  <c r="J138" i="4"/>
  <c r="K138" i="4" s="1"/>
  <c r="J144" i="4"/>
  <c r="K155" i="4"/>
  <c r="J161" i="4"/>
  <c r="K161" i="4" s="1"/>
  <c r="J170" i="4"/>
  <c r="K170" i="4" s="1"/>
  <c r="J178" i="4"/>
  <c r="J181" i="4"/>
  <c r="K181" i="4" s="1"/>
  <c r="J199" i="4"/>
  <c r="K199" i="4" s="1"/>
  <c r="J215" i="4"/>
  <c r="J228" i="4"/>
  <c r="J13" i="4"/>
  <c r="K13" i="4" s="1"/>
  <c r="K22" i="4"/>
  <c r="K29" i="4"/>
  <c r="J51" i="4"/>
  <c r="K51" i="4" s="1"/>
  <c r="J83" i="4"/>
  <c r="K83" i="4" s="1"/>
  <c r="J101" i="4"/>
  <c r="K101" i="4" s="1"/>
  <c r="J110" i="4"/>
  <c r="K110" i="4" s="1"/>
  <c r="K118" i="4"/>
  <c r="J133" i="4"/>
  <c r="J148" i="4"/>
  <c r="K148" i="4" s="1"/>
  <c r="J174" i="4"/>
  <c r="K174" i="4" s="1"/>
  <c r="J197" i="4"/>
  <c r="K197" i="4" s="1"/>
  <c r="J298" i="4"/>
  <c r="K4" i="4"/>
  <c r="K25" i="4"/>
  <c r="J39" i="4"/>
  <c r="K39" i="4" s="1"/>
  <c r="J46" i="4"/>
  <c r="K58" i="4"/>
  <c r="J66" i="4"/>
  <c r="K66" i="4" s="1"/>
  <c r="J113" i="4"/>
  <c r="K113" i="4" s="1"/>
  <c r="J128" i="4"/>
  <c r="K130" i="4"/>
  <c r="J145" i="4"/>
  <c r="J154" i="4"/>
  <c r="K162" i="4"/>
  <c r="J187" i="4"/>
  <c r="J237" i="4"/>
  <c r="K237" i="4" s="1"/>
  <c r="K345" i="4"/>
  <c r="J25" i="4"/>
  <c r="K44" i="4"/>
  <c r="K56" i="4"/>
  <c r="J71" i="4"/>
  <c r="K119" i="4"/>
  <c r="J8" i="4"/>
  <c r="K8" i="4" s="1"/>
  <c r="K10" i="4"/>
  <c r="J24" i="4"/>
  <c r="K24" i="4" s="1"/>
  <c r="K31" i="4"/>
  <c r="J38" i="4"/>
  <c r="K38" i="4" s="1"/>
  <c r="J55" i="4"/>
  <c r="J57" i="4"/>
  <c r="J70" i="4"/>
  <c r="K70" i="4" s="1"/>
  <c r="K72" i="4"/>
  <c r="J75" i="4"/>
  <c r="K75" i="4" s="1"/>
  <c r="K77" i="4"/>
  <c r="J87" i="4"/>
  <c r="J89" i="4"/>
  <c r="K97" i="4"/>
  <c r="J109" i="4"/>
  <c r="K109" i="4" s="1"/>
  <c r="J115" i="4"/>
  <c r="K115" i="4" s="1"/>
  <c r="J118" i="4"/>
  <c r="J124" i="4"/>
  <c r="K124" i="4" s="1"/>
  <c r="K126" i="4"/>
  <c r="K135" i="4"/>
  <c r="J141" i="4"/>
  <c r="K141" i="4" s="1"/>
  <c r="J147" i="4"/>
  <c r="K147" i="4" s="1"/>
  <c r="J150" i="4"/>
  <c r="K150" i="4" s="1"/>
  <c r="J156" i="4"/>
  <c r="K158" i="4"/>
  <c r="J173" i="4"/>
  <c r="K173" i="4" s="1"/>
  <c r="K178" i="4"/>
  <c r="J186" i="4"/>
  <c r="J189" i="4"/>
  <c r="K189" i="4" s="1"/>
  <c r="J194" i="4"/>
  <c r="K215" i="4"/>
  <c r="J241" i="4"/>
  <c r="J253" i="4"/>
  <c r="J303" i="4"/>
  <c r="K303" i="4" s="1"/>
  <c r="K350" i="4"/>
  <c r="J356" i="4"/>
  <c r="K356" i="4" s="1"/>
  <c r="J172" i="4"/>
  <c r="K172" i="4" s="1"/>
  <c r="K225" i="4"/>
  <c r="K239" i="4"/>
  <c r="J244" i="4"/>
  <c r="K244" i="4" s="1"/>
  <c r="K250" i="4"/>
  <c r="J282" i="4"/>
  <c r="J340" i="4"/>
  <c r="K340" i="4" s="1"/>
  <c r="K96" i="4"/>
  <c r="J185" i="4"/>
  <c r="K185" i="4" s="1"/>
  <c r="J191" i="4"/>
  <c r="K191" i="4" s="1"/>
  <c r="J204" i="4"/>
  <c r="J207" i="4"/>
  <c r="J211" i="4"/>
  <c r="K211" i="4" s="1"/>
  <c r="K228" i="4"/>
  <c r="K230" i="4"/>
  <c r="K242" i="4"/>
  <c r="J245" i="4"/>
  <c r="K245" i="4" s="1"/>
  <c r="J261" i="4"/>
  <c r="K261" i="4" s="1"/>
  <c r="K282" i="4"/>
  <c r="J307" i="4"/>
  <c r="K307" i="4" s="1"/>
  <c r="K329" i="4"/>
  <c r="J337" i="4"/>
  <c r="K337" i="4" s="1"/>
  <c r="J371" i="4"/>
  <c r="K371" i="4" s="1"/>
  <c r="K393" i="4"/>
  <c r="J401" i="4"/>
  <c r="J404" i="4"/>
  <c r="K404" i="4" s="1"/>
  <c r="K100" i="4"/>
  <c r="K104" i="4"/>
  <c r="K108" i="4"/>
  <c r="K112" i="4"/>
  <c r="K128" i="4"/>
  <c r="K132" i="4"/>
  <c r="K140" i="4"/>
  <c r="K144" i="4"/>
  <c r="K156" i="4"/>
  <c r="K160" i="4"/>
  <c r="K164" i="4"/>
  <c r="K187" i="4"/>
  <c r="J196" i="4"/>
  <c r="K196" i="4" s="1"/>
  <c r="J221" i="4"/>
  <c r="K221" i="4" s="1"/>
  <c r="J226" i="4"/>
  <c r="J235" i="4"/>
  <c r="K235" i="4" s="1"/>
  <c r="J268" i="4"/>
  <c r="K268" i="4" s="1"/>
  <c r="K277" i="4"/>
  <c r="J280" i="4"/>
  <c r="J283" i="4"/>
  <c r="K283" i="4" s="1"/>
  <c r="J324" i="4"/>
  <c r="K324" i="4" s="1"/>
  <c r="K382" i="4"/>
  <c r="J388" i="4"/>
  <c r="K388" i="4" s="1"/>
  <c r="J177" i="4"/>
  <c r="J183" i="4"/>
  <c r="K183" i="4" s="1"/>
  <c r="K194" i="4"/>
  <c r="K200" i="4"/>
  <c r="J212" i="4"/>
  <c r="K212" i="4" s="1"/>
  <c r="J216" i="4"/>
  <c r="K216" i="4" s="1"/>
  <c r="J249" i="4"/>
  <c r="J259" i="4"/>
  <c r="K259" i="4" s="1"/>
  <c r="K262" i="4"/>
  <c r="J265" i="4"/>
  <c r="K265" i="4" s="1"/>
  <c r="K274" i="4"/>
  <c r="J277" i="4"/>
  <c r="K313" i="4"/>
  <c r="J321" i="4"/>
  <c r="J355" i="4"/>
  <c r="K355" i="4" s="1"/>
  <c r="J385" i="4"/>
  <c r="J223" i="4"/>
  <c r="K223" i="4" s="1"/>
  <c r="K398" i="4"/>
  <c r="J188" i="4"/>
  <c r="K188" i="4" s="1"/>
  <c r="J205" i="4"/>
  <c r="K205" i="4" s="1"/>
  <c r="J210" i="4"/>
  <c r="K210" i="4" s="1"/>
  <c r="K219" i="4"/>
  <c r="K226" i="4"/>
  <c r="J231" i="4"/>
  <c r="J236" i="4"/>
  <c r="J243" i="4"/>
  <c r="K243" i="4" s="1"/>
  <c r="J252" i="4"/>
  <c r="J272" i="4"/>
  <c r="K272" i="4" s="1"/>
  <c r="J275" i="4"/>
  <c r="K275" i="4" s="1"/>
  <c r="K286" i="4"/>
  <c r="K302" i="4"/>
  <c r="J308" i="4"/>
  <c r="K308" i="4" s="1"/>
  <c r="K366" i="4"/>
  <c r="J372" i="4"/>
  <c r="K372" i="4" s="1"/>
  <c r="J167" i="4"/>
  <c r="K167" i="4" s="1"/>
  <c r="K204" i="4"/>
  <c r="K247" i="4"/>
  <c r="J291" i="4"/>
  <c r="K291" i="4" s="1"/>
  <c r="K334" i="4"/>
  <c r="J169" i="4"/>
  <c r="J175" i="4"/>
  <c r="K175" i="4" s="1"/>
  <c r="K177" i="4"/>
  <c r="K186" i="4"/>
  <c r="K192" i="4"/>
  <c r="J208" i="4"/>
  <c r="K208" i="4" s="1"/>
  <c r="K214" i="4"/>
  <c r="K217" i="4"/>
  <c r="J229" i="4"/>
  <c r="K229" i="4" s="1"/>
  <c r="J234" i="4"/>
  <c r="K234" i="4" s="1"/>
  <c r="K252" i="4"/>
  <c r="J284" i="4"/>
  <c r="K284" i="4" s="1"/>
  <c r="J287" i="4"/>
  <c r="K287" i="4" s="1"/>
  <c r="J305" i="4"/>
  <c r="J339" i="4"/>
  <c r="K339" i="4" s="1"/>
  <c r="K361" i="4"/>
  <c r="J369" i="4"/>
  <c r="K369" i="4" s="1"/>
  <c r="J403" i="4"/>
  <c r="K403" i="4" s="1"/>
  <c r="J219" i="4"/>
  <c r="K253" i="4"/>
  <c r="J255" i="4"/>
  <c r="K255" i="4" s="1"/>
  <c r="J257" i="4"/>
  <c r="J260" i="4"/>
  <c r="K260" i="4" s="1"/>
  <c r="J263" i="4"/>
  <c r="K263" i="4" s="1"/>
  <c r="J288" i="4"/>
  <c r="J296" i="4"/>
  <c r="K298" i="4"/>
  <c r="J314" i="4"/>
  <c r="K314" i="4" s="1"/>
  <c r="J330" i="4"/>
  <c r="J346" i="4"/>
  <c r="K346" i="4" s="1"/>
  <c r="J362" i="4"/>
  <c r="J378" i="4"/>
  <c r="K378" i="4" s="1"/>
  <c r="J394" i="4"/>
  <c r="K394" i="4" s="1"/>
  <c r="K236" i="4"/>
  <c r="J242" i="4"/>
  <c r="K278" i="4"/>
  <c r="K288" i="4"/>
  <c r="J293" i="4"/>
  <c r="K293" i="4" s="1"/>
  <c r="J299" i="4"/>
  <c r="K299" i="4" s="1"/>
  <c r="K306" i="4"/>
  <c r="K357" i="4"/>
  <c r="K373" i="4"/>
  <c r="K389" i="4"/>
  <c r="J203" i="4"/>
  <c r="K203" i="4" s="1"/>
  <c r="K240" i="4"/>
  <c r="J251" i="4"/>
  <c r="J273" i="4"/>
  <c r="K273" i="4" s="1"/>
  <c r="J276" i="4"/>
  <c r="K276" i="4" s="1"/>
  <c r="J279" i="4"/>
  <c r="K279" i="4" s="1"/>
  <c r="J304" i="4"/>
  <c r="K304" i="4" s="1"/>
  <c r="J309" i="4"/>
  <c r="K309" i="4" s="1"/>
  <c r="J315" i="4"/>
  <c r="K315" i="4" s="1"/>
  <c r="J325" i="4"/>
  <c r="K325" i="4" s="1"/>
  <c r="J331" i="4"/>
  <c r="K331" i="4" s="1"/>
  <c r="J341" i="4"/>
  <c r="K341" i="4" s="1"/>
  <c r="J347" i="4"/>
  <c r="K347" i="4" s="1"/>
  <c r="J357" i="4"/>
  <c r="J363" i="4"/>
  <c r="K363" i="4" s="1"/>
  <c r="J373" i="4"/>
  <c r="J379" i="4"/>
  <c r="K379" i="4" s="1"/>
  <c r="J389" i="4"/>
  <c r="J395" i="4"/>
  <c r="K395" i="4" s="1"/>
  <c r="J405" i="4"/>
  <c r="K405" i="4" s="1"/>
  <c r="K207" i="4"/>
  <c r="K220" i="4"/>
  <c r="J227" i="4"/>
  <c r="K227" i="4" s="1"/>
  <c r="K249" i="4"/>
  <c r="J266" i="4"/>
  <c r="J271" i="4"/>
  <c r="K271" i="4" s="1"/>
  <c r="K281" i="4"/>
  <c r="K294" i="4"/>
  <c r="K336" i="4"/>
  <c r="K368" i="4"/>
  <c r="K400" i="4"/>
  <c r="K218" i="4"/>
  <c r="K231" i="4"/>
  <c r="J247" i="4"/>
  <c r="K251" i="4"/>
  <c r="J264" i="4"/>
  <c r="K264" i="4" s="1"/>
  <c r="K266" i="4"/>
  <c r="J289" i="4"/>
  <c r="K289" i="4" s="1"/>
  <c r="J292" i="4"/>
  <c r="K292" i="4" s="1"/>
  <c r="J295" i="4"/>
  <c r="K295" i="4" s="1"/>
  <c r="K310" i="4"/>
  <c r="K342" i="4"/>
  <c r="K358" i="4"/>
  <c r="K374" i="4"/>
  <c r="K390" i="4"/>
  <c r="K406" i="4"/>
  <c r="J311" i="4"/>
  <c r="K311" i="4" s="1"/>
  <c r="J320" i="4"/>
  <c r="K320" i="4" s="1"/>
  <c r="J327" i="4"/>
  <c r="K327" i="4" s="1"/>
  <c r="J336" i="4"/>
  <c r="K338" i="4"/>
  <c r="J343" i="4"/>
  <c r="K343" i="4" s="1"/>
  <c r="J352" i="4"/>
  <c r="K352" i="4" s="1"/>
  <c r="K354" i="4"/>
  <c r="J359" i="4"/>
  <c r="K359" i="4" s="1"/>
  <c r="J368" i="4"/>
  <c r="J375" i="4"/>
  <c r="K375" i="4" s="1"/>
  <c r="J384" i="4"/>
  <c r="K384" i="4" s="1"/>
  <c r="J391" i="4"/>
  <c r="K391" i="4" s="1"/>
  <c r="J400" i="4"/>
  <c r="K402" i="4"/>
  <c r="J407" i="4"/>
  <c r="K407" i="4" s="1"/>
  <c r="J312" i="4"/>
  <c r="J319" i="4"/>
  <c r="K319" i="4" s="1"/>
  <c r="J328" i="4"/>
  <c r="K328" i="4" s="1"/>
  <c r="K330" i="4"/>
  <c r="J335" i="4"/>
  <c r="K335" i="4" s="1"/>
  <c r="J344" i="4"/>
  <c r="J351" i="4"/>
  <c r="K351" i="4" s="1"/>
  <c r="J360" i="4"/>
  <c r="K360" i="4" s="1"/>
  <c r="K362" i="4"/>
  <c r="J367" i="4"/>
  <c r="K367" i="4" s="1"/>
  <c r="J376" i="4"/>
  <c r="J383" i="4"/>
  <c r="K383" i="4" s="1"/>
  <c r="J392" i="4"/>
  <c r="K392" i="4" s="1"/>
  <c r="J399" i="4"/>
  <c r="K399" i="4" s="1"/>
  <c r="J408" i="4"/>
  <c r="K408" i="4" s="1"/>
  <c r="K257" i="4"/>
  <c r="K280" i="4"/>
  <c r="K296" i="4"/>
  <c r="K305" i="4"/>
  <c r="K312" i="4"/>
  <c r="K321" i="4"/>
  <c r="K344" i="4"/>
  <c r="K376" i="4"/>
  <c r="K385" i="4"/>
  <c r="K401" i="4"/>
  <c r="K241" i="4"/>
  <c r="K269" i="4"/>
  <c r="K285" i="4"/>
  <c r="K301" i="4"/>
  <c r="K333" i="4"/>
  <c r="K397" i="4"/>
  <c r="J246" i="4"/>
  <c r="K246" i="4" s="1"/>
  <c r="J258" i="4"/>
  <c r="K258" i="4" s="1"/>
  <c r="J269" i="4"/>
  <c r="J274" i="4"/>
  <c r="J285" i="4"/>
  <c r="J290" i="4"/>
  <c r="K290" i="4" s="1"/>
  <c r="J301" i="4"/>
  <c r="J306" i="4"/>
  <c r="J317" i="4"/>
  <c r="K317" i="4" s="1"/>
  <c r="J322" i="4"/>
  <c r="K322" i="4" s="1"/>
  <c r="J333" i="4"/>
  <c r="J338" i="4"/>
  <c r="J349" i="4"/>
  <c r="K349" i="4" s="1"/>
  <c r="J354" i="4"/>
  <c r="J365" i="4"/>
  <c r="K365" i="4" s="1"/>
  <c r="J370" i="4"/>
  <c r="K370" i="4" s="1"/>
  <c r="J381" i="4"/>
  <c r="K381" i="4" s="1"/>
  <c r="J386" i="4"/>
  <c r="K386" i="4" s="1"/>
  <c r="J397" i="4"/>
  <c r="J402" i="4"/>
  <c r="G5" i="3"/>
  <c r="G6" i="3" s="1"/>
  <c r="E12" i="3"/>
  <c r="E16" i="3"/>
  <c r="E20" i="3"/>
  <c r="F14" i="3"/>
  <c r="F18" i="3"/>
  <c r="F20" i="3"/>
  <c r="G12" i="3"/>
  <c r="E14" i="3"/>
  <c r="E22" i="3"/>
  <c r="F12" i="3"/>
  <c r="F16" i="3"/>
  <c r="F22" i="3"/>
  <c r="D13" i="3"/>
  <c r="G13" i="3" s="1"/>
  <c r="D15" i="3"/>
  <c r="G15" i="3" s="1"/>
  <c r="D17" i="3"/>
  <c r="G17" i="3" s="1"/>
  <c r="D19" i="3"/>
  <c r="G19" i="3" s="1"/>
  <c r="E13" i="3"/>
  <c r="E15" i="3"/>
  <c r="E17" i="3"/>
  <c r="E19" i="3"/>
  <c r="E21" i="3"/>
  <c r="E18" i="3"/>
  <c r="F13" i="3"/>
  <c r="F15" i="3"/>
  <c r="F17" i="3"/>
  <c r="F19" i="3"/>
  <c r="K4" i="3" l="1"/>
  <c r="K3" i="3"/>
  <c r="L3" i="3" s="1"/>
  <c r="D24" i="3"/>
  <c r="E24" i="3"/>
  <c r="F2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<sst xmlns="http://schemas.openxmlformats.org/spreadsheetml/2006/main" count="131" uniqueCount="103">
  <si>
    <t>Date</t>
  </si>
  <si>
    <t>Open</t>
  </si>
  <si>
    <t>High</t>
  </si>
  <si>
    <t>Low</t>
  </si>
  <si>
    <t>Close</t>
  </si>
  <si>
    <t>Adj Close</t>
  </si>
  <si>
    <t>Volume</t>
  </si>
  <si>
    <t>MONTHLY_RETURNS</t>
  </si>
  <si>
    <t>Monthly Returns</t>
  </si>
  <si>
    <t>MONTHLY_RETURNS_MSFT</t>
  </si>
  <si>
    <t>MONTHLY_RETURNS_WMT</t>
  </si>
  <si>
    <t>MSFT</t>
  </si>
  <si>
    <t>WMT</t>
  </si>
  <si>
    <t xml:space="preserve">Arithmetic Average </t>
  </si>
  <si>
    <t>Geometic Mean</t>
  </si>
  <si>
    <t>Standard_dev</t>
  </si>
  <si>
    <t>Covariance</t>
  </si>
  <si>
    <t>Correlation</t>
  </si>
  <si>
    <t>Row Labels</t>
  </si>
  <si>
    <t>Grand Total</t>
  </si>
  <si>
    <t>Count of MONTHLY_RETURNS</t>
  </si>
  <si>
    <t>&lt;-0.15</t>
  </si>
  <si>
    <t>-0.15--0.13</t>
  </si>
  <si>
    <t>-0.13--0.11</t>
  </si>
  <si>
    <t>-0.11--0.09</t>
  </si>
  <si>
    <t>-0.09--0.07</t>
  </si>
  <si>
    <t>-0.07--0.05</t>
  </si>
  <si>
    <t>-0.05--0.03</t>
  </si>
  <si>
    <t>-0.03--0.01</t>
  </si>
  <si>
    <t>-0.00999999999999998-0.01</t>
  </si>
  <si>
    <t>0.01-0.03</t>
  </si>
  <si>
    <t>0.03-0.05</t>
  </si>
  <si>
    <t>0.05-0.07</t>
  </si>
  <si>
    <t>0.07-0.09</t>
  </si>
  <si>
    <t>0.09-0.11</t>
  </si>
  <si>
    <t>0.11-0.13</t>
  </si>
  <si>
    <t>0.13-0.15</t>
  </si>
  <si>
    <t>0.15-0.17</t>
  </si>
  <si>
    <t>0.17-0.19</t>
  </si>
  <si>
    <t>0.19-0.21</t>
  </si>
  <si>
    <t>0.23-0.25</t>
  </si>
  <si>
    <t>Count of Monthly Returns</t>
  </si>
  <si>
    <t>&lt;-0.14</t>
  </si>
  <si>
    <t>-0.12--0.1</t>
  </si>
  <si>
    <t>-0.08--0.06</t>
  </si>
  <si>
    <t>-0.06--0.04</t>
  </si>
  <si>
    <t>-0.04--0.02</t>
  </si>
  <si>
    <t>-0.02--1.73472347597681E-17</t>
  </si>
  <si>
    <t>0-0.02</t>
  </si>
  <si>
    <t>0.02-0.04</t>
  </si>
  <si>
    <t>0.04-0.06</t>
  </si>
  <si>
    <t>0.06-0.08</t>
  </si>
  <si>
    <t>0.08-0.1</t>
  </si>
  <si>
    <t>0.1-0.12</t>
  </si>
  <si>
    <t>0.14-0.16</t>
  </si>
  <si>
    <t>Wmt</t>
  </si>
  <si>
    <t>variance_micro</t>
  </si>
  <si>
    <t>expected_return</t>
  </si>
  <si>
    <t>var_walmart</t>
  </si>
  <si>
    <t>std</t>
  </si>
  <si>
    <t>min_var_microsoft</t>
  </si>
  <si>
    <t>min_var_walmart</t>
  </si>
  <si>
    <t>W_MSFT</t>
  </si>
  <si>
    <t>W_WMT</t>
  </si>
  <si>
    <t>Portfolio_expected_return</t>
  </si>
  <si>
    <t>Variance_for_both</t>
  </si>
  <si>
    <t>portfolio_stdev_of_both</t>
  </si>
  <si>
    <t>exp_return_for_both</t>
  </si>
  <si>
    <t>Rf</t>
  </si>
  <si>
    <t>Monthly return of MSFT</t>
  </si>
  <si>
    <t>Monthly return of S&amp;p 500</t>
  </si>
  <si>
    <t>Excess Returns MSFT (Y)</t>
  </si>
  <si>
    <t>Excess Returns S&amp;P 500 (X)</t>
  </si>
  <si>
    <t xml:space="preserve">dummy </t>
  </si>
  <si>
    <t xml:space="preserve">interaction </t>
  </si>
  <si>
    <t xml:space="preserve">max </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</si>
  <si>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</si>
  <si>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</si>
  <si>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</si>
  <si>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</si>
  <si>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</si>
  <si>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</si>
  <si>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</si>
  <si>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</si>
  <si>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</si>
  <si>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</si>
  <si>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</si>
  <si>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</si>
  <si>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</si>
  <si>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</si>
  <si>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</si>
  <si>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</si>
  <si>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</si>
  <si>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</si>
  <si>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</si>
  <si>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</si>
  <si>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</si>
  <si>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</si>
  <si>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</si>
  <si>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</si>
  <si>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average return</t>
  </si>
  <si>
    <t>z score</t>
  </si>
  <si>
    <t>Probability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</si>
</sst>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0"/>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top/>
      <bottom style="medium">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0" fontId="0" fillId="0" borderId="1" xfId="0" applyBorder="1"/>
    <xf numFmtId="0" fontId="0" fillId="2" borderId="1" xfId="0" applyFill="1" applyBorder="1"/>
    <xf numFmtId="0" fontId="2" fillId="0" borderId="1" xfId="0" applyFont="1" applyBorder="1"/>
    <xf numFmtId="0"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0" fontId="0" fillId="3" borderId="1" xfId="0" applyFill="1" applyBorder="1"/>
    <xf numFmtId="10" fontId="0" fillId="0" borderId="0" xfId="1" applyNumberFormat="1" applyFont="1"/>
    <xf numFmtId="0" fontId="0" fillId="3" borderId="0" xfId="0" applyFill="1"/>
    <xf numFmtId="0" fontId="0" fillId="4" borderId="0" xfId="0" applyFill="1"/>
    <xf numFmtId="0" fontId="3" fillId="0" borderId="2" xfId="0" applyFont="1" applyBorder="1" applyAlignment="1">
      <alignment horizontal="centerContinuous"/>
    </xf>
    <xf numFmtId="0" fontId="0" fillId="0" borderId="3" xfId="0" applyBorder="1"/>
    <xf numFmtId="0" fontId="3" fillId="0" borderId="2" xfId="0"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 2 .xlsx]Task 1 !PivotTable1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 '!$Y$4</c:f>
              <c:strCache>
                <c:ptCount val="1"/>
                <c:pt idx="0">
                  <c:v>Total</c:v>
                </c:pt>
              </c:strCache>
            </c:strRef>
          </c:tx>
          <c:spPr>
            <a:solidFill>
              <a:schemeClr val="accent1"/>
            </a:solidFill>
            <a:ln>
              <a:noFill/>
            </a:ln>
            <a:effectLst/>
          </c:spPr>
          <c:invertIfNegative val="0"/>
          <c:cat>
            <c:strRef>
              <c:f>'Task 1 '!$X$5:$X$25</c:f>
              <c:strCache>
                <c:ptCount val="20"/>
                <c:pt idx="0">
                  <c:v>&lt;-0.15</c:v>
                </c:pt>
                <c:pt idx="1">
                  <c:v>-0.15--0.13</c:v>
                </c:pt>
                <c:pt idx="2">
                  <c:v>-0.13--0.11</c:v>
                </c:pt>
                <c:pt idx="3">
                  <c:v>-0.11--0.09</c:v>
                </c:pt>
                <c:pt idx="4">
                  <c:v>-0.09--0.07</c:v>
                </c:pt>
                <c:pt idx="5">
                  <c:v>-0.07--0.05</c:v>
                </c:pt>
                <c:pt idx="6">
                  <c:v>-0.05--0.03</c:v>
                </c:pt>
                <c:pt idx="7">
                  <c:v>-0.03--0.01</c:v>
                </c:pt>
                <c:pt idx="8">
                  <c:v>-0.00999999999999998-0.01</c:v>
                </c:pt>
                <c:pt idx="9">
                  <c:v>0.01-0.03</c:v>
                </c:pt>
                <c:pt idx="10">
                  <c:v>0.03-0.05</c:v>
                </c:pt>
                <c:pt idx="11">
                  <c:v>0.05-0.07</c:v>
                </c:pt>
                <c:pt idx="12">
                  <c:v>0.07-0.09</c:v>
                </c:pt>
                <c:pt idx="13">
                  <c:v>0.09-0.11</c:v>
                </c:pt>
                <c:pt idx="14">
                  <c:v>0.11-0.13</c:v>
                </c:pt>
                <c:pt idx="15">
                  <c:v>0.13-0.15</c:v>
                </c:pt>
                <c:pt idx="16">
                  <c:v>0.15-0.17</c:v>
                </c:pt>
                <c:pt idx="17">
                  <c:v>0.17-0.19</c:v>
                </c:pt>
                <c:pt idx="18">
                  <c:v>0.19-0.21</c:v>
                </c:pt>
                <c:pt idx="19">
                  <c:v>0.23-0.25</c:v>
                </c:pt>
              </c:strCache>
            </c:strRef>
          </c:cat>
          <c:val>
            <c:numRef>
              <c:f>'Task 1 '!$Y$5:$Y$25</c:f>
              <c:numCache>
                <c:formatCode>General</c:formatCode>
                <c:ptCount val="20"/>
                <c:pt idx="0">
                  <c:v>3</c:v>
                </c:pt>
                <c:pt idx="1">
                  <c:v>1</c:v>
                </c:pt>
                <c:pt idx="2">
                  <c:v>1</c:v>
                </c:pt>
                <c:pt idx="3">
                  <c:v>6</c:v>
                </c:pt>
                <c:pt idx="4">
                  <c:v>8</c:v>
                </c:pt>
                <c:pt idx="5">
                  <c:v>15</c:v>
                </c:pt>
                <c:pt idx="6">
                  <c:v>11</c:v>
                </c:pt>
                <c:pt idx="7">
                  <c:v>16</c:v>
                </c:pt>
                <c:pt idx="8">
                  <c:v>19</c:v>
                </c:pt>
                <c:pt idx="9">
                  <c:v>32</c:v>
                </c:pt>
                <c:pt idx="10">
                  <c:v>26</c:v>
                </c:pt>
                <c:pt idx="11">
                  <c:v>22</c:v>
                </c:pt>
                <c:pt idx="12">
                  <c:v>11</c:v>
                </c:pt>
                <c:pt idx="13">
                  <c:v>7</c:v>
                </c:pt>
                <c:pt idx="14">
                  <c:v>5</c:v>
                </c:pt>
                <c:pt idx="15">
                  <c:v>4</c:v>
                </c:pt>
                <c:pt idx="16">
                  <c:v>2</c:v>
                </c:pt>
                <c:pt idx="17">
                  <c:v>2</c:v>
                </c:pt>
                <c:pt idx="18">
                  <c:v>1</c:v>
                </c:pt>
                <c:pt idx="19">
                  <c:v>1</c:v>
                </c:pt>
              </c:numCache>
            </c:numRef>
          </c:val>
          <c:extLst>
            <c:ext xmlns:c16="http://schemas.microsoft.com/office/drawing/2014/chart" uri="{C3380CC4-5D6E-409C-BE32-E72D297353CC}">
              <c16:uniqueId val="{00000000-3AE2-4510-8FA1-318AB01DD2D4}"/>
            </c:ext>
          </c:extLst>
        </c:ser>
        <c:dLbls>
          <c:showLegendKey val="0"/>
          <c:showVal val="0"/>
          <c:showCatName val="0"/>
          <c:showSerName val="0"/>
          <c:showPercent val="0"/>
          <c:showBubbleSize val="0"/>
        </c:dLbls>
        <c:gapWidth val="219"/>
        <c:overlap val="-27"/>
        <c:axId val="819334303"/>
        <c:axId val="819341983"/>
      </c:barChart>
      <c:catAx>
        <c:axId val="81933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41983"/>
        <c:crosses val="autoZero"/>
        <c:auto val="1"/>
        <c:lblAlgn val="ctr"/>
        <c:lblOffset val="100"/>
        <c:noMultiLvlLbl val="0"/>
      </c:catAx>
      <c:valAx>
        <c:axId val="81934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3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 2 .xlsx]Task 1 !PivotTable2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 '!$AD$4</c:f>
              <c:strCache>
                <c:ptCount val="1"/>
                <c:pt idx="0">
                  <c:v>Total</c:v>
                </c:pt>
              </c:strCache>
            </c:strRef>
          </c:tx>
          <c:spPr>
            <a:solidFill>
              <a:schemeClr val="accent1"/>
            </a:solidFill>
            <a:ln>
              <a:noFill/>
            </a:ln>
            <a:effectLst/>
          </c:spPr>
          <c:invertIfNegative val="0"/>
          <c:cat>
            <c:strRef>
              <c:f>'Task 1 '!$AC$5:$AC$18</c:f>
              <c:strCache>
                <c:ptCount val="13"/>
                <c:pt idx="0">
                  <c:v>&lt;-0.14</c:v>
                </c:pt>
                <c:pt idx="1">
                  <c:v>-0.12--0.1</c:v>
                </c:pt>
                <c:pt idx="2">
                  <c:v>-0.08--0.06</c:v>
                </c:pt>
                <c:pt idx="3">
                  <c:v>-0.06--0.04</c:v>
                </c:pt>
                <c:pt idx="4">
                  <c:v>-0.04--0.02</c:v>
                </c:pt>
                <c:pt idx="5">
                  <c:v>-0.02--1.73472347597681E-17</c:v>
                </c:pt>
                <c:pt idx="6">
                  <c:v>0-0.02</c:v>
                </c:pt>
                <c:pt idx="7">
                  <c:v>0.02-0.04</c:v>
                </c:pt>
                <c:pt idx="8">
                  <c:v>0.04-0.06</c:v>
                </c:pt>
                <c:pt idx="9">
                  <c:v>0.06-0.08</c:v>
                </c:pt>
                <c:pt idx="10">
                  <c:v>0.08-0.1</c:v>
                </c:pt>
                <c:pt idx="11">
                  <c:v>0.1-0.12</c:v>
                </c:pt>
                <c:pt idx="12">
                  <c:v>0.14-0.16</c:v>
                </c:pt>
              </c:strCache>
            </c:strRef>
          </c:cat>
          <c:val>
            <c:numRef>
              <c:f>'Task 1 '!$AD$5:$AD$18</c:f>
              <c:numCache>
                <c:formatCode>General</c:formatCode>
                <c:ptCount val="13"/>
                <c:pt idx="0">
                  <c:v>3</c:v>
                </c:pt>
                <c:pt idx="1">
                  <c:v>2</c:v>
                </c:pt>
                <c:pt idx="2">
                  <c:v>6</c:v>
                </c:pt>
                <c:pt idx="3">
                  <c:v>14</c:v>
                </c:pt>
                <c:pt idx="4">
                  <c:v>30</c:v>
                </c:pt>
                <c:pt idx="5">
                  <c:v>28</c:v>
                </c:pt>
                <c:pt idx="6">
                  <c:v>35</c:v>
                </c:pt>
                <c:pt idx="7">
                  <c:v>24</c:v>
                </c:pt>
                <c:pt idx="8">
                  <c:v>20</c:v>
                </c:pt>
                <c:pt idx="9">
                  <c:v>16</c:v>
                </c:pt>
                <c:pt idx="10">
                  <c:v>8</c:v>
                </c:pt>
                <c:pt idx="11">
                  <c:v>6</c:v>
                </c:pt>
                <c:pt idx="12">
                  <c:v>1</c:v>
                </c:pt>
              </c:numCache>
            </c:numRef>
          </c:val>
          <c:extLst>
            <c:ext xmlns:c16="http://schemas.microsoft.com/office/drawing/2014/chart" uri="{C3380CC4-5D6E-409C-BE32-E72D297353CC}">
              <c16:uniqueId val="{00000000-0FF5-4D2A-B1F2-9E70F8814351}"/>
            </c:ext>
          </c:extLst>
        </c:ser>
        <c:dLbls>
          <c:showLegendKey val="0"/>
          <c:showVal val="0"/>
          <c:showCatName val="0"/>
          <c:showSerName val="0"/>
          <c:showPercent val="0"/>
          <c:showBubbleSize val="0"/>
        </c:dLbls>
        <c:gapWidth val="219"/>
        <c:overlap val="-27"/>
        <c:axId val="819329983"/>
        <c:axId val="819341503"/>
      </c:barChart>
      <c:catAx>
        <c:axId val="81932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41503"/>
        <c:crosses val="autoZero"/>
        <c:auto val="1"/>
        <c:lblAlgn val="ctr"/>
        <c:lblOffset val="100"/>
        <c:noMultiLvlLbl val="0"/>
      </c:catAx>
      <c:valAx>
        <c:axId val="81934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Exp</a:t>
            </a:r>
            <a:r>
              <a:rPr lang="en-IN" baseline="0"/>
              <a:t> returns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'Task 2 '!$F$12:$F$22</c:f>
              <c:numCache>
                <c:formatCode>General</c:formatCode>
                <c:ptCount val="11"/>
                <c:pt idx="0">
                  <c:v>6.8050274298009111E-2</c:v>
                </c:pt>
                <c:pt idx="1">
                  <c:v>6.2719176868255927E-2</c:v>
                </c:pt>
                <c:pt idx="2">
                  <c:v>5.7840606642144972E-2</c:v>
                </c:pt>
                <c:pt idx="3">
                  <c:v>5.3538413509681075E-2</c:v>
                </c:pt>
                <c:pt idx="4">
                  <c:v>4.9961715145082269E-2</c:v>
                </c:pt>
                <c:pt idx="5">
                  <c:v>4.727546460951567E-2</c:v>
                </c:pt>
                <c:pt idx="6">
                  <c:v>4.5637171719501608E-2</c:v>
                </c:pt>
                <c:pt idx="7">
                  <c:v>4.5161030167252272E-2</c:v>
                </c:pt>
                <c:pt idx="8">
                  <c:v>4.5883234015075124E-2</c:v>
                </c:pt>
                <c:pt idx="9">
                  <c:v>4.7749439748538486E-2</c:v>
                </c:pt>
                <c:pt idx="10">
                  <c:v>5.0633310612865821E-2</c:v>
                </c:pt>
              </c:numCache>
            </c:numRef>
          </c:xVal>
          <c:yVal>
            <c:numRef>
              <c:f>'Task 2 '!$G$12:$G$22</c:f>
              <c:numCache>
                <c:formatCode>General</c:formatCode>
                <c:ptCount val="11"/>
                <c:pt idx="0">
                  <c:v>1.6643685036992945E-2</c:v>
                </c:pt>
                <c:pt idx="1">
                  <c:v>1.5915407283866034E-2</c:v>
                </c:pt>
                <c:pt idx="2">
                  <c:v>1.5187129530739123E-2</c:v>
                </c:pt>
                <c:pt idx="3">
                  <c:v>1.4458851777612212E-2</c:v>
                </c:pt>
                <c:pt idx="4">
                  <c:v>1.3730574024485302E-2</c:v>
                </c:pt>
                <c:pt idx="5">
                  <c:v>1.3002296271358391E-2</c:v>
                </c:pt>
                <c:pt idx="6">
                  <c:v>1.227401851823148E-2</c:v>
                </c:pt>
                <c:pt idx="7">
                  <c:v>1.1545740765104569E-2</c:v>
                </c:pt>
                <c:pt idx="8">
                  <c:v>1.0817463011977658E-2</c:v>
                </c:pt>
                <c:pt idx="9">
                  <c:v>1.0089185258850749E-2</c:v>
                </c:pt>
                <c:pt idx="10">
                  <c:v>9.360907505723836E-3</c:v>
                </c:pt>
              </c:numCache>
            </c:numRef>
          </c:yVal>
          <c:smooth val="0"/>
          <c:extLst>
            <c:ext xmlns:c16="http://schemas.microsoft.com/office/drawing/2014/chart" uri="{C3380CC4-5D6E-409C-BE32-E72D297353CC}">
              <c16:uniqueId val="{00000000-752B-478B-8A2B-0797393E34A8}"/>
            </c:ext>
          </c:extLst>
        </c:ser>
        <c:dLbls>
          <c:showLegendKey val="0"/>
          <c:showVal val="0"/>
          <c:showCatName val="0"/>
          <c:showSerName val="0"/>
          <c:showPercent val="0"/>
          <c:showBubbleSize val="0"/>
        </c:dLbls>
        <c:axId val="819358303"/>
        <c:axId val="819359263"/>
      </c:scatterChart>
      <c:valAx>
        <c:axId val="819358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59263"/>
        <c:crosses val="autoZero"/>
        <c:crossBetween val="midCat"/>
      </c:valAx>
      <c:valAx>
        <c:axId val="81935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583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22</xdr:col>
      <xdr:colOff>205740</xdr:colOff>
      <xdr:row>27</xdr:row>
      <xdr:rowOff>26670</xdr:rowOff>
    </xdr:from>
    <xdr:to>
      <xdr:col>26</xdr:col>
      <xdr:colOff>129540</xdr:colOff>
      <xdr:row>42</xdr:row>
      <xdr:rowOff>26670</xdr:rowOff>
    </xdr:to>
    <xdr:graphicFrame macro="">
      <xdr:nvGraphicFramePr>
        <xdr:cNvPr id="2" name="Chart 1">
          <a:extLst>
            <a:ext uri="{FF2B5EF4-FFF2-40B4-BE49-F238E27FC236}">
              <a16:creationId xmlns:a16="http://schemas.microsoft.com/office/drawing/2014/main" id="{961A57EA-DF8C-55EC-78F4-5004CA7B5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327660</xdr:colOff>
      <xdr:row>21</xdr:row>
      <xdr:rowOff>72390</xdr:rowOff>
    </xdr:from>
    <xdr:to>
      <xdr:col>31</xdr:col>
      <xdr:colOff>396240</xdr:colOff>
      <xdr:row>36</xdr:row>
      <xdr:rowOff>72390</xdr:rowOff>
    </xdr:to>
    <xdr:graphicFrame macro="">
      <xdr:nvGraphicFramePr>
        <xdr:cNvPr id="3" name="Chart 2">
          <a:extLst>
            <a:ext uri="{FF2B5EF4-FFF2-40B4-BE49-F238E27FC236}">
              <a16:creationId xmlns:a16="http://schemas.microsoft.com/office/drawing/2014/main" id="{626DFE05-CDB6-9859-40B3-190AA1863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861060</xdr:colOff>
      <xdr:row>43</xdr:row>
      <xdr:rowOff>121920</xdr:rowOff>
    </xdr:from>
    <xdr:to>
      <xdr:col>28</xdr:col>
      <xdr:colOff>685800</xdr:colOff>
      <xdr:row>48</xdr:row>
      <xdr:rowOff>15240</xdr:rowOff>
    </xdr:to>
    <xdr:sp macro="" textlink="">
      <xdr:nvSpPr>
        <xdr:cNvPr id="4" name="TextBox 3">
          <a:extLst>
            <a:ext uri="{FF2B5EF4-FFF2-40B4-BE49-F238E27FC236}">
              <a16:creationId xmlns:a16="http://schemas.microsoft.com/office/drawing/2014/main" id="{CE503DD0-C152-2DA4-2C02-BDBEECB25BB5}"/>
            </a:ext>
          </a:extLst>
        </xdr:cNvPr>
        <xdr:cNvSpPr txBox="1"/>
      </xdr:nvSpPr>
      <xdr:spPr>
        <a:xfrm>
          <a:off x="18623280" y="7985760"/>
          <a:ext cx="5082540" cy="807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Most of the monthly returns for MSFT and WMT are primarily centered around modest positive or negative figures, confirming the low arithmetic averages. MSFT exhibits wider returns that vary more, reflecting the greater standard deviation. Both stocks show minimal significant deviations, which highlights the infrequency of extreme returns.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190500</xdr:colOff>
      <xdr:row>7</xdr:row>
      <xdr:rowOff>125730</xdr:rowOff>
    </xdr:from>
    <xdr:to>
      <xdr:col>15</xdr:col>
      <xdr:colOff>137160</xdr:colOff>
      <xdr:row>22</xdr:row>
      <xdr:rowOff>125730</xdr:rowOff>
    </xdr:to>
    <xdr:graphicFrame macro="">
      <xdr:nvGraphicFramePr>
        <xdr:cNvPr id="3" name="Chart 2">
          <a:extLst>
            <a:ext uri="{FF2B5EF4-FFF2-40B4-BE49-F238E27FC236}">
              <a16:creationId xmlns:a16="http://schemas.microsoft.com/office/drawing/2014/main" id="{68FFF50F-DE4A-43F8-9199-43F7C1655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henn\OneDrive\Desktop\Fin%20mid\fi%20mid.xlsx" TargetMode="External"/><Relationship Id="rId1" Type="http://schemas.openxmlformats.org/officeDocument/2006/relationships/externalLinkPath" Target="fi%20mi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SFT"/>
      <sheetName val="Wmt"/>
      <sheetName val="s&amp;p"/>
      <sheetName val="Task 1"/>
      <sheetName val="Task2"/>
      <sheetName val="Task3 "/>
      <sheetName val="Regression"/>
    </sheetNames>
    <sheetDataSet>
      <sheetData sheetId="0">
        <row r="211">
          <cell r="H211">
            <v>-1.6288074716252609E-2</v>
          </cell>
        </row>
        <row r="212">
          <cell r="H212">
            <v>-8.9685965959023593E-3</v>
          </cell>
        </row>
        <row r="213">
          <cell r="H213">
            <v>2.9003038724095161E-2</v>
          </cell>
        </row>
        <row r="214">
          <cell r="H214">
            <v>0.24949085099666371</v>
          </cell>
        </row>
        <row r="215">
          <cell r="H215">
            <v>-8.7204244325922178E-2</v>
          </cell>
        </row>
        <row r="216">
          <cell r="H216">
            <v>6.3026923400314072E-2</v>
          </cell>
        </row>
        <row r="217">
          <cell r="H217">
            <v>-8.426993509035513E-2</v>
          </cell>
        </row>
        <row r="218">
          <cell r="H218">
            <v>-0.1656438707470137</v>
          </cell>
        </row>
        <row r="219">
          <cell r="H219">
            <v>4.7436139431946821E-2</v>
          </cell>
        </row>
        <row r="220">
          <cell r="H220">
            <v>4.9332565228272611E-3</v>
          </cell>
        </row>
        <row r="221">
          <cell r="H221">
            <v>-7.0127825376948569E-3</v>
          </cell>
        </row>
        <row r="222">
          <cell r="H222">
            <v>-2.5025389470366637E-2</v>
          </cell>
        </row>
        <row r="223">
          <cell r="H223">
            <v>-6.5067056050394187E-2</v>
          </cell>
        </row>
        <row r="224">
          <cell r="H224">
            <v>6.1041522272994732E-2</v>
          </cell>
        </row>
        <row r="225">
          <cell r="H225">
            <v>-1.8085445491023203E-2</v>
          </cell>
        </row>
        <row r="226">
          <cell r="H226">
            <v>-0.16335661445465485</v>
          </cell>
        </row>
        <row r="227">
          <cell r="H227">
            <v>-9.4492176430528846E-2</v>
          </cell>
        </row>
        <row r="228">
          <cell r="H228">
            <v>-3.2061898211644679E-2</v>
          </cell>
        </row>
        <row r="229">
          <cell r="H229">
            <v>-0.12037096229094213</v>
          </cell>
        </row>
        <row r="230">
          <cell r="H230">
            <v>-5.5555516100922769E-2</v>
          </cell>
        </row>
        <row r="231">
          <cell r="H231">
            <v>0.14525998559581038</v>
          </cell>
        </row>
        <row r="232">
          <cell r="H232">
            <v>0.10288554603566168</v>
          </cell>
        </row>
        <row r="233">
          <cell r="H233">
            <v>3.1095602186695725E-2</v>
          </cell>
        </row>
        <row r="234">
          <cell r="H234">
            <v>0.14509124023789285</v>
          </cell>
        </row>
        <row r="235">
          <cell r="H235">
            <v>-1.0517311767336203E-2</v>
          </cell>
        </row>
        <row r="236">
          <cell r="H236">
            <v>4.8044271851608651E-2</v>
          </cell>
        </row>
        <row r="237">
          <cell r="H237">
            <v>4.9274762569390951E-2</v>
          </cell>
        </row>
        <row r="238">
          <cell r="H238">
            <v>7.8149324578004151E-2</v>
          </cell>
        </row>
        <row r="239">
          <cell r="H239">
            <v>6.0584061307936844E-2</v>
          </cell>
        </row>
        <row r="240">
          <cell r="H240">
            <v>4.0962918309116358E-2</v>
          </cell>
        </row>
        <row r="241">
          <cell r="H241">
            <v>-7.5458976905394326E-2</v>
          </cell>
        </row>
        <row r="242">
          <cell r="H242">
            <v>1.738790646701667E-2</v>
          </cell>
        </row>
        <row r="243">
          <cell r="H243">
            <v>2.6402923922392699E-2</v>
          </cell>
        </row>
        <row r="244">
          <cell r="H244">
            <v>4.2676589605851405E-2</v>
          </cell>
        </row>
        <row r="245">
          <cell r="H245">
            <v>-0.15520606270271725</v>
          </cell>
        </row>
        <row r="246">
          <cell r="H246">
            <v>-0.10411507678050116</v>
          </cell>
        </row>
        <row r="247">
          <cell r="H247">
            <v>0.12168592716825076</v>
          </cell>
        </row>
        <row r="248">
          <cell r="H248">
            <v>-9.0662678807063898E-2</v>
          </cell>
        </row>
        <row r="249">
          <cell r="H249">
            <v>4.9026071778588677E-2</v>
          </cell>
        </row>
        <row r="250">
          <cell r="H250">
            <v>8.9015800307075038E-2</v>
          </cell>
        </row>
        <row r="251">
          <cell r="H251">
            <v>-5.2868258926563799E-2</v>
          </cell>
        </row>
        <row r="252">
          <cell r="H252">
            <v>0.11169807675054301</v>
          </cell>
        </row>
        <row r="253">
          <cell r="H253">
            <v>-6.4495018773911682E-3</v>
          </cell>
        </row>
        <row r="254">
          <cell r="H254">
            <v>-4.1471510875745035E-2</v>
          </cell>
        </row>
        <row r="255">
          <cell r="H255">
            <v>-3.9124265084100558E-2</v>
          </cell>
        </row>
        <row r="256">
          <cell r="H256">
            <v>2.0874274003430338E-2</v>
          </cell>
        </row>
        <row r="257">
          <cell r="H257">
            <v>-3.5107950331905051E-2</v>
          </cell>
        </row>
        <row r="258">
          <cell r="H258">
            <v>4.6398356802510497E-2</v>
          </cell>
        </row>
        <row r="259">
          <cell r="H259">
            <v>5.3846183659993684E-2</v>
          </cell>
        </row>
        <row r="260">
          <cell r="H260">
            <v>-2.9197268546808673E-2</v>
          </cell>
        </row>
        <row r="261">
          <cell r="H261">
            <v>-5.8379877605731101E-2</v>
          </cell>
        </row>
        <row r="262">
          <cell r="H262">
            <v>6.9907836445913404E-2</v>
          </cell>
        </row>
        <row r="263">
          <cell r="H263">
            <v>-3.9429131554181734E-2</v>
          </cell>
        </row>
        <row r="264">
          <cell r="H264">
            <v>2.2497344427241748E-2</v>
          </cell>
        </row>
        <row r="265">
          <cell r="H265">
            <v>0.13751898849507407</v>
          </cell>
        </row>
        <row r="266">
          <cell r="H266">
            <v>7.4839296517523066E-2</v>
          </cell>
        </row>
        <row r="267">
          <cell r="H267">
            <v>2.3074539012818598E-2</v>
          </cell>
        </row>
        <row r="268">
          <cell r="H268">
            <v>-7.4395556204213103E-3</v>
          </cell>
        </row>
        <row r="269">
          <cell r="H269">
            <v>-8.8382595596437061E-2</v>
          </cell>
        </row>
        <row r="270">
          <cell r="H270">
            <v>5.4838304695632833E-2</v>
          </cell>
        </row>
        <row r="271">
          <cell r="H271">
            <v>-3.6613670806493803E-2</v>
          </cell>
        </row>
        <row r="272">
          <cell r="H272">
            <v>4.580962024736162E-2</v>
          </cell>
        </row>
        <row r="273">
          <cell r="H273">
            <v>-2.7996518484982601E-2</v>
          </cell>
        </row>
        <row r="274">
          <cell r="H274">
            <v>-4.0994474318278247E-2</v>
          </cell>
        </row>
        <row r="275">
          <cell r="H275">
            <v>-6.7274115014633082E-2</v>
          </cell>
        </row>
        <row r="276">
          <cell r="H276">
            <v>1.1625836786938308E-2</v>
          </cell>
        </row>
        <row r="277">
          <cell r="H277">
            <v>2.7704774229011974E-2</v>
          </cell>
        </row>
        <row r="278">
          <cell r="H278">
            <v>1.2750736932600617E-2</v>
          </cell>
        </row>
        <row r="279">
          <cell r="H279">
            <v>3.765758768426708E-2</v>
          </cell>
        </row>
        <row r="280">
          <cell r="H280">
            <v>0.1569376668502615</v>
          </cell>
        </row>
        <row r="281">
          <cell r="H281">
            <v>5.4381054293179472E-2</v>
          </cell>
        </row>
        <row r="282">
          <cell r="H282">
            <v>-3.3754604398059801E-3</v>
          </cell>
        </row>
        <row r="283">
          <cell r="H283">
            <v>-7.8170445052940712E-2</v>
          </cell>
        </row>
        <row r="284">
          <cell r="H284">
            <v>4.899500924930051E-2</v>
          </cell>
        </row>
        <row r="285">
          <cell r="H285">
            <v>3.4287864950304425E-3</v>
          </cell>
        </row>
        <row r="286">
          <cell r="H286">
            <v>6.4002127659880392E-2</v>
          </cell>
        </row>
        <row r="287">
          <cell r="H287">
            <v>7.6814929474879903E-2</v>
          </cell>
        </row>
        <row r="288">
          <cell r="H288">
            <v>-1.1442305027901787E-2</v>
          </cell>
        </row>
        <row r="289">
          <cell r="H289">
            <v>1.1494210547317465E-2</v>
          </cell>
        </row>
        <row r="290">
          <cell r="H290">
            <v>1.2420920290414585E-2</v>
          </cell>
        </row>
        <row r="291">
          <cell r="H291">
            <v>7.7978826066727555E-2</v>
          </cell>
        </row>
        <row r="292">
          <cell r="H292">
            <v>-1.4393844127086773E-2</v>
          </cell>
        </row>
        <row r="293">
          <cell r="H293">
            <v>1.3365832039477938E-2</v>
          </cell>
        </row>
        <row r="294">
          <cell r="H294">
            <v>2.574998802267222E-2</v>
          </cell>
        </row>
        <row r="295">
          <cell r="H295">
            <v>3.5011914116861553E-2</v>
          </cell>
        </row>
        <row r="296">
          <cell r="H296">
            <v>5.259510623758995E-2</v>
          </cell>
        </row>
        <row r="297">
          <cell r="H297">
            <v>2.6844316342042041E-2</v>
          </cell>
        </row>
        <row r="298">
          <cell r="H298">
            <v>1.2727136598504111E-2</v>
          </cell>
        </row>
        <row r="299">
          <cell r="H299">
            <v>1.8316679449140963E-2</v>
          </cell>
        </row>
        <row r="300">
          <cell r="H300">
            <v>-2.2317941590191528E-2</v>
          </cell>
        </row>
        <row r="301">
          <cell r="H301">
            <v>-0.13024755406648161</v>
          </cell>
        </row>
        <row r="302">
          <cell r="H302">
            <v>8.5395979441277386E-2</v>
          </cell>
        </row>
        <row r="303">
          <cell r="H303">
            <v>-6.6149334377779451E-2</v>
          </cell>
        </row>
        <row r="304">
          <cell r="H304">
            <v>0.19626199670777267</v>
          </cell>
        </row>
        <row r="305">
          <cell r="H305">
            <v>-3.6595272483650729E-2</v>
          </cell>
        </row>
        <row r="306">
          <cell r="H306">
            <v>-5.1708863080141103E-2</v>
          </cell>
        </row>
        <row r="307">
          <cell r="H307">
            <v>5.7757548041018687E-2</v>
          </cell>
        </row>
        <row r="308">
          <cell r="H308">
            <v>-6.8094013060603684E-2</v>
          </cell>
        </row>
        <row r="309">
          <cell r="H309">
            <v>2.3709823507350736E-2</v>
          </cell>
        </row>
        <row r="310">
          <cell r="H310">
            <v>0.18933595030986722</v>
          </cell>
        </row>
        <row r="311">
          <cell r="H311">
            <v>3.2484987842015228E-2</v>
          </cell>
        </row>
        <row r="312">
          <cell r="H312">
            <v>2.7671406629333151E-2</v>
          </cell>
        </row>
        <row r="313">
          <cell r="H313">
            <v>-7.0294253045802583E-3</v>
          </cell>
        </row>
        <row r="314">
          <cell r="H314">
            <v>-7.6420333403844687E-2</v>
          </cell>
        </row>
        <row r="315">
          <cell r="H315">
            <v>9.3288881442052635E-2</v>
          </cell>
        </row>
        <row r="316">
          <cell r="H316">
            <v>-9.7048836059482113E-2</v>
          </cell>
        </row>
        <row r="317">
          <cell r="H317">
            <v>6.2763167881964899E-2</v>
          </cell>
        </row>
        <row r="318">
          <cell r="H318">
            <v>-2.7775207141193321E-2</v>
          </cell>
        </row>
        <row r="319">
          <cell r="H319">
            <v>0.10768008536018053</v>
          </cell>
        </row>
        <row r="320">
          <cell r="H320">
            <v>1.3761524279737005E-2</v>
          </cell>
        </row>
        <row r="321">
          <cell r="H321">
            <v>8.6842441952721585E-3</v>
          </cell>
        </row>
        <row r="322">
          <cell r="H322">
            <v>4.0277876070992223E-2</v>
          </cell>
        </row>
        <row r="323">
          <cell r="H323">
            <v>5.6740627146553918E-3</v>
          </cell>
        </row>
        <row r="324">
          <cell r="H324">
            <v>3.8164604532951063E-2</v>
          </cell>
        </row>
        <row r="325">
          <cell r="H325">
            <v>4.0392770965760195E-2</v>
          </cell>
        </row>
        <row r="326">
          <cell r="H326">
            <v>-1.0363441894447805E-2</v>
          </cell>
        </row>
        <row r="327">
          <cell r="H327">
            <v>3.5624522838015392E-2</v>
          </cell>
        </row>
        <row r="328">
          <cell r="H328">
            <v>3.9478009923785133E-2</v>
          </cell>
        </row>
        <row r="329">
          <cell r="H329">
            <v>2.0157719561401773E-2</v>
          </cell>
        </row>
        <row r="330">
          <cell r="H330">
            <v>-7.3725791015991611E-3</v>
          </cell>
        </row>
        <row r="331">
          <cell r="H331">
            <v>5.4692935163881837E-2</v>
          </cell>
        </row>
        <row r="332">
          <cell r="H332">
            <v>2.8473125059955827E-2</v>
          </cell>
        </row>
        <row r="333">
          <cell r="H333">
            <v>1.5632987083717413E-3</v>
          </cell>
        </row>
        <row r="334">
          <cell r="H334">
            <v>0.11665996982525974</v>
          </cell>
        </row>
        <row r="335">
          <cell r="H335">
            <v>1.1901808497482097E-2</v>
          </cell>
        </row>
        <row r="336">
          <cell r="H336">
            <v>2.1380678532788504E-2</v>
          </cell>
        </row>
        <row r="337">
          <cell r="H337">
            <v>0.11070854329867431</v>
          </cell>
        </row>
        <row r="338">
          <cell r="H338">
            <v>-1.3051679351083877E-2</v>
          </cell>
        </row>
        <row r="339">
          <cell r="H339">
            <v>-2.2088673057173169E-2</v>
          </cell>
        </row>
        <row r="340">
          <cell r="H340">
            <v>2.4652289354951611E-2</v>
          </cell>
        </row>
        <row r="341">
          <cell r="H341">
            <v>5.6886154354710554E-2</v>
          </cell>
        </row>
        <row r="342">
          <cell r="H342">
            <v>1.9973370565349378E-3</v>
          </cell>
        </row>
        <row r="343">
          <cell r="H343">
            <v>7.575298427871556E-2</v>
          </cell>
        </row>
        <row r="344">
          <cell r="H344">
            <v>5.8917835603148776E-2</v>
          </cell>
        </row>
        <row r="345">
          <cell r="H345">
            <v>2.2078760900675946E-2</v>
          </cell>
        </row>
        <row r="346">
          <cell r="H346">
            <v>-6.610115169977035E-2</v>
          </cell>
        </row>
        <row r="347">
          <cell r="H347">
            <v>3.8198651158084213E-2</v>
          </cell>
        </row>
        <row r="348">
          <cell r="H348">
            <v>-8.0090328580612755E-2</v>
          </cell>
        </row>
        <row r="349">
          <cell r="H349">
            <v>2.8158110448629099E-2</v>
          </cell>
        </row>
        <row r="350">
          <cell r="H350">
            <v>7.2775888513012421E-2</v>
          </cell>
        </row>
        <row r="351">
          <cell r="H351">
            <v>5.724977557347332E-2</v>
          </cell>
        </row>
        <row r="352">
          <cell r="H352">
            <v>0.10734291676284098</v>
          </cell>
        </row>
        <row r="353">
          <cell r="H353">
            <v>-5.2986366004727378E-2</v>
          </cell>
        </row>
        <row r="354">
          <cell r="H354">
            <v>8.7127002884548221E-2</v>
          </cell>
        </row>
        <row r="355">
          <cell r="H355">
            <v>1.7243703230210156E-2</v>
          </cell>
        </row>
        <row r="356">
          <cell r="H356">
            <v>1.1668179562830895E-2</v>
          </cell>
        </row>
        <row r="357">
          <cell r="H357">
            <v>1.1845242334978591E-2</v>
          </cell>
        </row>
        <row r="358">
          <cell r="H358">
            <v>3.1216227972706893E-2</v>
          </cell>
        </row>
        <row r="359">
          <cell r="H359">
            <v>5.5869438922328471E-2</v>
          </cell>
        </row>
        <row r="360">
          <cell r="H360">
            <v>4.5294245777068684E-2</v>
          </cell>
        </row>
        <row r="361">
          <cell r="H361">
            <v>7.9454057751331159E-2</v>
          </cell>
        </row>
        <row r="362">
          <cell r="H362">
            <v>-4.828748547176348E-2</v>
          </cell>
        </row>
        <row r="363">
          <cell r="H363">
            <v>-2.3882435853818565E-2</v>
          </cell>
        </row>
        <row r="364">
          <cell r="H364">
            <v>0.13632599054414538</v>
          </cell>
        </row>
        <row r="365">
          <cell r="H365">
            <v>2.2543664465403148E-2</v>
          </cell>
        </row>
        <row r="366">
          <cell r="H366">
            <v>0.1136519389705085</v>
          </cell>
        </row>
        <row r="367">
          <cell r="H367">
            <v>7.3708962040400739E-3</v>
          </cell>
        </row>
        <row r="368">
          <cell r="H368">
            <v>0.10009253411170928</v>
          </cell>
        </row>
        <row r="369">
          <cell r="H369">
            <v>-6.5142374175055251E-2</v>
          </cell>
        </row>
        <row r="370">
          <cell r="H370">
            <v>-3.736992108196887E-2</v>
          </cell>
        </row>
        <row r="371">
          <cell r="H371">
            <v>5.7292525330165475E-2</v>
          </cell>
        </row>
        <row r="372">
          <cell r="H372">
            <v>4.1726096599917911E-2</v>
          </cell>
        </row>
        <row r="373">
          <cell r="H373">
            <v>4.2891839331517814E-2</v>
          </cell>
        </row>
        <row r="374">
          <cell r="H374">
            <v>1.8107080436106783E-3</v>
          </cell>
        </row>
        <row r="375">
          <cell r="H375">
            <v>1.6925006138577548E-2</v>
          </cell>
        </row>
        <row r="376">
          <cell r="H376">
            <v>6.9601651698202011E-2</v>
          </cell>
        </row>
        <row r="377">
          <cell r="H377">
            <v>-9.9135890228456789E-3</v>
          </cell>
        </row>
        <row r="378">
          <cell r="H378">
            <v>8.7494021992764001E-2</v>
          </cell>
        </row>
        <row r="379">
          <cell r="H379">
            <v>5.1716683040342201E-2</v>
          </cell>
        </row>
        <row r="380">
          <cell r="H380">
            <v>5.9562532404551588E-2</v>
          </cell>
        </row>
        <row r="381">
          <cell r="H381">
            <v>-6.4331116433930469E-2</v>
          </cell>
        </row>
        <row r="382">
          <cell r="H382">
            <v>0.17629123963036469</v>
          </cell>
        </row>
        <row r="383">
          <cell r="H383">
            <v>-3.1061225211046358E-3</v>
          </cell>
        </row>
        <row r="384">
          <cell r="H384">
            <v>1.9193933822888386E-2</v>
          </cell>
        </row>
        <row r="385">
          <cell r="H385">
            <v>-7.5344928479282758E-2</v>
          </cell>
        </row>
        <row r="386">
          <cell r="H386">
            <v>-3.9198689744329704E-2</v>
          </cell>
        </row>
        <row r="387">
          <cell r="H387">
            <v>3.3995352126007732E-2</v>
          </cell>
        </row>
        <row r="388">
          <cell r="H388">
            <v>-9.986691258304152E-2</v>
          </cell>
        </row>
        <row r="389">
          <cell r="H389">
            <v>-2.0358850736505577E-2</v>
          </cell>
        </row>
        <row r="390">
          <cell r="H390">
            <v>-5.3120281094958852E-2</v>
          </cell>
        </row>
        <row r="391">
          <cell r="H391">
            <v>9.3096639894770683E-2</v>
          </cell>
        </row>
        <row r="392">
          <cell r="H392">
            <v>-6.8640153886183344E-2</v>
          </cell>
        </row>
        <row r="393">
          <cell r="H393">
            <v>-0.10737607322208534</v>
          </cell>
        </row>
        <row r="394">
          <cell r="H394">
            <v>-3.3060981050310428E-3</v>
          </cell>
        </row>
        <row r="395">
          <cell r="H395">
            <v>9.9125403669584097E-2</v>
          </cell>
        </row>
        <row r="396">
          <cell r="H396">
            <v>-5.7396484481583264E-2</v>
          </cell>
        </row>
        <row r="397">
          <cell r="H397">
            <v>3.3316627700364802E-2</v>
          </cell>
        </row>
        <row r="398">
          <cell r="H398">
            <v>6.4968732657492371E-3</v>
          </cell>
        </row>
        <row r="399">
          <cell r="H399">
            <v>0.15877673147527832</v>
          </cell>
        </row>
        <row r="400">
          <cell r="H400">
            <v>6.5764907924907232E-2</v>
          </cell>
        </row>
        <row r="401">
          <cell r="H401">
            <v>6.8769176516855379E-2</v>
          </cell>
        </row>
        <row r="402">
          <cell r="H402">
            <v>3.9265584865013026E-2</v>
          </cell>
        </row>
        <row r="403">
          <cell r="H403">
            <v>-1.3566659175586014E-2</v>
          </cell>
        </row>
      </sheetData>
      <sheetData sheetId="1">
        <row r="211">
          <cell r="H211">
            <v>-4.4897650430072503E-2</v>
          </cell>
        </row>
        <row r="212">
          <cell r="H212">
            <v>-5.0489540475909221E-2</v>
          </cell>
        </row>
        <row r="213">
          <cell r="H213">
            <v>5.5062746172078614E-3</v>
          </cell>
        </row>
        <row r="214">
          <cell r="H214">
            <v>3.57389984817564E-2</v>
          </cell>
        </row>
        <row r="215">
          <cell r="H215">
            <v>5.9500448756028466E-2</v>
          </cell>
        </row>
        <row r="216">
          <cell r="H216">
            <v>-7.7246028547352857E-3</v>
          </cell>
        </row>
        <row r="217">
          <cell r="H217">
            <v>7.234801170199992E-2</v>
          </cell>
        </row>
        <row r="218">
          <cell r="H218">
            <v>-2.2664379924411004E-2</v>
          </cell>
        </row>
        <row r="219">
          <cell r="H219">
            <v>6.2310817447207505E-2</v>
          </cell>
        </row>
        <row r="220">
          <cell r="H220">
            <v>0.10584472969794069</v>
          </cell>
        </row>
        <row r="221">
          <cell r="H221">
            <v>-4.1392337776678112E-3</v>
          </cell>
        </row>
        <row r="222">
          <cell r="H222">
            <v>-2.2565073540653607E-2</v>
          </cell>
        </row>
        <row r="223">
          <cell r="H223">
            <v>4.3060874628137652E-2</v>
          </cell>
        </row>
        <row r="224">
          <cell r="H224">
            <v>7.6766557720550129E-3</v>
          </cell>
        </row>
        <row r="225">
          <cell r="H225">
            <v>1.7970864502069014E-2</v>
          </cell>
        </row>
        <row r="226">
          <cell r="H226">
            <v>-6.8124860092726641E-2</v>
          </cell>
        </row>
        <row r="227">
          <cell r="H227">
            <v>1.2540949732584425E-3</v>
          </cell>
        </row>
        <row r="228">
          <cell r="H228">
            <v>3.2209842049385814E-3</v>
          </cell>
        </row>
        <row r="229">
          <cell r="H229">
            <v>-0.1558357971701004</v>
          </cell>
        </row>
        <row r="230">
          <cell r="H230">
            <v>4.4992079657638517E-2</v>
          </cell>
        </row>
        <row r="231">
          <cell r="H231">
            <v>5.8082796020153586E-2</v>
          </cell>
        </row>
        <row r="232">
          <cell r="H232">
            <v>-2.7172823225143014E-2</v>
          </cell>
        </row>
        <row r="233">
          <cell r="H233">
            <v>-1.3095022256831906E-2</v>
          </cell>
        </row>
        <row r="234">
          <cell r="H234">
            <v>-2.0884681072225755E-2</v>
          </cell>
        </row>
        <row r="235">
          <cell r="H235">
            <v>2.9727470160787112E-2</v>
          </cell>
        </row>
        <row r="236">
          <cell r="H236">
            <v>1.9847839307546435E-2</v>
          </cell>
        </row>
        <row r="237">
          <cell r="H237">
            <v>-2.9697420659269242E-2</v>
          </cell>
        </row>
        <row r="238">
          <cell r="H238">
            <v>1.2018571930791241E-2</v>
          </cell>
        </row>
        <row r="239">
          <cell r="H239">
            <v>9.8026949513064607E-2</v>
          </cell>
        </row>
        <row r="240">
          <cell r="H240">
            <v>-2.0164955773206698E-2</v>
          </cell>
        </row>
        <row r="241">
          <cell r="H241">
            <v>4.6670119282086154E-3</v>
          </cell>
        </row>
        <row r="242">
          <cell r="H242">
            <v>1.1977990679748021E-2</v>
          </cell>
        </row>
        <row r="243">
          <cell r="H243">
            <v>2.8296589644522387E-2</v>
          </cell>
        </row>
        <row r="244">
          <cell r="H244">
            <v>-2.9813732339674031E-2</v>
          </cell>
        </row>
        <row r="245">
          <cell r="H245">
            <v>-5.7419806351179034E-2</v>
          </cell>
        </row>
        <row r="246">
          <cell r="H246">
            <v>-4.3725043120761614E-2</v>
          </cell>
        </row>
        <row r="247">
          <cell r="H247">
            <v>6.4905387040458007E-2</v>
          </cell>
        </row>
        <row r="248">
          <cell r="H248">
            <v>-2.051195881224303E-2</v>
          </cell>
        </row>
        <row r="249">
          <cell r="H249">
            <v>7.3640903484312653E-2</v>
          </cell>
        </row>
        <row r="250">
          <cell r="H250">
            <v>1.2145225318131673E-2</v>
          </cell>
        </row>
        <row r="251">
          <cell r="H251">
            <v>-1.4771528433817577E-3</v>
          </cell>
        </row>
        <row r="252">
          <cell r="H252">
            <v>-2.9580807166554577E-3</v>
          </cell>
        </row>
        <row r="253">
          <cell r="H253">
            <v>4.5431153555223487E-2</v>
          </cell>
        </row>
        <row r="254">
          <cell r="H254">
            <v>-7.2944353646976073E-2</v>
          </cell>
        </row>
        <row r="255">
          <cell r="H255">
            <v>1.346692881343315E-3</v>
          </cell>
        </row>
        <row r="256">
          <cell r="H256">
            <v>6.3695594827763727E-2</v>
          </cell>
        </row>
        <row r="257">
          <cell r="H257">
            <v>4.3650338658357641E-3</v>
          </cell>
        </row>
        <row r="258">
          <cell r="H258">
            <v>-3.1300346875830415E-2</v>
          </cell>
        </row>
        <row r="259">
          <cell r="H259">
            <v>-8.0919320216669179E-3</v>
          </cell>
        </row>
        <row r="260">
          <cell r="H260">
            <v>9.1068761200554585E-3</v>
          </cell>
        </row>
        <row r="261">
          <cell r="H261">
            <v>-1.7193955407449113E-2</v>
          </cell>
        </row>
        <row r="262">
          <cell r="H262">
            <v>9.2870903248863032E-2</v>
          </cell>
        </row>
        <row r="263">
          <cell r="H263">
            <v>3.8434091176027141E-2</v>
          </cell>
        </row>
        <row r="264">
          <cell r="H264">
            <v>1.4601022887767894E-2</v>
          </cell>
        </row>
        <row r="265">
          <cell r="H265">
            <v>3.3189885658359293E-2</v>
          </cell>
        </row>
        <row r="266">
          <cell r="H266">
            <v>-3.7157691520954848E-2</v>
          </cell>
        </row>
        <row r="267">
          <cell r="H267">
            <v>3.5883255147824027E-2</v>
          </cell>
        </row>
        <row r="268">
          <cell r="H268">
            <v>-3.0975222114489782E-2</v>
          </cell>
        </row>
        <row r="269">
          <cell r="H269">
            <v>0.11729766769530235</v>
          </cell>
        </row>
        <row r="270">
          <cell r="H270">
            <v>6.6440082700925884E-2</v>
          </cell>
        </row>
        <row r="271">
          <cell r="H271">
            <v>6.755605766109414E-2</v>
          </cell>
        </row>
        <row r="272">
          <cell r="H272">
            <v>-2.4587391480230564E-2</v>
          </cell>
        </row>
        <row r="273">
          <cell r="H273">
            <v>2.2026809574617588E-2</v>
          </cell>
        </row>
        <row r="274">
          <cell r="H274">
            <v>1.6531138439354803E-2</v>
          </cell>
        </row>
        <row r="275">
          <cell r="H275">
            <v>-3.9989214013728409E-2</v>
          </cell>
        </row>
        <row r="276">
          <cell r="H276">
            <v>-5.2624295374913914E-2</v>
          </cell>
        </row>
        <row r="277">
          <cell r="H277">
            <v>3.0898470909494033E-2</v>
          </cell>
        </row>
        <row r="278">
          <cell r="H278">
            <v>1.1865050974497259E-2</v>
          </cell>
        </row>
        <row r="279">
          <cell r="H279">
            <v>5.7219695504772371E-2</v>
          </cell>
        </row>
        <row r="280">
          <cell r="H280">
            <v>4.5321138357027377E-2</v>
          </cell>
        </row>
        <row r="281">
          <cell r="H281">
            <v>-3.7055897014969905E-2</v>
          </cell>
        </row>
        <row r="282">
          <cell r="H282">
            <v>1.2934782228203874E-3</v>
          </cell>
        </row>
        <row r="283">
          <cell r="H283">
            <v>4.6315152372854274E-2</v>
          </cell>
        </row>
        <row r="284">
          <cell r="H284">
            <v>-6.3639095491091965E-2</v>
          </cell>
        </row>
        <row r="285">
          <cell r="H285">
            <v>1.9582293918555736E-2</v>
          </cell>
        </row>
        <row r="286">
          <cell r="H286">
            <v>3.7723175912695771E-2</v>
          </cell>
        </row>
        <row r="287">
          <cell r="H287">
            <v>5.5504626338120221E-2</v>
          </cell>
        </row>
        <row r="288">
          <cell r="H288">
            <v>-2.8638194854249448E-2</v>
          </cell>
        </row>
        <row r="289">
          <cell r="H289">
            <v>-4.5435092072693806E-2</v>
          </cell>
        </row>
        <row r="290">
          <cell r="H290">
            <v>2.6784397183229436E-4</v>
          </cell>
        </row>
        <row r="291">
          <cell r="H291">
            <v>2.3159376330983514E-2</v>
          </cell>
        </row>
        <row r="292">
          <cell r="H292">
            <v>4.9643699172554248E-2</v>
          </cell>
        </row>
        <row r="293">
          <cell r="H293">
            <v>-3.6883554245326348E-2</v>
          </cell>
        </row>
        <row r="294">
          <cell r="H294">
            <v>-1.6090257861968379E-2</v>
          </cell>
        </row>
        <row r="295">
          <cell r="H295">
            <v>-1.9848118257585715E-2</v>
          </cell>
        </row>
        <row r="296">
          <cell r="H296">
            <v>2.6094182184306033E-2</v>
          </cell>
        </row>
        <row r="297">
          <cell r="H297">
            <v>1.9520076856159967E-2</v>
          </cell>
        </row>
        <row r="298">
          <cell r="H298">
            <v>-2.6150604537103065E-3</v>
          </cell>
        </row>
        <row r="299">
          <cell r="H299">
            <v>0.1477645514909339</v>
          </cell>
        </row>
        <row r="300">
          <cell r="H300">
            <v>-1.8962824483908951E-2</v>
          </cell>
        </row>
        <row r="301">
          <cell r="H301">
            <v>-4.9518651268714827E-3</v>
          </cell>
        </row>
        <row r="302">
          <cell r="H302">
            <v>-1.2356006709164539E-2</v>
          </cell>
        </row>
        <row r="303">
          <cell r="H303">
            <v>-2.0016620919374475E-2</v>
          </cell>
        </row>
        <row r="304">
          <cell r="H304">
            <v>-4.5364083818415731E-2</v>
          </cell>
        </row>
        <row r="305">
          <cell r="H305">
            <v>-4.8430628852957416E-2</v>
          </cell>
        </row>
        <row r="306">
          <cell r="H306">
            <v>-3.8943534646902575E-2</v>
          </cell>
        </row>
        <row r="307">
          <cell r="H307">
            <v>1.4803157891817333E-2</v>
          </cell>
        </row>
        <row r="308">
          <cell r="H308">
            <v>-0.100722261684296</v>
          </cell>
        </row>
        <row r="309">
          <cell r="H309">
            <v>8.5391194139476361E-3</v>
          </cell>
        </row>
        <row r="310">
          <cell r="H310">
            <v>-0.11721149919531641</v>
          </cell>
        </row>
        <row r="311">
          <cell r="H311">
            <v>2.7952406241317368E-2</v>
          </cell>
        </row>
        <row r="312">
          <cell r="H312">
            <v>4.1808504210920173E-2</v>
          </cell>
        </row>
        <row r="313">
          <cell r="H313">
            <v>9.1612429173541579E-2</v>
          </cell>
        </row>
        <row r="314">
          <cell r="H314">
            <v>-3.0162416934782261E-4</v>
          </cell>
        </row>
        <row r="315">
          <cell r="H315">
            <v>3.240864229517091E-2</v>
          </cell>
        </row>
        <row r="316">
          <cell r="H316">
            <v>-1.642491899163839E-2</v>
          </cell>
        </row>
        <row r="317">
          <cell r="H317">
            <v>5.8471717591864626E-2</v>
          </cell>
        </row>
        <row r="318">
          <cell r="H318">
            <v>3.9200675866168475E-2</v>
          </cell>
        </row>
        <row r="319">
          <cell r="H319">
            <v>-6.8417917050198963E-4</v>
          </cell>
        </row>
        <row r="320">
          <cell r="H320">
            <v>-2.0968089792142243E-2</v>
          </cell>
        </row>
        <row r="321">
          <cell r="H321">
            <v>1.6429251971677453E-2</v>
          </cell>
        </row>
        <row r="322">
          <cell r="H322">
            <v>-2.9118106527253513E-2</v>
          </cell>
        </row>
        <row r="323">
          <cell r="H323">
            <v>5.8556092959932008E-3</v>
          </cell>
        </row>
        <row r="324">
          <cell r="H324">
            <v>-1.8599899128673162E-2</v>
          </cell>
        </row>
        <row r="325">
          <cell r="H325">
            <v>-2.7522668649892921E-2</v>
          </cell>
        </row>
        <row r="326">
          <cell r="H326">
            <v>6.2781155318466828E-2</v>
          </cell>
        </row>
        <row r="327">
          <cell r="H327">
            <v>1.6213245419193958E-2</v>
          </cell>
        </row>
        <row r="328">
          <cell r="H328">
            <v>5.0677242523609924E-2</v>
          </cell>
        </row>
        <row r="329">
          <cell r="H329">
            <v>4.5490276186592397E-2</v>
          </cell>
        </row>
        <row r="330">
          <cell r="H330">
            <v>-3.0706694061092565E-2</v>
          </cell>
        </row>
        <row r="331">
          <cell r="H331">
            <v>5.6950657222310783E-2</v>
          </cell>
        </row>
        <row r="332">
          <cell r="H332">
            <v>-2.4003240088999369E-2</v>
          </cell>
        </row>
        <row r="333">
          <cell r="H333">
            <v>7.1924263755887285E-3</v>
          </cell>
        </row>
        <row r="334">
          <cell r="H334">
            <v>0.11735331140200744</v>
          </cell>
        </row>
        <row r="335">
          <cell r="H335">
            <v>0.11361843003976918</v>
          </cell>
        </row>
        <row r="336">
          <cell r="H336">
            <v>1.5632877509265144E-2</v>
          </cell>
        </row>
        <row r="337">
          <cell r="H337">
            <v>8.5183017490592511E-2</v>
          </cell>
        </row>
        <row r="338">
          <cell r="H338">
            <v>-0.15562855342105952</v>
          </cell>
        </row>
        <row r="339">
          <cell r="H339">
            <v>-1.1554514055254709E-2</v>
          </cell>
        </row>
        <row r="340">
          <cell r="H340">
            <v>1.9565931901402675E-4</v>
          </cell>
        </row>
        <row r="341">
          <cell r="H341">
            <v>-6.6923086751057334E-2</v>
          </cell>
        </row>
        <row r="342">
          <cell r="H342">
            <v>4.4216331645960609E-2</v>
          </cell>
        </row>
        <row r="343">
          <cell r="H343">
            <v>4.1797999641947914E-2</v>
          </cell>
        </row>
        <row r="344">
          <cell r="H344">
            <v>7.4302403563800482E-2</v>
          </cell>
        </row>
        <row r="345">
          <cell r="H345">
            <v>-1.4652213488500531E-2</v>
          </cell>
        </row>
        <row r="346">
          <cell r="H346">
            <v>6.7830714751411697E-2</v>
          </cell>
        </row>
        <row r="347">
          <cell r="H347">
            <v>-2.6226502648857265E-2</v>
          </cell>
        </row>
        <row r="348">
          <cell r="H348">
            <v>-4.6082835305344336E-2</v>
          </cell>
        </row>
        <row r="349">
          <cell r="H349">
            <v>3.4384431735491668E-2</v>
          </cell>
        </row>
        <row r="350">
          <cell r="H350">
            <v>3.2975315456350844E-2</v>
          </cell>
        </row>
        <row r="351">
          <cell r="H351">
            <v>-1.474901435957404E-2</v>
          </cell>
        </row>
        <row r="352">
          <cell r="H352">
            <v>6.0118433527751418E-2</v>
          </cell>
        </row>
        <row r="353">
          <cell r="H353">
            <v>-1.3613222406007972E-2</v>
          </cell>
        </row>
        <row r="354">
          <cell r="H354">
            <v>9.5001250003689211E-2</v>
          </cell>
        </row>
        <row r="355">
          <cell r="H355">
            <v>-9.9555547355837195E-4</v>
          </cell>
        </row>
        <row r="356">
          <cell r="H356">
            <v>3.5151467665707127E-2</v>
          </cell>
        </row>
        <row r="357">
          <cell r="H357">
            <v>4.3796437151249187E-2</v>
          </cell>
        </row>
        <row r="358">
          <cell r="H358">
            <v>-1.1964872685494524E-2</v>
          </cell>
        </row>
        <row r="359">
          <cell r="H359">
            <v>1.5606286890072815E-2</v>
          </cell>
        </row>
        <row r="360">
          <cell r="H360">
            <v>-2.09939736655213E-3</v>
          </cell>
        </row>
        <row r="361">
          <cell r="H361">
            <v>-3.2282367057350714E-2</v>
          </cell>
        </row>
        <row r="362">
          <cell r="H362">
            <v>-5.9481338520106841E-2</v>
          </cell>
        </row>
        <row r="363">
          <cell r="H363">
            <v>5.516347680202674E-2</v>
          </cell>
        </row>
        <row r="364">
          <cell r="H364">
            <v>7.4527737355361084E-2</v>
          </cell>
        </row>
        <row r="365">
          <cell r="H365">
            <v>2.0649760692685749E-2</v>
          </cell>
        </row>
        <row r="366">
          <cell r="H366">
            <v>-3.0252333074639381E-2</v>
          </cell>
        </row>
        <row r="367">
          <cell r="H367">
            <v>8.0313742926376427E-2</v>
          </cell>
        </row>
        <row r="368">
          <cell r="H368">
            <v>7.302968923554029E-2</v>
          </cell>
        </row>
        <row r="369">
          <cell r="H369">
            <v>1.1776698847820601E-2</v>
          </cell>
        </row>
        <row r="370">
          <cell r="H370">
            <v>-8.2912173691772617E-3</v>
          </cell>
        </row>
        <row r="371">
          <cell r="H371">
            <v>0.10118922384457298</v>
          </cell>
        </row>
        <row r="372">
          <cell r="H372">
            <v>-5.6548090253072135E-2</v>
          </cell>
        </row>
        <row r="373">
          <cell r="H373">
            <v>-2.182789322026699E-2</v>
          </cell>
        </row>
        <row r="374">
          <cell r="H374">
            <v>-7.5236649379038151E-2</v>
          </cell>
        </row>
        <row r="375">
          <cell r="H375">
            <v>4.5489675220181672E-2</v>
          </cell>
        </row>
        <row r="376">
          <cell r="H376">
            <v>3.4338143318377569E-2</v>
          </cell>
        </row>
        <row r="377">
          <cell r="H377">
            <v>1.51525029268888E-2</v>
          </cell>
        </row>
        <row r="378">
          <cell r="H378">
            <v>-3.2120029481152016E-3</v>
          </cell>
        </row>
        <row r="379">
          <cell r="H379">
            <v>1.0849619142212814E-2</v>
          </cell>
        </row>
        <row r="380">
          <cell r="H380">
            <v>3.8933884118587114E-2</v>
          </cell>
        </row>
        <row r="381">
          <cell r="H381">
            <v>-5.5416068565819279E-2</v>
          </cell>
        </row>
        <row r="382">
          <cell r="H382">
            <v>7.2033357703531684E-2</v>
          </cell>
        </row>
        <row r="383">
          <cell r="H383">
            <v>-5.8827622541806054E-2</v>
          </cell>
        </row>
        <row r="384">
          <cell r="H384">
            <v>2.887030326821775E-2</v>
          </cell>
        </row>
        <row r="385">
          <cell r="H385">
            <v>-2.9837016756720815E-2</v>
          </cell>
        </row>
        <row r="386">
          <cell r="H386">
            <v>-3.3259232746225956E-2</v>
          </cell>
        </row>
        <row r="387">
          <cell r="H387">
            <v>0.10180524482461495</v>
          </cell>
        </row>
        <row r="388">
          <cell r="H388">
            <v>3.1303463777087259E-2</v>
          </cell>
        </row>
        <row r="389">
          <cell r="H389">
            <v>-0.1592260056298519</v>
          </cell>
        </row>
        <row r="390">
          <cell r="H390">
            <v>-5.1372687020762815E-2</v>
          </cell>
        </row>
        <row r="391">
          <cell r="H391">
            <v>8.611603056476054E-2</v>
          </cell>
        </row>
        <row r="392">
          <cell r="H392">
            <v>3.7864370153202374E-3</v>
          </cell>
        </row>
        <row r="393">
          <cell r="H393">
            <v>-1.7239626339078509E-2</v>
          </cell>
        </row>
        <row r="394">
          <cell r="H394">
            <v>9.7378511280736726E-2</v>
          </cell>
        </row>
        <row r="395">
          <cell r="H395">
            <v>7.0891529897187708E-2</v>
          </cell>
        </row>
        <row r="396">
          <cell r="H396">
            <v>-6.9741467216261066E-2</v>
          </cell>
        </row>
        <row r="397">
          <cell r="H397">
            <v>1.8494647267187674E-2</v>
          </cell>
        </row>
        <row r="398">
          <cell r="H398">
            <v>-1.209409803962265E-2</v>
          </cell>
        </row>
        <row r="399">
          <cell r="H399">
            <v>3.7430465673683744E-2</v>
          </cell>
        </row>
        <row r="400">
          <cell r="H400">
            <v>2.8069028813568254E-2</v>
          </cell>
        </row>
        <row r="401">
          <cell r="H401">
            <v>-2.7157757462424058E-2</v>
          </cell>
        </row>
        <row r="402">
          <cell r="H402">
            <v>7.4263373810927819E-2</v>
          </cell>
        </row>
        <row r="403">
          <cell r="H403">
            <v>1.705054432208836E-2</v>
          </cell>
        </row>
      </sheetData>
      <sheetData sheetId="2" refreshError="1"/>
      <sheetData sheetId="3">
        <row r="2">
          <cell r="A2" t="str">
            <v xml:space="preserve">Arithmetic Average </v>
          </cell>
        </row>
        <row r="3">
          <cell r="A3" t="str">
            <v>Geometic Mean</v>
          </cell>
        </row>
        <row r="4">
          <cell r="A4" t="str">
            <v>Standard_dev</v>
          </cell>
        </row>
        <row r="5">
          <cell r="A5" t="str">
            <v>Covariance</v>
          </cell>
        </row>
        <row r="6">
          <cell r="A6" t="str">
            <v>Correlation</v>
          </cell>
        </row>
      </sheetData>
      <sheetData sheetId="4">
        <row r="12">
          <cell r="F12">
            <v>6.8050274298009111E-2</v>
          </cell>
          <cell r="G12">
            <v>1.6643685036992945E-2</v>
          </cell>
        </row>
        <row r="13">
          <cell r="F13">
            <v>6.2719176868255927E-2</v>
          </cell>
          <cell r="G13">
            <v>1.5915407283866034E-2</v>
          </cell>
        </row>
        <row r="14">
          <cell r="F14">
            <v>5.7840606642144972E-2</v>
          </cell>
          <cell r="G14">
            <v>1.5187129530739123E-2</v>
          </cell>
        </row>
        <row r="15">
          <cell r="F15">
            <v>5.3538413509681075E-2</v>
          </cell>
          <cell r="G15">
            <v>1.4458851777612212E-2</v>
          </cell>
        </row>
        <row r="16">
          <cell r="F16">
            <v>4.9961715145082269E-2</v>
          </cell>
          <cell r="G16">
            <v>1.3730574024485302E-2</v>
          </cell>
        </row>
        <row r="17">
          <cell r="F17">
            <v>4.727546460951567E-2</v>
          </cell>
          <cell r="G17">
            <v>1.3002296271358391E-2</v>
          </cell>
        </row>
        <row r="18">
          <cell r="F18">
            <v>4.5637171719501608E-2</v>
          </cell>
          <cell r="G18">
            <v>1.227401851823148E-2</v>
          </cell>
        </row>
        <row r="19">
          <cell r="F19">
            <v>4.5161030167252272E-2</v>
          </cell>
          <cell r="G19">
            <v>1.1545740765104569E-2</v>
          </cell>
        </row>
        <row r="20">
          <cell r="F20">
            <v>4.5883234015075124E-2</v>
          </cell>
          <cell r="G20">
            <v>1.0817463011977658E-2</v>
          </cell>
        </row>
        <row r="21">
          <cell r="F21">
            <v>4.7749439748538486E-2</v>
          </cell>
          <cell r="G21">
            <v>1.0089185258850749E-2</v>
          </cell>
        </row>
        <row r="22">
          <cell r="F22">
            <v>5.0633310612865821E-2</v>
          </cell>
          <cell r="G22">
            <v>9.360907505723836E-3</v>
          </cell>
        </row>
      </sheetData>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ha Chennuru" refreshedDate="45557.582585763892" createdVersion="8" refreshedVersion="8" minRefreshableVersion="3" recordCount="193" xr:uid="{EDBAF0E8-C1E6-4CCB-B9E5-84BC45D99C7B}">
  <cacheSource type="worksheet">
    <worksheetSource ref="H210:H403" sheet="Task 1 "/>
  </cacheSource>
  <cacheFields count="1">
    <cacheField name="MONTHLY_RETURNS" numFmtId="0">
      <sharedItems containsSemiMixedTypes="0" containsString="0" containsNumber="1" minValue="-0.1656438707470137" maxValue="0.24949085099666371" count="193">
        <n v="-1.6288074716252609E-2"/>
        <n v="-8.9685965959023593E-3"/>
        <n v="2.9003038724095161E-2"/>
        <n v="0.24949085099666371"/>
        <n v="-8.7204244325922178E-2"/>
        <n v="6.3026923400314072E-2"/>
        <n v="-8.426993509035513E-2"/>
        <n v="-0.1656438707470137"/>
        <n v="4.7436139431946821E-2"/>
        <n v="4.9332565228272611E-3"/>
        <n v="-7.0127825376948569E-3"/>
        <n v="-2.5025389470366637E-2"/>
        <n v="-6.5067056050394187E-2"/>
        <n v="6.1041522272994732E-2"/>
        <n v="-1.8085445491023203E-2"/>
        <n v="-0.16335661445465485"/>
        <n v="-9.4492176430528846E-2"/>
        <n v="-3.2061898211644679E-2"/>
        <n v="-0.12037096229094213"/>
        <n v="-5.5555516100922769E-2"/>
        <n v="0.14525998559581038"/>
        <n v="0.10288554603566168"/>
        <n v="3.1095602186695725E-2"/>
        <n v="0.14509124023789285"/>
        <n v="-1.0517311767336203E-2"/>
        <n v="4.8044271851608651E-2"/>
        <n v="4.9274762569390951E-2"/>
        <n v="7.8149324578004151E-2"/>
        <n v="6.0584061307936844E-2"/>
        <n v="4.0962918309116358E-2"/>
        <n v="-7.5458976905394326E-2"/>
        <n v="1.738790646701667E-2"/>
        <n v="2.6402923922392699E-2"/>
        <n v="4.2676589605851405E-2"/>
        <n v="-0.15520606270271725"/>
        <n v="-0.10411507678050116"/>
        <n v="0.12168592716825076"/>
        <n v="-9.0662678807063898E-2"/>
        <n v="4.9026071778588677E-2"/>
        <n v="8.9015800307075038E-2"/>
        <n v="-5.2868258926563799E-2"/>
        <n v="0.11169807675054301"/>
        <n v="-6.4495018773911682E-3"/>
        <n v="-4.1471510875745035E-2"/>
        <n v="-3.9124265084100558E-2"/>
        <n v="2.0874274003430338E-2"/>
        <n v="-3.5107950331905051E-2"/>
        <n v="4.6398356802510497E-2"/>
        <n v="5.3846183659993684E-2"/>
        <n v="-2.9197268546808673E-2"/>
        <n v="-5.8379877605731101E-2"/>
        <n v="6.9907836445913404E-2"/>
        <n v="-3.9429131554181734E-2"/>
        <n v="2.2497344427241748E-2"/>
        <n v="0.13751898849507407"/>
        <n v="7.4839296517523066E-2"/>
        <n v="2.3074539012818598E-2"/>
        <n v="-7.4395556204213103E-3"/>
        <n v="-8.8382595596437061E-2"/>
        <n v="5.4838304695632833E-2"/>
        <n v="-3.6613670806493803E-2"/>
        <n v="4.580962024736162E-2"/>
        <n v="-2.7996518484982601E-2"/>
        <n v="-4.0994474318278247E-2"/>
        <n v="-6.7274115014633082E-2"/>
        <n v="1.1625836786938308E-2"/>
        <n v="2.7704774229011974E-2"/>
        <n v="1.2750736932600617E-2"/>
        <n v="3.765758768426708E-2"/>
        <n v="0.1569376668502615"/>
        <n v="5.4381054293179472E-2"/>
        <n v="-3.3754604398059801E-3"/>
        <n v="-7.8170445052940712E-2"/>
        <n v="4.899500924930051E-2"/>
        <n v="3.4287864950304425E-3"/>
        <n v="6.4002127659880392E-2"/>
        <n v="7.6814929474879903E-2"/>
        <n v="-1.1442305027901787E-2"/>
        <n v="1.1494210547317465E-2"/>
        <n v="1.2420920290414585E-2"/>
        <n v="7.7978826066727555E-2"/>
        <n v="-1.4393844127086773E-2"/>
        <n v="1.3365832039477938E-2"/>
        <n v="2.574998802267222E-2"/>
        <n v="3.5011914116861553E-2"/>
        <n v="5.259510623758995E-2"/>
        <n v="2.6844316342042041E-2"/>
        <n v="1.2727136598504111E-2"/>
        <n v="1.8316679449140963E-2"/>
        <n v="-2.2317941590191528E-2"/>
        <n v="-0.13024755406648161"/>
        <n v="8.5395979441277386E-2"/>
        <n v="-6.6149334377779451E-2"/>
        <n v="0.19626199670777267"/>
        <n v="-3.6595272483650729E-2"/>
        <n v="-5.1708863080141103E-2"/>
        <n v="5.7757548041018687E-2"/>
        <n v="-6.8094013060603684E-2"/>
        <n v="2.3709823507350736E-2"/>
        <n v="0.18933595030986722"/>
        <n v="3.2484987842015228E-2"/>
        <n v="2.7671406629333151E-2"/>
        <n v="-7.0294253045802583E-3"/>
        <n v="-7.6420333403844687E-2"/>
        <n v="9.3288881442052635E-2"/>
        <n v="-9.7048836059482113E-2"/>
        <n v="6.2763167881964899E-2"/>
        <n v="-2.7775207141193321E-2"/>
        <n v="0.10768008536018053"/>
        <n v="1.3761524279737005E-2"/>
        <n v="8.6842441952721585E-3"/>
        <n v="4.0277876070992223E-2"/>
        <n v="5.6740627146553918E-3"/>
        <n v="3.8164604532951063E-2"/>
        <n v="4.0392770965760195E-2"/>
        <n v="-1.0363441894447805E-2"/>
        <n v="3.5624522838015392E-2"/>
        <n v="3.9478009923785133E-2"/>
        <n v="2.0157719561401773E-2"/>
        <n v="-7.3725791015991611E-3"/>
        <n v="5.4692935163881837E-2"/>
        <n v="2.8473125059955827E-2"/>
        <n v="1.5632987083717413E-3"/>
        <n v="0.11665996982525974"/>
        <n v="1.1901808497482097E-2"/>
        <n v="2.1380678532788504E-2"/>
        <n v="0.11070854329867431"/>
        <n v="-1.3051679351083877E-2"/>
        <n v="-2.2088673057173169E-2"/>
        <n v="2.4652289354951611E-2"/>
        <n v="5.6886154354710554E-2"/>
        <n v="1.9973370565349378E-3"/>
        <n v="7.575298427871556E-2"/>
        <n v="5.8917835603148776E-2"/>
        <n v="2.2078760900675946E-2"/>
        <n v="-6.610115169977035E-2"/>
        <n v="3.8198651158084213E-2"/>
        <n v="-8.0090328580612755E-2"/>
        <n v="2.8158110448629099E-2"/>
        <n v="7.2775888513012421E-2"/>
        <n v="5.724977557347332E-2"/>
        <n v="0.10734291676284098"/>
        <n v="-5.2986366004727378E-2"/>
        <n v="8.7127002884548221E-2"/>
        <n v="1.7243703230210156E-2"/>
        <n v="1.1668179562830895E-2"/>
        <n v="1.1845242334978591E-2"/>
        <n v="3.1216227972706893E-2"/>
        <n v="5.5869438922328471E-2"/>
        <n v="4.5294245777068684E-2"/>
        <n v="7.9454057751331159E-2"/>
        <n v="-4.828748547176348E-2"/>
        <n v="-2.3882435853818565E-2"/>
        <n v="0.13632599054414538"/>
        <n v="2.2543664465403148E-2"/>
        <n v="0.1136519389705085"/>
        <n v="7.3708962040400739E-3"/>
        <n v="0.10009253411170928"/>
        <n v="-6.5142374175055251E-2"/>
        <n v="-3.736992108196887E-2"/>
        <n v="5.7292525330165475E-2"/>
        <n v="4.1726096599917911E-2"/>
        <n v="4.2891839331517814E-2"/>
        <n v="1.8107080436106783E-3"/>
        <n v="1.6925006138577548E-2"/>
        <n v="6.9601651698202011E-2"/>
        <n v="-9.9135890228456789E-3"/>
        <n v="8.7494021992764001E-2"/>
        <n v="5.1716683040342201E-2"/>
        <n v="5.9562532404551588E-2"/>
        <n v="-6.4331116433930469E-2"/>
        <n v="0.17629123963036469"/>
        <n v="-3.1061225211046358E-3"/>
        <n v="1.9193933822888386E-2"/>
        <n v="-7.5344928479282758E-2"/>
        <n v="-3.9198689744329704E-2"/>
        <n v="3.3995352126007732E-2"/>
        <n v="-9.986691258304152E-2"/>
        <n v="-2.0358850736505577E-2"/>
        <n v="-5.3120281094958852E-2"/>
        <n v="9.3096639894770683E-2"/>
        <n v="-6.8640153886183344E-2"/>
        <n v="-0.10737607322208534"/>
        <n v="-3.3060981050310428E-3"/>
        <n v="9.9125403669584097E-2"/>
        <n v="-5.7396484481583264E-2"/>
        <n v="3.3316627700364802E-2"/>
        <n v="6.4968732657492371E-3"/>
        <n v="0.15877673147527832"/>
        <n v="6.5764907924907232E-2"/>
        <n v="6.8769176516855379E-2"/>
        <n v="3.9265584865013026E-2"/>
        <n v="-1.3566659175586014E-2"/>
      </sharedItems>
      <fieldGroup base="0">
        <rangePr autoStart="0" autoEnd="0" startNum="-0.15" endNum="0.25" groupInterval="0.02"/>
        <groupItems count="22">
          <s v="&lt;-0.15"/>
          <s v="-0.15--0.13"/>
          <s v="-0.13--0.11"/>
          <s v="-0.11--0.09"/>
          <s v="-0.09--0.07"/>
          <s v="-0.07--0.05"/>
          <s v="-0.05--0.03"/>
          <s v="-0.03--0.01"/>
          <s v="-0.00999999999999998-0.01"/>
          <s v="0.01-0.03"/>
          <s v="0.03-0.05"/>
          <s v="0.05-0.07"/>
          <s v="0.07-0.09"/>
          <s v="0.09-0.11"/>
          <s v="0.11-0.13"/>
          <s v="0.13-0.15"/>
          <s v="0.15-0.17"/>
          <s v="0.17-0.19"/>
          <s v="0.19-0.21"/>
          <s v="0.21-0.23"/>
          <s v="0.23-0.25"/>
          <s v="&gt;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ha Chennuru" refreshedDate="45557.583450231483" createdVersion="8" refreshedVersion="8" minRefreshableVersion="3" recordCount="193" xr:uid="{4568146F-BB3A-4F3E-884B-F87B338C3B93}">
  <cacheSource type="worksheet">
    <worksheetSource ref="P210:P403" sheet="Task 1 "/>
  </cacheSource>
  <cacheFields count="1">
    <cacheField name="Monthly Returns" numFmtId="0">
      <sharedItems containsSemiMixedTypes="0" containsString="0" containsNumber="1" minValue="-0.1592260056298519" maxValue="0.1477645514909339" count="193">
        <n v="-4.4897650430072503E-2"/>
        <n v="-5.0489540475909221E-2"/>
        <n v="5.5062746172078614E-3"/>
        <n v="3.57389984817564E-2"/>
        <n v="5.9500448756028466E-2"/>
        <n v="-7.7246028547352857E-3"/>
        <n v="7.234801170199992E-2"/>
        <n v="-2.2664379924411004E-2"/>
        <n v="6.2310817447207505E-2"/>
        <n v="0.10584472969794069"/>
        <n v="-4.1392337776678112E-3"/>
        <n v="-2.2565073540653607E-2"/>
        <n v="4.3060874628137652E-2"/>
        <n v="7.6766557720550129E-3"/>
        <n v="1.7970864502069014E-2"/>
        <n v="-6.8124860092726641E-2"/>
        <n v="1.2540949732584425E-3"/>
        <n v="3.2209842049385814E-3"/>
        <n v="-0.1558357971701004"/>
        <n v="4.4992079657638517E-2"/>
        <n v="5.8082796020153586E-2"/>
        <n v="-2.7172823225143014E-2"/>
        <n v="-1.3095022256831906E-2"/>
        <n v="-2.0884681072225755E-2"/>
        <n v="2.9727470160787112E-2"/>
        <n v="1.9847839307546435E-2"/>
        <n v="-2.9697420659269242E-2"/>
        <n v="1.2018571930791241E-2"/>
        <n v="9.8026949513064607E-2"/>
        <n v="-2.0164955773206698E-2"/>
        <n v="4.6670119282086154E-3"/>
        <n v="1.1977990679748021E-2"/>
        <n v="2.8296589644522387E-2"/>
        <n v="-2.9813732339674031E-2"/>
        <n v="-5.7419806351179034E-2"/>
        <n v="-4.3725043120761614E-2"/>
        <n v="6.4905387040458007E-2"/>
        <n v="-2.051195881224303E-2"/>
        <n v="7.3640903484312653E-2"/>
        <n v="1.2145225318131673E-2"/>
        <n v="-1.4771528433817577E-3"/>
        <n v="-2.9580807166554577E-3"/>
        <n v="4.5431153555223487E-2"/>
        <n v="-7.2944353646976073E-2"/>
        <n v="1.346692881343315E-3"/>
        <n v="6.3695594827763727E-2"/>
        <n v="4.3650338658357641E-3"/>
        <n v="-3.1300346875830415E-2"/>
        <n v="-8.0919320216669179E-3"/>
        <n v="9.1068761200554585E-3"/>
        <n v="-1.7193955407449113E-2"/>
        <n v="9.2870903248863032E-2"/>
        <n v="3.8434091176027141E-2"/>
        <n v="1.4601022887767894E-2"/>
        <n v="3.3189885658359293E-2"/>
        <n v="-3.7157691520954848E-2"/>
        <n v="3.5883255147824027E-2"/>
        <n v="-3.0975222114489782E-2"/>
        <n v="0.11729766769530235"/>
        <n v="6.6440082700925884E-2"/>
        <n v="6.755605766109414E-2"/>
        <n v="-2.4587391480230564E-2"/>
        <n v="2.2026809574617588E-2"/>
        <n v="1.6531138439354803E-2"/>
        <n v="-3.9989214013728409E-2"/>
        <n v="-5.2624295374913914E-2"/>
        <n v="3.0898470909494033E-2"/>
        <n v="1.1865050974497259E-2"/>
        <n v="5.7219695504772371E-2"/>
        <n v="4.5321138357027377E-2"/>
        <n v="-3.7055897014969905E-2"/>
        <n v="1.2934782228203874E-3"/>
        <n v="4.6315152372854274E-2"/>
        <n v="-6.3639095491091965E-2"/>
        <n v="1.9582293918555736E-2"/>
        <n v="3.7723175912695771E-2"/>
        <n v="5.5504626338120221E-2"/>
        <n v="-2.8638194854249448E-2"/>
        <n v="-4.5435092072693806E-2"/>
        <n v="2.6784397183229436E-4"/>
        <n v="2.3159376330983514E-2"/>
        <n v="4.9643699172554248E-2"/>
        <n v="-3.6883554245326348E-2"/>
        <n v="-1.6090257861968379E-2"/>
        <n v="-1.9848118257585715E-2"/>
        <n v="2.6094182184306033E-2"/>
        <n v="1.9520076856159967E-2"/>
        <n v="-2.6150604537103065E-3"/>
        <n v="0.1477645514909339"/>
        <n v="-1.8962824483908951E-2"/>
        <n v="-4.9518651268714827E-3"/>
        <n v="-1.2356006709164539E-2"/>
        <n v="-2.0016620919374475E-2"/>
        <n v="-4.5364083818415731E-2"/>
        <n v="-4.8430628852957416E-2"/>
        <n v="-3.8943534646902575E-2"/>
        <n v="1.4803157891817333E-2"/>
        <n v="-0.100722261684296"/>
        <n v="8.5391194139476361E-3"/>
        <n v="-0.11721149919531641"/>
        <n v="2.7952406241317368E-2"/>
        <n v="4.1808504210920173E-2"/>
        <n v="9.1612429173541579E-2"/>
        <n v="-3.0162416934782261E-4"/>
        <n v="3.240864229517091E-2"/>
        <n v="-1.642491899163839E-2"/>
        <n v="5.8471717591864626E-2"/>
        <n v="3.9200675866168475E-2"/>
        <n v="-6.8417917050198963E-4"/>
        <n v="-2.0968089792142243E-2"/>
        <n v="1.6429251971677453E-2"/>
        <n v="-2.9118106527253513E-2"/>
        <n v="5.8556092959932008E-3"/>
        <n v="-1.8599899128673162E-2"/>
        <n v="-2.7522668649892921E-2"/>
        <n v="6.2781155318466828E-2"/>
        <n v="1.6213245419193958E-2"/>
        <n v="5.0677242523609924E-2"/>
        <n v="4.5490276186592397E-2"/>
        <n v="-3.0706694061092565E-2"/>
        <n v="5.6950657222310783E-2"/>
        <n v="-2.4003240088999369E-2"/>
        <n v="7.1924263755887285E-3"/>
        <n v="0.11735331140200744"/>
        <n v="0.11361843003976918"/>
        <n v="1.5632877509265144E-2"/>
        <n v="8.5183017490592511E-2"/>
        <n v="-0.15562855342105952"/>
        <n v="-1.1554514055254709E-2"/>
        <n v="1.9565931901402675E-4"/>
        <n v="-6.6923086751057334E-2"/>
        <n v="4.4216331645960609E-2"/>
        <n v="4.1797999641947914E-2"/>
        <n v="7.4302403563800482E-2"/>
        <n v="-1.4652213488500531E-2"/>
        <n v="6.7830714751411697E-2"/>
        <n v="-2.6226502648857265E-2"/>
        <n v="-4.6082835305344336E-2"/>
        <n v="3.4384431735491668E-2"/>
        <n v="3.2975315456350844E-2"/>
        <n v="-1.474901435957404E-2"/>
        <n v="6.0118433527751418E-2"/>
        <n v="-1.3613222406007972E-2"/>
        <n v="9.5001250003689211E-2"/>
        <n v="-9.9555547355837195E-4"/>
        <n v="3.5151467665707127E-2"/>
        <n v="4.3796437151249187E-2"/>
        <n v="-1.1964872685494524E-2"/>
        <n v="1.5606286890072815E-2"/>
        <n v="-2.09939736655213E-3"/>
        <n v="-3.2282367057350714E-2"/>
        <n v="-5.9481338520106841E-2"/>
        <n v="5.516347680202674E-2"/>
        <n v="7.4527737355361084E-2"/>
        <n v="2.0649760692685749E-2"/>
        <n v="-3.0252333074639381E-2"/>
        <n v="8.0313742926376427E-2"/>
        <n v="7.302968923554029E-2"/>
        <n v="1.1776698847820601E-2"/>
        <n v="-8.2912173691772617E-3"/>
        <n v="0.10118922384457298"/>
        <n v="-5.6548090253072135E-2"/>
        <n v="-2.182789322026699E-2"/>
        <n v="-7.5236649379038151E-2"/>
        <n v="4.5489675220181672E-2"/>
        <n v="3.4338143318377569E-2"/>
        <n v="1.51525029268888E-2"/>
        <n v="-3.2120029481152016E-3"/>
        <n v="1.0849619142212814E-2"/>
        <n v="3.8933884118587114E-2"/>
        <n v="-5.5416068565819279E-2"/>
        <n v="7.2033357703531684E-2"/>
        <n v="-5.8827622541806054E-2"/>
        <n v="2.887030326821775E-2"/>
        <n v="-2.9837016756720815E-2"/>
        <n v="-3.3259232746225956E-2"/>
        <n v="0.10180524482461495"/>
        <n v="3.1303463777087259E-2"/>
        <n v="-0.1592260056298519"/>
        <n v="-5.1372687020762815E-2"/>
        <n v="8.611603056476054E-2"/>
        <n v="3.7864370153202374E-3"/>
        <n v="-1.7239626339078509E-2"/>
        <n v="9.7378511280736726E-2"/>
        <n v="7.0891529897187708E-2"/>
        <n v="-6.9741467216261066E-2"/>
        <n v="1.8494647267187674E-2"/>
        <n v="-1.209409803962265E-2"/>
        <n v="3.7430465673683744E-2"/>
        <n v="2.8069028813568254E-2"/>
        <n v="-2.7157757462424058E-2"/>
        <n v="7.4263373810927819E-2"/>
        <n v="1.705054432208836E-2"/>
      </sharedItems>
      <fieldGroup base="0">
        <rangePr autoStart="0" autoEnd="0" startNum="-0.14000000000000001" endNum="0.17" groupInterval="0.02"/>
        <groupItems count="18">
          <s v="&lt;-0.14"/>
          <s v="-0.14--0.12"/>
          <s v="-0.12--0.1"/>
          <s v="-0.1--0.08"/>
          <s v="-0.08--0.06"/>
          <s v="-0.06--0.04"/>
          <s v="-0.04--0.02"/>
          <s v="-0.02--1.73472347597681E-17"/>
          <s v="0-0.02"/>
          <s v="0.02-0.04"/>
          <s v="0.04-0.06"/>
          <s v="0.06-0.08"/>
          <s v="0.08-0.1"/>
          <s v="0.1-0.12"/>
          <s v="0.12-0.14"/>
          <s v="0.14-0.16"/>
          <s v="0.16-0.18"/>
          <s v="&gt;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46EC7C-4E76-4104-82FC-B8B7CE8BEDD9}"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C4:AD18" firstHeaderRow="1" firstDataRow="1" firstDataCol="1"/>
  <pivotFields count="1">
    <pivotField axis="axisRow" dataField="1" showAll="0">
      <items count="19">
        <item x="0"/>
        <item x="1"/>
        <item x="2"/>
        <item x="3"/>
        <item x="4"/>
        <item x="5"/>
        <item x="6"/>
        <item x="7"/>
        <item x="8"/>
        <item x="9"/>
        <item x="10"/>
        <item x="11"/>
        <item x="12"/>
        <item x="13"/>
        <item x="14"/>
        <item x="15"/>
        <item x="16"/>
        <item x="17"/>
        <item t="default"/>
      </items>
    </pivotField>
  </pivotFields>
  <rowFields count="1">
    <field x="0"/>
  </rowFields>
  <rowItems count="14">
    <i>
      <x/>
    </i>
    <i>
      <x v="2"/>
    </i>
    <i>
      <x v="4"/>
    </i>
    <i>
      <x v="5"/>
    </i>
    <i>
      <x v="6"/>
    </i>
    <i>
      <x v="7"/>
    </i>
    <i>
      <x v="8"/>
    </i>
    <i>
      <x v="9"/>
    </i>
    <i>
      <x v="10"/>
    </i>
    <i>
      <x v="11"/>
    </i>
    <i>
      <x v="12"/>
    </i>
    <i>
      <x v="13"/>
    </i>
    <i>
      <x v="15"/>
    </i>
    <i t="grand">
      <x/>
    </i>
  </rowItems>
  <colItems count="1">
    <i/>
  </colItems>
  <dataFields count="1">
    <dataField name="Count of Monthly Returns"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500923-D2CE-4CB5-B24D-4D33EBC037E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X4:Y25" firstHeaderRow="1" firstDataRow="1" firstDataCol="1"/>
  <pivotFields count="1">
    <pivotField axis="axisRow" dataField="1" showAll="0">
      <items count="23">
        <item x="0"/>
        <item x="1"/>
        <item x="2"/>
        <item x="3"/>
        <item x="4"/>
        <item x="5"/>
        <item x="6"/>
        <item x="7"/>
        <item x="8"/>
        <item x="9"/>
        <item x="10"/>
        <item x="11"/>
        <item x="12"/>
        <item x="13"/>
        <item x="14"/>
        <item x="15"/>
        <item x="16"/>
        <item x="17"/>
        <item x="18"/>
        <item x="19"/>
        <item x="20"/>
        <item x="21"/>
        <item t="default"/>
      </items>
    </pivotField>
  </pivotFields>
  <rowFields count="1">
    <field x="0"/>
  </rowFields>
  <rowItems count="21">
    <i>
      <x/>
    </i>
    <i>
      <x v="1"/>
    </i>
    <i>
      <x v="2"/>
    </i>
    <i>
      <x v="3"/>
    </i>
    <i>
      <x v="4"/>
    </i>
    <i>
      <x v="5"/>
    </i>
    <i>
      <x v="6"/>
    </i>
    <i>
      <x v="7"/>
    </i>
    <i>
      <x v="8"/>
    </i>
    <i>
      <x v="9"/>
    </i>
    <i>
      <x v="10"/>
    </i>
    <i>
      <x v="11"/>
    </i>
    <i>
      <x v="12"/>
    </i>
    <i>
      <x v="13"/>
    </i>
    <i>
      <x v="14"/>
    </i>
    <i>
      <x v="15"/>
    </i>
    <i>
      <x v="16"/>
    </i>
    <i>
      <x v="17"/>
    </i>
    <i>
      <x v="18"/>
    </i>
    <i>
      <x v="20"/>
    </i>
    <i t="grand">
      <x/>
    </i>
  </rowItems>
  <colItems count="1">
    <i/>
  </colItems>
  <dataFields count="1">
    <dataField name="Count of MONTHLY_RETURNS"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E7D34-8D02-406E-A3B4-FE38A0A53A76}">
  <dimension ref="A1:G409"/>
  <sheetViews>
    <sheetView workbookViewId="0">
      <selection activeCell="N10" sqref="N10"/>
    </sheetView>
  </sheetViews>
  <sheetFormatPr defaultRowHeight="14.4" x14ac:dyDescent="0.3"/>
  <cols>
    <col min="1" max="1" width="10.109375" bestFit="1" customWidth="1"/>
    <col min="2" max="7" width="11.77734375" bestFit="1" customWidth="1"/>
  </cols>
  <sheetData>
    <row r="1" spans="1:7" x14ac:dyDescent="0.3">
      <c r="A1" t="s">
        <v>0</v>
      </c>
      <c r="B1" t="s">
        <v>1</v>
      </c>
      <c r="C1" t="s">
        <v>2</v>
      </c>
      <c r="D1" t="s">
        <v>3</v>
      </c>
      <c r="E1" t="s">
        <v>4</v>
      </c>
      <c r="F1" t="s">
        <v>5</v>
      </c>
      <c r="G1" t="s">
        <v>6</v>
      </c>
    </row>
    <row r="2" spans="1:7" x14ac:dyDescent="0.3">
      <c r="A2" s="1">
        <v>32874</v>
      </c>
      <c r="B2">
        <v>353.39999399999999</v>
      </c>
      <c r="C2">
        <v>360.58999599999999</v>
      </c>
      <c r="D2">
        <v>319.82998700000002</v>
      </c>
      <c r="E2">
        <v>329.07998700000002</v>
      </c>
      <c r="F2">
        <v>329.07998700000002</v>
      </c>
      <c r="G2">
        <v>3793250000</v>
      </c>
    </row>
    <row r="3" spans="1:7" x14ac:dyDescent="0.3">
      <c r="A3" s="1">
        <v>32905</v>
      </c>
      <c r="B3">
        <v>329.07998700000002</v>
      </c>
      <c r="C3">
        <v>336.08999599999999</v>
      </c>
      <c r="D3">
        <v>322.10000600000001</v>
      </c>
      <c r="E3">
        <v>331.89001500000001</v>
      </c>
      <c r="F3">
        <v>331.89001500000001</v>
      </c>
      <c r="G3">
        <v>2961970000</v>
      </c>
    </row>
    <row r="4" spans="1:7" x14ac:dyDescent="0.3">
      <c r="A4" s="1">
        <v>32933</v>
      </c>
      <c r="B4">
        <v>331.89001500000001</v>
      </c>
      <c r="C4">
        <v>344.48998999999998</v>
      </c>
      <c r="D4">
        <v>331.07998700000002</v>
      </c>
      <c r="E4">
        <v>339.94000199999999</v>
      </c>
      <c r="F4">
        <v>339.94000199999999</v>
      </c>
      <c r="G4">
        <v>3283280000</v>
      </c>
    </row>
    <row r="5" spans="1:7" x14ac:dyDescent="0.3">
      <c r="A5" s="1">
        <v>32964</v>
      </c>
      <c r="B5">
        <v>339.94000199999999</v>
      </c>
      <c r="C5">
        <v>347.29998799999998</v>
      </c>
      <c r="D5">
        <v>327.76001000000002</v>
      </c>
      <c r="E5">
        <v>330.79998799999998</v>
      </c>
      <c r="F5">
        <v>330.79998799999998</v>
      </c>
      <c r="G5">
        <v>2801220000</v>
      </c>
    </row>
    <row r="6" spans="1:7" x14ac:dyDescent="0.3">
      <c r="A6" s="1">
        <v>32994</v>
      </c>
      <c r="B6">
        <v>330.79998799999998</v>
      </c>
      <c r="C6">
        <v>362.26001000000002</v>
      </c>
      <c r="D6">
        <v>330.79998799999998</v>
      </c>
      <c r="E6">
        <v>361.23001099999999</v>
      </c>
      <c r="F6">
        <v>361.23001099999999</v>
      </c>
      <c r="G6">
        <v>3596680000</v>
      </c>
    </row>
    <row r="7" spans="1:7" x14ac:dyDescent="0.3">
      <c r="A7" s="1">
        <v>33025</v>
      </c>
      <c r="B7">
        <v>361.26001000000002</v>
      </c>
      <c r="C7">
        <v>368.77999899999998</v>
      </c>
      <c r="D7">
        <v>351.23001099999999</v>
      </c>
      <c r="E7">
        <v>358.01998900000001</v>
      </c>
      <c r="F7">
        <v>358.01998900000001</v>
      </c>
      <c r="G7">
        <v>3226280000</v>
      </c>
    </row>
    <row r="8" spans="1:7" x14ac:dyDescent="0.3">
      <c r="A8" s="1">
        <v>33055</v>
      </c>
      <c r="B8">
        <v>358.01998900000001</v>
      </c>
      <c r="C8">
        <v>369.77999899999998</v>
      </c>
      <c r="D8">
        <v>350.08999599999999</v>
      </c>
      <c r="E8">
        <v>356.14999399999999</v>
      </c>
      <c r="F8">
        <v>356.14999399999999</v>
      </c>
      <c r="G8">
        <v>3373540000</v>
      </c>
    </row>
    <row r="9" spans="1:7" x14ac:dyDescent="0.3">
      <c r="A9" s="1">
        <v>33086</v>
      </c>
      <c r="B9">
        <v>356.14999399999999</v>
      </c>
      <c r="C9">
        <v>357.35000600000001</v>
      </c>
      <c r="D9">
        <v>306.17999300000002</v>
      </c>
      <c r="E9">
        <v>322.55999800000001</v>
      </c>
      <c r="F9">
        <v>322.55999800000001</v>
      </c>
      <c r="G9">
        <v>4020730000</v>
      </c>
    </row>
    <row r="10" spans="1:7" x14ac:dyDescent="0.3">
      <c r="A10" s="1">
        <v>33117</v>
      </c>
      <c r="B10">
        <v>322.55999800000001</v>
      </c>
      <c r="C10">
        <v>326.52999899999998</v>
      </c>
      <c r="D10">
        <v>295.98001099999999</v>
      </c>
      <c r="E10">
        <v>306.04998799999998</v>
      </c>
      <c r="F10">
        <v>306.04998799999998</v>
      </c>
      <c r="G10">
        <v>2687280000</v>
      </c>
    </row>
    <row r="11" spans="1:7" x14ac:dyDescent="0.3">
      <c r="A11" s="1">
        <v>33147</v>
      </c>
      <c r="B11">
        <v>306.10000600000001</v>
      </c>
      <c r="C11">
        <v>319.69000199999999</v>
      </c>
      <c r="D11">
        <v>294.51001000000002</v>
      </c>
      <c r="E11">
        <v>304</v>
      </c>
      <c r="F11">
        <v>304</v>
      </c>
      <c r="G11">
        <v>3671900000</v>
      </c>
    </row>
    <row r="12" spans="1:7" x14ac:dyDescent="0.3">
      <c r="A12" s="1">
        <v>33178</v>
      </c>
      <c r="B12">
        <v>303.98998999999998</v>
      </c>
      <c r="C12">
        <v>323.01998900000001</v>
      </c>
      <c r="D12">
        <v>301.60998499999999</v>
      </c>
      <c r="E12">
        <v>322.22000100000002</v>
      </c>
      <c r="F12">
        <v>322.22000100000002</v>
      </c>
      <c r="G12">
        <v>3149770000</v>
      </c>
    </row>
    <row r="13" spans="1:7" x14ac:dyDescent="0.3">
      <c r="A13" s="1">
        <v>33208</v>
      </c>
      <c r="B13">
        <v>322.23001099999999</v>
      </c>
      <c r="C13">
        <v>333.98001099999999</v>
      </c>
      <c r="D13">
        <v>321.97000100000002</v>
      </c>
      <c r="E13">
        <v>330.22000100000002</v>
      </c>
      <c r="F13">
        <v>330.22000100000002</v>
      </c>
      <c r="G13">
        <v>3116830000</v>
      </c>
    </row>
    <row r="14" spans="1:7" x14ac:dyDescent="0.3">
      <c r="A14" s="1">
        <v>33239</v>
      </c>
      <c r="B14">
        <v>330.20001200000002</v>
      </c>
      <c r="C14">
        <v>343.92999300000002</v>
      </c>
      <c r="D14">
        <v>309.35000600000001</v>
      </c>
      <c r="E14">
        <v>343.92999300000002</v>
      </c>
      <c r="F14">
        <v>343.92999300000002</v>
      </c>
      <c r="G14">
        <v>3660240000</v>
      </c>
    </row>
    <row r="15" spans="1:7" x14ac:dyDescent="0.3">
      <c r="A15" s="1">
        <v>33270</v>
      </c>
      <c r="B15">
        <v>343.91000400000001</v>
      </c>
      <c r="C15">
        <v>370.959991</v>
      </c>
      <c r="D15">
        <v>340.36999500000002</v>
      </c>
      <c r="E15">
        <v>367.07000699999998</v>
      </c>
      <c r="F15">
        <v>367.07000699999998</v>
      </c>
      <c r="G15">
        <v>4303170000</v>
      </c>
    </row>
    <row r="16" spans="1:7" x14ac:dyDescent="0.3">
      <c r="A16" s="1">
        <v>33298</v>
      </c>
      <c r="B16">
        <v>367.07000699999998</v>
      </c>
      <c r="C16">
        <v>379.66000400000001</v>
      </c>
      <c r="D16">
        <v>363.73001099999999</v>
      </c>
      <c r="E16">
        <v>375.22000100000002</v>
      </c>
      <c r="F16">
        <v>375.22000100000002</v>
      </c>
      <c r="G16">
        <v>3927920000</v>
      </c>
    </row>
    <row r="17" spans="1:7" x14ac:dyDescent="0.3">
      <c r="A17" s="1">
        <v>33329</v>
      </c>
      <c r="B17">
        <v>375.22000100000002</v>
      </c>
      <c r="C17">
        <v>391.26001000000002</v>
      </c>
      <c r="D17">
        <v>370.26998900000001</v>
      </c>
      <c r="E17">
        <v>375.33999599999999</v>
      </c>
      <c r="F17">
        <v>375.33999599999999</v>
      </c>
      <c r="G17">
        <v>4017200000</v>
      </c>
    </row>
    <row r="18" spans="1:7" x14ac:dyDescent="0.3">
      <c r="A18" s="1">
        <v>33359</v>
      </c>
      <c r="B18">
        <v>375.35000600000001</v>
      </c>
      <c r="C18">
        <v>389.85000600000001</v>
      </c>
      <c r="D18">
        <v>365.82998700000002</v>
      </c>
      <c r="E18">
        <v>389.82998700000002</v>
      </c>
      <c r="F18">
        <v>389.82998700000002</v>
      </c>
      <c r="G18">
        <v>3739700000</v>
      </c>
    </row>
    <row r="19" spans="1:7" x14ac:dyDescent="0.3">
      <c r="A19" s="1">
        <v>33390</v>
      </c>
      <c r="B19">
        <v>389.80999800000001</v>
      </c>
      <c r="C19">
        <v>389.80999800000001</v>
      </c>
      <c r="D19">
        <v>367.98001099999999</v>
      </c>
      <c r="E19">
        <v>371.16000400000001</v>
      </c>
      <c r="F19">
        <v>371.16000400000001</v>
      </c>
      <c r="G19">
        <v>3258730000</v>
      </c>
    </row>
    <row r="20" spans="1:7" x14ac:dyDescent="0.3">
      <c r="A20" s="1">
        <v>33420</v>
      </c>
      <c r="B20">
        <v>371.17999300000002</v>
      </c>
      <c r="C20">
        <v>387.80999800000001</v>
      </c>
      <c r="D20">
        <v>370.92001299999998</v>
      </c>
      <c r="E20">
        <v>387.80999800000001</v>
      </c>
      <c r="F20">
        <v>387.80999800000001</v>
      </c>
      <c r="G20">
        <v>3481570000</v>
      </c>
    </row>
    <row r="21" spans="1:7" x14ac:dyDescent="0.3">
      <c r="A21" s="1">
        <v>33451</v>
      </c>
      <c r="B21">
        <v>387.80999800000001</v>
      </c>
      <c r="C21">
        <v>396.82000699999998</v>
      </c>
      <c r="D21">
        <v>374.08999599999999</v>
      </c>
      <c r="E21">
        <v>395.42999300000002</v>
      </c>
      <c r="F21">
        <v>395.42999300000002</v>
      </c>
      <c r="G21">
        <v>3713820000</v>
      </c>
    </row>
    <row r="22" spans="1:7" x14ac:dyDescent="0.3">
      <c r="A22" s="1">
        <v>33482</v>
      </c>
      <c r="B22">
        <v>395.42999300000002</v>
      </c>
      <c r="C22">
        <v>397.61999500000002</v>
      </c>
      <c r="D22">
        <v>382.76998900000001</v>
      </c>
      <c r="E22">
        <v>387.85998499999999</v>
      </c>
      <c r="F22">
        <v>387.85998499999999</v>
      </c>
      <c r="G22">
        <v>3260990000</v>
      </c>
    </row>
    <row r="23" spans="1:7" x14ac:dyDescent="0.3">
      <c r="A23" s="1">
        <v>33512</v>
      </c>
      <c r="B23">
        <v>387.85998499999999</v>
      </c>
      <c r="C23">
        <v>393.80999800000001</v>
      </c>
      <c r="D23">
        <v>376.10998499999999</v>
      </c>
      <c r="E23">
        <v>392.45001200000002</v>
      </c>
      <c r="F23">
        <v>392.45001200000002</v>
      </c>
      <c r="G23">
        <v>4082380000</v>
      </c>
    </row>
    <row r="24" spans="1:7" x14ac:dyDescent="0.3">
      <c r="A24" s="1">
        <v>33543</v>
      </c>
      <c r="B24">
        <v>392.459991</v>
      </c>
      <c r="C24">
        <v>398.22000100000002</v>
      </c>
      <c r="D24">
        <v>371.63000499999998</v>
      </c>
      <c r="E24">
        <v>375.22000100000002</v>
      </c>
      <c r="F24">
        <v>375.22000100000002</v>
      </c>
      <c r="G24">
        <v>3737620000</v>
      </c>
    </row>
    <row r="25" spans="1:7" x14ac:dyDescent="0.3">
      <c r="A25" s="1">
        <v>33573</v>
      </c>
      <c r="B25">
        <v>375.10998499999999</v>
      </c>
      <c r="C25">
        <v>418.32000699999998</v>
      </c>
      <c r="D25">
        <v>371.35998499999999</v>
      </c>
      <c r="E25">
        <v>417.08999599999999</v>
      </c>
      <c r="F25">
        <v>417.08999599999999</v>
      </c>
      <c r="G25">
        <v>4155310000</v>
      </c>
    </row>
    <row r="26" spans="1:7" x14ac:dyDescent="0.3">
      <c r="A26" s="1">
        <v>33604</v>
      </c>
      <c r="B26">
        <v>417.02999899999998</v>
      </c>
      <c r="C26">
        <v>421.17999300000002</v>
      </c>
      <c r="D26">
        <v>408.64001500000001</v>
      </c>
      <c r="E26">
        <v>408.77999899999998</v>
      </c>
      <c r="F26">
        <v>408.77999899999998</v>
      </c>
      <c r="G26">
        <v>5286280000</v>
      </c>
    </row>
    <row r="27" spans="1:7" x14ac:dyDescent="0.3">
      <c r="A27" s="1">
        <v>33635</v>
      </c>
      <c r="B27">
        <v>408.790009</v>
      </c>
      <c r="C27">
        <v>418.07998700000002</v>
      </c>
      <c r="D27">
        <v>406.33999599999999</v>
      </c>
      <c r="E27">
        <v>412.70001200000002</v>
      </c>
      <c r="F27">
        <v>412.70001200000002</v>
      </c>
      <c r="G27">
        <v>4267610000</v>
      </c>
    </row>
    <row r="28" spans="1:7" x14ac:dyDescent="0.3">
      <c r="A28" s="1">
        <v>33664</v>
      </c>
      <c r="B28">
        <v>412.67999300000002</v>
      </c>
      <c r="C28">
        <v>413.77999899999998</v>
      </c>
      <c r="D28">
        <v>401.94000199999999</v>
      </c>
      <c r="E28">
        <v>403.69000199999999</v>
      </c>
      <c r="F28">
        <v>403.69000199999999</v>
      </c>
      <c r="G28">
        <v>4066240000</v>
      </c>
    </row>
    <row r="29" spans="1:7" x14ac:dyDescent="0.3">
      <c r="A29" s="1">
        <v>33695</v>
      </c>
      <c r="B29">
        <v>403.67001299999998</v>
      </c>
      <c r="C29">
        <v>416.27999899999998</v>
      </c>
      <c r="D29">
        <v>392.41000400000001</v>
      </c>
      <c r="E29">
        <v>414.95001200000002</v>
      </c>
      <c r="F29">
        <v>414.95001200000002</v>
      </c>
      <c r="G29">
        <v>4315840000</v>
      </c>
    </row>
    <row r="30" spans="1:7" x14ac:dyDescent="0.3">
      <c r="A30" s="1">
        <v>33725</v>
      </c>
      <c r="B30">
        <v>414.95001200000002</v>
      </c>
      <c r="C30">
        <v>418.75</v>
      </c>
      <c r="D30">
        <v>409.85000600000001</v>
      </c>
      <c r="E30">
        <v>415.35000600000001</v>
      </c>
      <c r="F30">
        <v>415.35000600000001</v>
      </c>
      <c r="G30">
        <v>3643980000</v>
      </c>
    </row>
    <row r="31" spans="1:7" x14ac:dyDescent="0.3">
      <c r="A31" s="1">
        <v>33756</v>
      </c>
      <c r="B31">
        <v>415.35000600000001</v>
      </c>
      <c r="C31">
        <v>417.29998799999998</v>
      </c>
      <c r="D31">
        <v>399.92001299999998</v>
      </c>
      <c r="E31">
        <v>408.14001500000001</v>
      </c>
      <c r="F31">
        <v>408.14001500000001</v>
      </c>
      <c r="G31">
        <v>4259830000</v>
      </c>
    </row>
    <row r="32" spans="1:7" x14ac:dyDescent="0.3">
      <c r="A32" s="1">
        <v>33786</v>
      </c>
      <c r="B32">
        <v>408.20001200000002</v>
      </c>
      <c r="C32">
        <v>424.79998799999998</v>
      </c>
      <c r="D32">
        <v>407.20001200000002</v>
      </c>
      <c r="E32">
        <v>424.209991</v>
      </c>
      <c r="F32">
        <v>424.209991</v>
      </c>
      <c r="G32">
        <v>4265220000</v>
      </c>
    </row>
    <row r="33" spans="1:7" x14ac:dyDescent="0.3">
      <c r="A33" s="1">
        <v>33817</v>
      </c>
      <c r="B33">
        <v>424.19000199999999</v>
      </c>
      <c r="C33">
        <v>425.14001500000001</v>
      </c>
      <c r="D33">
        <v>408.29998799999998</v>
      </c>
      <c r="E33">
        <v>414.02999899999998</v>
      </c>
      <c r="F33">
        <v>414.02999899999998</v>
      </c>
      <c r="G33">
        <v>3653820000</v>
      </c>
    </row>
    <row r="34" spans="1:7" x14ac:dyDescent="0.3">
      <c r="A34" s="1">
        <v>33848</v>
      </c>
      <c r="B34">
        <v>414.02999899999998</v>
      </c>
      <c r="C34">
        <v>425.26998900000001</v>
      </c>
      <c r="D34">
        <v>412.709991</v>
      </c>
      <c r="E34">
        <v>417.79998799999998</v>
      </c>
      <c r="F34">
        <v>417.79998799999998</v>
      </c>
      <c r="G34">
        <v>4023850000</v>
      </c>
    </row>
    <row r="35" spans="1:7" x14ac:dyDescent="0.3">
      <c r="A35" s="1">
        <v>33878</v>
      </c>
      <c r="B35">
        <v>417.79998799999998</v>
      </c>
      <c r="C35">
        <v>421.16000400000001</v>
      </c>
      <c r="D35">
        <v>396.79998799999998</v>
      </c>
      <c r="E35">
        <v>418.67999300000002</v>
      </c>
      <c r="F35">
        <v>418.67999300000002</v>
      </c>
      <c r="G35">
        <v>4507010000</v>
      </c>
    </row>
    <row r="36" spans="1:7" x14ac:dyDescent="0.3">
      <c r="A36" s="1">
        <v>33909</v>
      </c>
      <c r="B36">
        <v>418.66000400000001</v>
      </c>
      <c r="C36">
        <v>431.92999300000002</v>
      </c>
      <c r="D36">
        <v>415.57998700000002</v>
      </c>
      <c r="E36">
        <v>431.35000600000001</v>
      </c>
      <c r="F36">
        <v>431.35000600000001</v>
      </c>
      <c r="G36">
        <v>4148770000</v>
      </c>
    </row>
    <row r="37" spans="1:7" x14ac:dyDescent="0.3">
      <c r="A37" s="1">
        <v>33939</v>
      </c>
      <c r="B37">
        <v>431.35000600000001</v>
      </c>
      <c r="C37">
        <v>442.64999399999999</v>
      </c>
      <c r="D37">
        <v>428.60998499999999</v>
      </c>
      <c r="E37">
        <v>435.709991</v>
      </c>
      <c r="F37">
        <v>435.709991</v>
      </c>
      <c r="G37">
        <v>4876150000</v>
      </c>
    </row>
    <row r="38" spans="1:7" x14ac:dyDescent="0.3">
      <c r="A38" s="1">
        <v>33970</v>
      </c>
      <c r="B38">
        <v>435.70001200000002</v>
      </c>
      <c r="C38">
        <v>442.66000400000001</v>
      </c>
      <c r="D38">
        <v>426.88000499999998</v>
      </c>
      <c r="E38">
        <v>438.77999899999998</v>
      </c>
      <c r="F38">
        <v>438.77999899999998</v>
      </c>
      <c r="G38">
        <v>5280850000</v>
      </c>
    </row>
    <row r="39" spans="1:7" x14ac:dyDescent="0.3">
      <c r="A39" s="1">
        <v>34001</v>
      </c>
      <c r="B39">
        <v>438.77999899999998</v>
      </c>
      <c r="C39">
        <v>450.040009</v>
      </c>
      <c r="D39">
        <v>428.25</v>
      </c>
      <c r="E39">
        <v>443.38000499999998</v>
      </c>
      <c r="F39">
        <v>443.38000499999998</v>
      </c>
      <c r="G39">
        <v>5442450000</v>
      </c>
    </row>
    <row r="40" spans="1:7" x14ac:dyDescent="0.3">
      <c r="A40" s="1">
        <v>34029</v>
      </c>
      <c r="B40">
        <v>443.38000499999998</v>
      </c>
      <c r="C40">
        <v>456.76001000000002</v>
      </c>
      <c r="D40">
        <v>441.07000699999998</v>
      </c>
      <c r="E40">
        <v>451.67001299999998</v>
      </c>
      <c r="F40">
        <v>451.67001299999998</v>
      </c>
      <c r="G40">
        <v>5766950000</v>
      </c>
    </row>
    <row r="41" spans="1:7" x14ac:dyDescent="0.3">
      <c r="A41" s="1">
        <v>34060</v>
      </c>
      <c r="B41">
        <v>451.67001299999998</v>
      </c>
      <c r="C41">
        <v>452.63000499999998</v>
      </c>
      <c r="D41">
        <v>432.29998799999998</v>
      </c>
      <c r="E41">
        <v>440.19000199999999</v>
      </c>
      <c r="F41">
        <v>440.19000199999999</v>
      </c>
      <c r="G41">
        <v>5853170000</v>
      </c>
    </row>
    <row r="42" spans="1:7" x14ac:dyDescent="0.3">
      <c r="A42" s="1">
        <v>34090</v>
      </c>
      <c r="B42">
        <v>440.19000199999999</v>
      </c>
      <c r="C42">
        <v>454.54998799999998</v>
      </c>
      <c r="D42">
        <v>436.85998499999999</v>
      </c>
      <c r="E42">
        <v>450.19000199999999</v>
      </c>
      <c r="F42">
        <v>450.19000199999999</v>
      </c>
      <c r="G42">
        <v>5108640000</v>
      </c>
    </row>
    <row r="43" spans="1:7" x14ac:dyDescent="0.3">
      <c r="A43" s="1">
        <v>34121</v>
      </c>
      <c r="B43">
        <v>450.23001099999999</v>
      </c>
      <c r="C43">
        <v>455.63000499999998</v>
      </c>
      <c r="D43">
        <v>442.5</v>
      </c>
      <c r="E43">
        <v>450.52999899999998</v>
      </c>
      <c r="F43">
        <v>450.52999899999998</v>
      </c>
      <c r="G43">
        <v>5544400000</v>
      </c>
    </row>
    <row r="44" spans="1:7" x14ac:dyDescent="0.3">
      <c r="A44" s="1">
        <v>34151</v>
      </c>
      <c r="B44">
        <v>450.540009</v>
      </c>
      <c r="C44">
        <v>451.14999399999999</v>
      </c>
      <c r="D44">
        <v>441.39999399999999</v>
      </c>
      <c r="E44">
        <v>448.13000499999998</v>
      </c>
      <c r="F44">
        <v>448.13000499999998</v>
      </c>
      <c r="G44">
        <v>5308530000</v>
      </c>
    </row>
    <row r="45" spans="1:7" x14ac:dyDescent="0.3">
      <c r="A45" s="1">
        <v>34182</v>
      </c>
      <c r="B45">
        <v>448.13000499999998</v>
      </c>
      <c r="C45">
        <v>463.55999800000001</v>
      </c>
      <c r="D45">
        <v>446.94000199999999</v>
      </c>
      <c r="E45">
        <v>463.55999800000001</v>
      </c>
      <c r="F45">
        <v>463.55999800000001</v>
      </c>
      <c r="G45">
        <v>5506200000</v>
      </c>
    </row>
    <row r="46" spans="1:7" x14ac:dyDescent="0.3">
      <c r="A46" s="1">
        <v>34213</v>
      </c>
      <c r="B46">
        <v>463.54998799999998</v>
      </c>
      <c r="C46">
        <v>463.79998799999998</v>
      </c>
      <c r="D46">
        <v>449.64001500000001</v>
      </c>
      <c r="E46">
        <v>458.92999300000002</v>
      </c>
      <c r="F46">
        <v>458.92999300000002</v>
      </c>
      <c r="G46">
        <v>5552720000</v>
      </c>
    </row>
    <row r="47" spans="1:7" x14ac:dyDescent="0.3">
      <c r="A47" s="1">
        <v>34243</v>
      </c>
      <c r="B47">
        <v>458.92999300000002</v>
      </c>
      <c r="C47">
        <v>471.10000600000001</v>
      </c>
      <c r="D47">
        <v>456.39999399999999</v>
      </c>
      <c r="E47">
        <v>467.82998700000002</v>
      </c>
      <c r="F47">
        <v>467.82998700000002</v>
      </c>
      <c r="G47">
        <v>5940460000</v>
      </c>
    </row>
    <row r="48" spans="1:7" x14ac:dyDescent="0.3">
      <c r="A48" s="1">
        <v>34274</v>
      </c>
      <c r="B48">
        <v>467.82998700000002</v>
      </c>
      <c r="C48">
        <v>469.10998499999999</v>
      </c>
      <c r="D48">
        <v>454.35998499999999</v>
      </c>
      <c r="E48">
        <v>461.790009</v>
      </c>
      <c r="F48">
        <v>461.790009</v>
      </c>
      <c r="G48">
        <v>5876610000</v>
      </c>
    </row>
    <row r="49" spans="1:7" x14ac:dyDescent="0.3">
      <c r="A49" s="1">
        <v>34304</v>
      </c>
      <c r="B49">
        <v>461.92999300000002</v>
      </c>
      <c r="C49">
        <v>471.290009</v>
      </c>
      <c r="D49">
        <v>461.45001200000002</v>
      </c>
      <c r="E49">
        <v>466.45001200000002</v>
      </c>
      <c r="F49">
        <v>466.45001200000002</v>
      </c>
      <c r="G49">
        <v>5791210000</v>
      </c>
    </row>
    <row r="50" spans="1:7" x14ac:dyDescent="0.3">
      <c r="A50" s="1">
        <v>34335</v>
      </c>
      <c r="B50">
        <v>466.51001000000002</v>
      </c>
      <c r="C50">
        <v>482.85000600000001</v>
      </c>
      <c r="D50">
        <v>464.35998499999999</v>
      </c>
      <c r="E50">
        <v>481.60998499999999</v>
      </c>
      <c r="F50">
        <v>481.60998499999999</v>
      </c>
      <c r="G50">
        <v>6627390000</v>
      </c>
    </row>
    <row r="51" spans="1:7" x14ac:dyDescent="0.3">
      <c r="A51" s="1">
        <v>34366</v>
      </c>
      <c r="B51">
        <v>481.60000600000001</v>
      </c>
      <c r="C51">
        <v>482.23001099999999</v>
      </c>
      <c r="D51">
        <v>464.26001000000002</v>
      </c>
      <c r="E51">
        <v>467.14001500000001</v>
      </c>
      <c r="F51">
        <v>467.14001500000001</v>
      </c>
      <c r="G51">
        <v>5853100000</v>
      </c>
    </row>
    <row r="52" spans="1:7" x14ac:dyDescent="0.3">
      <c r="A52" s="1">
        <v>34394</v>
      </c>
      <c r="B52">
        <v>467.19000199999999</v>
      </c>
      <c r="C52">
        <v>471.08999599999999</v>
      </c>
      <c r="D52">
        <v>436.16000400000001</v>
      </c>
      <c r="E52">
        <v>445.76998900000001</v>
      </c>
      <c r="F52">
        <v>445.76998900000001</v>
      </c>
      <c r="G52">
        <v>7225010000</v>
      </c>
    </row>
    <row r="53" spans="1:7" x14ac:dyDescent="0.3">
      <c r="A53" s="1">
        <v>34425</v>
      </c>
      <c r="B53">
        <v>445.66000400000001</v>
      </c>
      <c r="C53">
        <v>452.790009</v>
      </c>
      <c r="D53">
        <v>435.85998499999999</v>
      </c>
      <c r="E53">
        <v>450.91000400000001</v>
      </c>
      <c r="F53">
        <v>450.91000400000001</v>
      </c>
      <c r="G53">
        <v>5735010000</v>
      </c>
    </row>
    <row r="54" spans="1:7" x14ac:dyDescent="0.3">
      <c r="A54" s="1">
        <v>34455</v>
      </c>
      <c r="B54">
        <v>450.91000400000001</v>
      </c>
      <c r="C54">
        <v>457.76998900000001</v>
      </c>
      <c r="D54">
        <v>440.77999899999998</v>
      </c>
      <c r="E54">
        <v>456.5</v>
      </c>
      <c r="F54">
        <v>456.5</v>
      </c>
      <c r="G54">
        <v>5675970000</v>
      </c>
    </row>
    <row r="55" spans="1:7" x14ac:dyDescent="0.3">
      <c r="A55" s="1">
        <v>34486</v>
      </c>
      <c r="B55">
        <v>456.5</v>
      </c>
      <c r="C55">
        <v>463.23001099999999</v>
      </c>
      <c r="D55">
        <v>439.82998700000002</v>
      </c>
      <c r="E55">
        <v>444.26998900000001</v>
      </c>
      <c r="F55">
        <v>444.26998900000001</v>
      </c>
      <c r="G55">
        <v>5852670000</v>
      </c>
    </row>
    <row r="56" spans="1:7" x14ac:dyDescent="0.3">
      <c r="A56" s="1">
        <v>34516</v>
      </c>
      <c r="B56">
        <v>444.26998900000001</v>
      </c>
      <c r="C56">
        <v>459.32998700000002</v>
      </c>
      <c r="D56">
        <v>443.57998700000002</v>
      </c>
      <c r="E56">
        <v>458.26001000000002</v>
      </c>
      <c r="F56">
        <v>458.26001000000002</v>
      </c>
      <c r="G56">
        <v>4980100000</v>
      </c>
    </row>
    <row r="57" spans="1:7" x14ac:dyDescent="0.3">
      <c r="A57" s="1">
        <v>34547</v>
      </c>
      <c r="B57">
        <v>458.27999899999998</v>
      </c>
      <c r="C57">
        <v>477.58999599999999</v>
      </c>
      <c r="D57">
        <v>456.07998700000002</v>
      </c>
      <c r="E57">
        <v>475.48998999999998</v>
      </c>
      <c r="F57">
        <v>475.48998999999998</v>
      </c>
      <c r="G57">
        <v>6398750000</v>
      </c>
    </row>
    <row r="58" spans="1:7" x14ac:dyDescent="0.3">
      <c r="A58" s="1">
        <v>34578</v>
      </c>
      <c r="B58">
        <v>475.48998999999998</v>
      </c>
      <c r="C58">
        <v>475.48998999999998</v>
      </c>
      <c r="D58">
        <v>458.47000100000002</v>
      </c>
      <c r="E58">
        <v>462.709991</v>
      </c>
      <c r="F58">
        <v>462.709991</v>
      </c>
      <c r="G58">
        <v>6152870000</v>
      </c>
    </row>
    <row r="59" spans="1:7" x14ac:dyDescent="0.3">
      <c r="A59" s="1">
        <v>34608</v>
      </c>
      <c r="B59">
        <v>462.69000199999999</v>
      </c>
      <c r="C59">
        <v>474.73998999999998</v>
      </c>
      <c r="D59">
        <v>449.26998900000001</v>
      </c>
      <c r="E59">
        <v>472.35000600000001</v>
      </c>
      <c r="F59">
        <v>472.35000600000001</v>
      </c>
      <c r="G59">
        <v>6344700000</v>
      </c>
    </row>
    <row r="60" spans="1:7" x14ac:dyDescent="0.3">
      <c r="A60" s="1">
        <v>34639</v>
      </c>
      <c r="B60">
        <v>472.26001000000002</v>
      </c>
      <c r="C60">
        <v>472.26001000000002</v>
      </c>
      <c r="D60">
        <v>444.17999300000002</v>
      </c>
      <c r="E60">
        <v>453.69000199999999</v>
      </c>
      <c r="F60">
        <v>453.69000199999999</v>
      </c>
      <c r="G60">
        <v>6251240000</v>
      </c>
    </row>
    <row r="61" spans="1:7" x14ac:dyDescent="0.3">
      <c r="A61" s="1">
        <v>34669</v>
      </c>
      <c r="B61">
        <v>453.54998799999998</v>
      </c>
      <c r="C61">
        <v>462.73001099999999</v>
      </c>
      <c r="D61">
        <v>442.88000499999998</v>
      </c>
      <c r="E61">
        <v>459.26998900000001</v>
      </c>
      <c r="F61">
        <v>459.26998900000001</v>
      </c>
      <c r="G61">
        <v>6351530000</v>
      </c>
    </row>
    <row r="62" spans="1:7" x14ac:dyDescent="0.3">
      <c r="A62" s="1">
        <v>34700</v>
      </c>
      <c r="B62">
        <v>459.209991</v>
      </c>
      <c r="C62">
        <v>471.35998499999999</v>
      </c>
      <c r="D62">
        <v>457.20001200000002</v>
      </c>
      <c r="E62">
        <v>470.42001299999998</v>
      </c>
      <c r="F62">
        <v>470.42001299999998</v>
      </c>
      <c r="G62">
        <v>6852060000</v>
      </c>
    </row>
    <row r="63" spans="1:7" x14ac:dyDescent="0.3">
      <c r="A63" s="1">
        <v>34731</v>
      </c>
      <c r="B63">
        <v>470.42001299999998</v>
      </c>
      <c r="C63">
        <v>489.19000199999999</v>
      </c>
      <c r="D63">
        <v>469.290009</v>
      </c>
      <c r="E63">
        <v>487.39001500000001</v>
      </c>
      <c r="F63">
        <v>487.39001500000001</v>
      </c>
      <c r="G63">
        <v>6330100000</v>
      </c>
    </row>
    <row r="64" spans="1:7" x14ac:dyDescent="0.3">
      <c r="A64" s="1">
        <v>34759</v>
      </c>
      <c r="B64">
        <v>487.39001500000001</v>
      </c>
      <c r="C64">
        <v>508.14999399999999</v>
      </c>
      <c r="D64">
        <v>479.70001200000002</v>
      </c>
      <c r="E64">
        <v>500.709991</v>
      </c>
      <c r="F64">
        <v>500.709991</v>
      </c>
      <c r="G64">
        <v>7792400000</v>
      </c>
    </row>
    <row r="65" spans="1:7" x14ac:dyDescent="0.3">
      <c r="A65" s="1">
        <v>34790</v>
      </c>
      <c r="B65">
        <v>500.70001200000002</v>
      </c>
      <c r="C65">
        <v>515.28997800000002</v>
      </c>
      <c r="D65">
        <v>500.20001200000002</v>
      </c>
      <c r="E65">
        <v>514.71002199999998</v>
      </c>
      <c r="F65">
        <v>514.71002199999998</v>
      </c>
      <c r="G65">
        <v>6307030000</v>
      </c>
    </row>
    <row r="66" spans="1:7" x14ac:dyDescent="0.3">
      <c r="A66" s="1">
        <v>34820</v>
      </c>
      <c r="B66">
        <v>514.76000999999997</v>
      </c>
      <c r="C66">
        <v>533.40997300000004</v>
      </c>
      <c r="D66">
        <v>513.03002900000001</v>
      </c>
      <c r="E66">
        <v>533.40002400000003</v>
      </c>
      <c r="F66">
        <v>533.40002400000003</v>
      </c>
      <c r="G66">
        <v>7555690000</v>
      </c>
    </row>
    <row r="67" spans="1:7" x14ac:dyDescent="0.3">
      <c r="A67" s="1">
        <v>34851</v>
      </c>
      <c r="B67">
        <v>533.40002400000003</v>
      </c>
      <c r="C67">
        <v>551.07000700000003</v>
      </c>
      <c r="D67">
        <v>526</v>
      </c>
      <c r="E67">
        <v>544.75</v>
      </c>
      <c r="F67">
        <v>544.75</v>
      </c>
      <c r="G67">
        <v>7555650000</v>
      </c>
    </row>
    <row r="68" spans="1:7" x14ac:dyDescent="0.3">
      <c r="A68" s="1">
        <v>34881</v>
      </c>
      <c r="B68">
        <v>544.75</v>
      </c>
      <c r="C68">
        <v>565.40002400000003</v>
      </c>
      <c r="D68">
        <v>542.51000999999997</v>
      </c>
      <c r="E68">
        <v>562.05999799999995</v>
      </c>
      <c r="F68">
        <v>562.05999799999995</v>
      </c>
      <c r="G68">
        <v>7307960000</v>
      </c>
    </row>
    <row r="69" spans="1:7" x14ac:dyDescent="0.3">
      <c r="A69" s="1">
        <v>34912</v>
      </c>
      <c r="B69">
        <v>562.05999799999995</v>
      </c>
      <c r="C69">
        <v>565.61999500000002</v>
      </c>
      <c r="D69">
        <v>553.03997800000002</v>
      </c>
      <c r="E69">
        <v>561.88000499999998</v>
      </c>
      <c r="F69">
        <v>561.88000499999998</v>
      </c>
      <c r="G69">
        <v>7146620000</v>
      </c>
    </row>
    <row r="70" spans="1:7" x14ac:dyDescent="0.3">
      <c r="A70" s="1">
        <v>34943</v>
      </c>
      <c r="B70">
        <v>561.88000499999998</v>
      </c>
      <c r="C70">
        <v>587.60998500000005</v>
      </c>
      <c r="D70">
        <v>561.01000999999997</v>
      </c>
      <c r="E70">
        <v>584.40997300000004</v>
      </c>
      <c r="F70">
        <v>584.40997300000004</v>
      </c>
      <c r="G70">
        <v>7052830000</v>
      </c>
    </row>
    <row r="71" spans="1:7" x14ac:dyDescent="0.3">
      <c r="A71" s="1">
        <v>34973</v>
      </c>
      <c r="B71">
        <v>584.40997300000004</v>
      </c>
      <c r="C71">
        <v>590.65997300000004</v>
      </c>
      <c r="D71">
        <v>571.54998799999998</v>
      </c>
      <c r="E71">
        <v>581.5</v>
      </c>
      <c r="F71">
        <v>581.5</v>
      </c>
      <c r="G71">
        <v>8043320000</v>
      </c>
    </row>
    <row r="72" spans="1:7" x14ac:dyDescent="0.3">
      <c r="A72" s="1">
        <v>35004</v>
      </c>
      <c r="B72">
        <v>581.5</v>
      </c>
      <c r="C72">
        <v>608.69000200000005</v>
      </c>
      <c r="D72">
        <v>581.03997800000002</v>
      </c>
      <c r="E72">
        <v>605.36999500000002</v>
      </c>
      <c r="F72">
        <v>605.36999500000002</v>
      </c>
      <c r="G72">
        <v>7602150000</v>
      </c>
    </row>
    <row r="73" spans="1:7" x14ac:dyDescent="0.3">
      <c r="A73" s="1">
        <v>35034</v>
      </c>
      <c r="B73">
        <v>605.36999500000002</v>
      </c>
      <c r="C73">
        <v>622.88000499999998</v>
      </c>
      <c r="D73">
        <v>605.04998799999998</v>
      </c>
      <c r="E73">
        <v>615.92999299999997</v>
      </c>
      <c r="F73">
        <v>615.92999299999997</v>
      </c>
      <c r="G73">
        <v>7697540000</v>
      </c>
    </row>
    <row r="74" spans="1:7" x14ac:dyDescent="0.3">
      <c r="A74" s="1">
        <v>35065</v>
      </c>
      <c r="B74">
        <v>615.92999299999997</v>
      </c>
      <c r="C74">
        <v>636.17999299999997</v>
      </c>
      <c r="D74">
        <v>597.28997800000002</v>
      </c>
      <c r="E74">
        <v>636.02002000000005</v>
      </c>
      <c r="F74">
        <v>636.02002000000005</v>
      </c>
      <c r="G74">
        <v>9188050000</v>
      </c>
    </row>
    <row r="75" spans="1:7" x14ac:dyDescent="0.3">
      <c r="A75" s="1">
        <v>35096</v>
      </c>
      <c r="B75">
        <v>636.02002000000005</v>
      </c>
      <c r="C75">
        <v>664.22997999999995</v>
      </c>
      <c r="D75">
        <v>633.71002199999998</v>
      </c>
      <c r="E75">
        <v>640.42999299999997</v>
      </c>
      <c r="F75">
        <v>640.42999299999997</v>
      </c>
      <c r="G75">
        <v>8749960000</v>
      </c>
    </row>
    <row r="76" spans="1:7" x14ac:dyDescent="0.3">
      <c r="A76" s="1">
        <v>35125</v>
      </c>
      <c r="B76">
        <v>640.42999299999997</v>
      </c>
      <c r="C76">
        <v>656.96997099999999</v>
      </c>
      <c r="D76">
        <v>627.63000499999998</v>
      </c>
      <c r="E76">
        <v>645.5</v>
      </c>
      <c r="F76">
        <v>645.5</v>
      </c>
      <c r="G76">
        <v>8984200000</v>
      </c>
    </row>
    <row r="77" spans="1:7" x14ac:dyDescent="0.3">
      <c r="A77" s="1">
        <v>35156</v>
      </c>
      <c r="B77">
        <v>645.5</v>
      </c>
      <c r="C77">
        <v>656.67999299999997</v>
      </c>
      <c r="D77">
        <v>624.14001499999995</v>
      </c>
      <c r="E77">
        <v>654.169983</v>
      </c>
      <c r="F77">
        <v>654.169983</v>
      </c>
      <c r="G77">
        <v>8875580000</v>
      </c>
    </row>
    <row r="78" spans="1:7" x14ac:dyDescent="0.3">
      <c r="A78" s="1">
        <v>35186</v>
      </c>
      <c r="B78">
        <v>654.169983</v>
      </c>
      <c r="C78">
        <v>681.09997599999997</v>
      </c>
      <c r="D78">
        <v>630.07000700000003</v>
      </c>
      <c r="E78">
        <v>669.11999500000002</v>
      </c>
      <c r="F78">
        <v>669.11999500000002</v>
      </c>
      <c r="G78">
        <v>8921140000</v>
      </c>
    </row>
    <row r="79" spans="1:7" x14ac:dyDescent="0.3">
      <c r="A79" s="1">
        <v>35217</v>
      </c>
      <c r="B79">
        <v>669.11999500000002</v>
      </c>
      <c r="C79">
        <v>680.32000700000003</v>
      </c>
      <c r="D79">
        <v>658.75</v>
      </c>
      <c r="E79">
        <v>670.63000499999998</v>
      </c>
      <c r="F79">
        <v>670.63000499999998</v>
      </c>
      <c r="G79">
        <v>7930840000</v>
      </c>
    </row>
    <row r="80" spans="1:7" x14ac:dyDescent="0.3">
      <c r="A80" s="1">
        <v>35247</v>
      </c>
      <c r="B80">
        <v>670.63000499999998</v>
      </c>
      <c r="C80">
        <v>675.88000499999998</v>
      </c>
      <c r="D80">
        <v>605.88000499999998</v>
      </c>
      <c r="E80">
        <v>639.95001200000002</v>
      </c>
      <c r="F80">
        <v>639.95001200000002</v>
      </c>
      <c r="G80">
        <v>8849860000</v>
      </c>
    </row>
    <row r="81" spans="1:7" x14ac:dyDescent="0.3">
      <c r="A81" s="1">
        <v>35278</v>
      </c>
      <c r="B81">
        <v>639.95001200000002</v>
      </c>
      <c r="C81">
        <v>670.67999299999997</v>
      </c>
      <c r="D81">
        <v>639.48999000000003</v>
      </c>
      <c r="E81">
        <v>651.98999000000003</v>
      </c>
      <c r="F81">
        <v>651.98999000000003</v>
      </c>
      <c r="G81">
        <v>7380320000</v>
      </c>
    </row>
    <row r="82" spans="1:7" x14ac:dyDescent="0.3">
      <c r="A82" s="1">
        <v>35309</v>
      </c>
      <c r="B82">
        <v>651.98999000000003</v>
      </c>
      <c r="C82">
        <v>690.88000499999998</v>
      </c>
      <c r="D82">
        <v>643.96997099999999</v>
      </c>
      <c r="E82">
        <v>687.330017</v>
      </c>
      <c r="F82">
        <v>687.330017</v>
      </c>
      <c r="G82">
        <v>8064070000</v>
      </c>
    </row>
    <row r="83" spans="1:7" x14ac:dyDescent="0.3">
      <c r="A83" s="1">
        <v>35339</v>
      </c>
      <c r="B83">
        <v>687.30999799999995</v>
      </c>
      <c r="C83">
        <v>714.09997599999997</v>
      </c>
      <c r="D83">
        <v>684.44000200000005</v>
      </c>
      <c r="E83">
        <v>705.27002000000005</v>
      </c>
      <c r="F83">
        <v>705.27002000000005</v>
      </c>
      <c r="G83">
        <v>9703670000</v>
      </c>
    </row>
    <row r="84" spans="1:7" x14ac:dyDescent="0.3">
      <c r="A84" s="1">
        <v>35370</v>
      </c>
      <c r="B84">
        <v>705.27002000000005</v>
      </c>
      <c r="C84">
        <v>762.11999500000002</v>
      </c>
      <c r="D84">
        <v>701.29998799999998</v>
      </c>
      <c r="E84">
        <v>757.02002000000005</v>
      </c>
      <c r="F84">
        <v>757.02002000000005</v>
      </c>
      <c r="G84">
        <v>8763850000</v>
      </c>
    </row>
    <row r="85" spans="1:7" x14ac:dyDescent="0.3">
      <c r="A85" s="1">
        <v>35400</v>
      </c>
      <c r="B85">
        <v>757.02002000000005</v>
      </c>
      <c r="C85">
        <v>761.75</v>
      </c>
      <c r="D85">
        <v>716.69000200000005</v>
      </c>
      <c r="E85">
        <v>740.73999000000003</v>
      </c>
      <c r="F85">
        <v>740.73999000000003</v>
      </c>
      <c r="G85">
        <v>9089170000</v>
      </c>
    </row>
    <row r="86" spans="1:7" x14ac:dyDescent="0.3">
      <c r="A86" s="1">
        <v>35431</v>
      </c>
      <c r="B86">
        <v>740.73999000000003</v>
      </c>
      <c r="C86">
        <v>794.669983</v>
      </c>
      <c r="D86">
        <v>729.54998799999998</v>
      </c>
      <c r="E86">
        <v>786.15997300000004</v>
      </c>
      <c r="F86">
        <v>786.15997300000004</v>
      </c>
      <c r="G86">
        <v>11635830000</v>
      </c>
    </row>
    <row r="87" spans="1:7" x14ac:dyDescent="0.3">
      <c r="A87" s="1">
        <v>35462</v>
      </c>
      <c r="B87">
        <v>786.15997300000004</v>
      </c>
      <c r="C87">
        <v>817.67999299999997</v>
      </c>
      <c r="D87">
        <v>773.42999299999997</v>
      </c>
      <c r="E87">
        <v>790.82000700000003</v>
      </c>
      <c r="F87">
        <v>790.82000700000003</v>
      </c>
      <c r="G87">
        <v>9715930000</v>
      </c>
    </row>
    <row r="88" spans="1:7" x14ac:dyDescent="0.3">
      <c r="A88" s="1">
        <v>35490</v>
      </c>
      <c r="B88">
        <v>790.82000700000003</v>
      </c>
      <c r="C88">
        <v>814.90002400000003</v>
      </c>
      <c r="D88">
        <v>756.13000499999998</v>
      </c>
      <c r="E88">
        <v>757.11999500000002</v>
      </c>
      <c r="F88">
        <v>757.11999500000002</v>
      </c>
      <c r="G88">
        <v>10120760000</v>
      </c>
    </row>
    <row r="89" spans="1:7" x14ac:dyDescent="0.3">
      <c r="A89" s="1">
        <v>35521</v>
      </c>
      <c r="B89">
        <v>757.11999500000002</v>
      </c>
      <c r="C89">
        <v>804.13000499999998</v>
      </c>
      <c r="D89">
        <v>733.53997800000002</v>
      </c>
      <c r="E89">
        <v>801.34002699999996</v>
      </c>
      <c r="F89">
        <v>801.34002699999996</v>
      </c>
      <c r="G89">
        <v>10454880000</v>
      </c>
    </row>
    <row r="90" spans="1:7" x14ac:dyDescent="0.3">
      <c r="A90" s="1">
        <v>35551</v>
      </c>
      <c r="B90">
        <v>801.34002699999996</v>
      </c>
      <c r="C90">
        <v>851.86999500000002</v>
      </c>
      <c r="D90">
        <v>793.21002199999998</v>
      </c>
      <c r="E90">
        <v>848.28002900000001</v>
      </c>
      <c r="F90">
        <v>848.28002900000001</v>
      </c>
      <c r="G90">
        <v>10106650000</v>
      </c>
    </row>
    <row r="91" spans="1:7" x14ac:dyDescent="0.3">
      <c r="A91" s="1">
        <v>35582</v>
      </c>
      <c r="B91">
        <v>848.28002900000001</v>
      </c>
      <c r="C91">
        <v>902.09002699999996</v>
      </c>
      <c r="D91">
        <v>838.82000700000003</v>
      </c>
      <c r="E91">
        <v>885.14001499999995</v>
      </c>
      <c r="F91">
        <v>885.14001499999995</v>
      </c>
      <c r="G91">
        <v>10857950000</v>
      </c>
    </row>
    <row r="92" spans="1:7" x14ac:dyDescent="0.3">
      <c r="A92" s="1">
        <v>35612</v>
      </c>
      <c r="B92">
        <v>885.14001499999995</v>
      </c>
      <c r="C92">
        <v>957.72997999999995</v>
      </c>
      <c r="D92">
        <v>884.53997800000002</v>
      </c>
      <c r="E92">
        <v>954.30999799999995</v>
      </c>
      <c r="F92">
        <v>954.30999799999995</v>
      </c>
      <c r="G92">
        <v>11958120000</v>
      </c>
    </row>
    <row r="93" spans="1:7" x14ac:dyDescent="0.3">
      <c r="A93" s="1">
        <v>35643</v>
      </c>
      <c r="B93">
        <v>954.28997800000002</v>
      </c>
      <c r="C93">
        <v>964.169983</v>
      </c>
      <c r="D93">
        <v>893.34002699999996</v>
      </c>
      <c r="E93">
        <v>899.46997099999999</v>
      </c>
      <c r="F93">
        <v>899.46997099999999</v>
      </c>
      <c r="G93">
        <v>10606100000</v>
      </c>
    </row>
    <row r="94" spans="1:7" x14ac:dyDescent="0.3">
      <c r="A94" s="1">
        <v>35674</v>
      </c>
      <c r="B94">
        <v>899.46997099999999</v>
      </c>
      <c r="C94">
        <v>960.59002699999996</v>
      </c>
      <c r="D94">
        <v>899.46997099999999</v>
      </c>
      <c r="E94">
        <v>947.28002900000001</v>
      </c>
      <c r="F94">
        <v>947.28002900000001</v>
      </c>
      <c r="G94">
        <v>11383000000</v>
      </c>
    </row>
    <row r="95" spans="1:7" x14ac:dyDescent="0.3">
      <c r="A95" s="1">
        <v>35704</v>
      </c>
      <c r="B95">
        <v>947.28002900000001</v>
      </c>
      <c r="C95">
        <v>983.11999500000002</v>
      </c>
      <c r="D95">
        <v>855.27002000000005</v>
      </c>
      <c r="E95">
        <v>914.61999500000002</v>
      </c>
      <c r="F95">
        <v>914.61999500000002</v>
      </c>
      <c r="G95">
        <v>14017260000</v>
      </c>
    </row>
    <row r="96" spans="1:7" x14ac:dyDescent="0.3">
      <c r="A96" s="1">
        <v>35735</v>
      </c>
      <c r="B96">
        <v>914.61999500000002</v>
      </c>
      <c r="C96">
        <v>964.54998799999998</v>
      </c>
      <c r="D96">
        <v>900.60998500000005</v>
      </c>
      <c r="E96">
        <v>955.40002400000003</v>
      </c>
      <c r="F96">
        <v>955.40002400000003</v>
      </c>
      <c r="G96">
        <v>10173620000</v>
      </c>
    </row>
    <row r="97" spans="1:7" x14ac:dyDescent="0.3">
      <c r="A97" s="1">
        <v>35765</v>
      </c>
      <c r="B97">
        <v>955.40002400000003</v>
      </c>
      <c r="C97">
        <v>986.25</v>
      </c>
      <c r="D97">
        <v>924.919983</v>
      </c>
      <c r="E97">
        <v>970.42999299999997</v>
      </c>
      <c r="F97">
        <v>970.42999299999997</v>
      </c>
      <c r="G97">
        <v>11958880000</v>
      </c>
    </row>
    <row r="98" spans="1:7" x14ac:dyDescent="0.3">
      <c r="A98" s="1">
        <v>35796</v>
      </c>
      <c r="B98">
        <v>970.42999299999997</v>
      </c>
      <c r="C98">
        <v>992.65002400000003</v>
      </c>
      <c r="D98">
        <v>912.830017</v>
      </c>
      <c r="E98">
        <v>980.28002900000001</v>
      </c>
      <c r="F98">
        <v>980.28002900000001</v>
      </c>
      <c r="G98">
        <v>12733830000</v>
      </c>
    </row>
    <row r="99" spans="1:7" x14ac:dyDescent="0.3">
      <c r="A99" s="1">
        <v>35827</v>
      </c>
      <c r="B99">
        <v>980.28002900000001</v>
      </c>
      <c r="C99">
        <v>1051.660034</v>
      </c>
      <c r="D99">
        <v>980.28002900000001</v>
      </c>
      <c r="E99">
        <v>1049.339966</v>
      </c>
      <c r="F99">
        <v>1049.339966</v>
      </c>
      <c r="G99">
        <v>11656550000</v>
      </c>
    </row>
    <row r="100" spans="1:7" x14ac:dyDescent="0.3">
      <c r="A100" s="1">
        <v>35855</v>
      </c>
      <c r="B100">
        <v>1049.339966</v>
      </c>
      <c r="C100">
        <v>1113.0699460000001</v>
      </c>
      <c r="D100">
        <v>1030.869995</v>
      </c>
      <c r="E100">
        <v>1101.75</v>
      </c>
      <c r="F100">
        <v>1101.75</v>
      </c>
      <c r="G100">
        <v>13719590000</v>
      </c>
    </row>
    <row r="101" spans="1:7" x14ac:dyDescent="0.3">
      <c r="A101" s="1">
        <v>35886</v>
      </c>
      <c r="B101">
        <v>1101.75</v>
      </c>
      <c r="C101">
        <v>1132.9799800000001</v>
      </c>
      <c r="D101">
        <v>1076.6999510000001</v>
      </c>
      <c r="E101">
        <v>1111.75</v>
      </c>
      <c r="F101">
        <v>1111.75</v>
      </c>
      <c r="G101">
        <v>13656060000</v>
      </c>
    </row>
    <row r="102" spans="1:7" x14ac:dyDescent="0.3">
      <c r="A102" s="1">
        <v>35916</v>
      </c>
      <c r="B102">
        <v>1111.75</v>
      </c>
      <c r="C102">
        <v>1130.5200199999999</v>
      </c>
      <c r="D102">
        <v>1074.3900149999999</v>
      </c>
      <c r="E102">
        <v>1090.8199460000001</v>
      </c>
      <c r="F102">
        <v>1090.8199460000001</v>
      </c>
      <c r="G102">
        <v>11477140000</v>
      </c>
    </row>
    <row r="103" spans="1:7" x14ac:dyDescent="0.3">
      <c r="A103" s="1">
        <v>35947</v>
      </c>
      <c r="B103">
        <v>1090.8199460000001</v>
      </c>
      <c r="C103">
        <v>1145.150024</v>
      </c>
      <c r="D103">
        <v>1074.670044</v>
      </c>
      <c r="E103">
        <v>1133.839966</v>
      </c>
      <c r="F103">
        <v>1133.839966</v>
      </c>
      <c r="G103">
        <v>13551970000</v>
      </c>
    </row>
    <row r="104" spans="1:7" x14ac:dyDescent="0.3">
      <c r="A104" s="1">
        <v>35977</v>
      </c>
      <c r="B104">
        <v>1133.839966</v>
      </c>
      <c r="C104">
        <v>1190.579956</v>
      </c>
      <c r="D104">
        <v>1114.3000489999999</v>
      </c>
      <c r="E104">
        <v>1120.670044</v>
      </c>
      <c r="F104">
        <v>1120.670044</v>
      </c>
      <c r="G104">
        <v>14194800000</v>
      </c>
    </row>
    <row r="105" spans="1:7" x14ac:dyDescent="0.3">
      <c r="A105" s="1">
        <v>36008</v>
      </c>
      <c r="B105">
        <v>1120.670044</v>
      </c>
      <c r="C105">
        <v>1121.790039</v>
      </c>
      <c r="D105">
        <v>957.28002900000001</v>
      </c>
      <c r="E105">
        <v>957.28002900000001</v>
      </c>
      <c r="F105">
        <v>957.28002900000001</v>
      </c>
      <c r="G105">
        <v>15071550000</v>
      </c>
    </row>
    <row r="106" spans="1:7" x14ac:dyDescent="0.3">
      <c r="A106" s="1">
        <v>36039</v>
      </c>
      <c r="B106">
        <v>957.28002900000001</v>
      </c>
      <c r="C106">
        <v>1066.1099850000001</v>
      </c>
      <c r="D106">
        <v>939.97997999999995</v>
      </c>
      <c r="E106">
        <v>1017.01001</v>
      </c>
      <c r="F106">
        <v>1017.01001</v>
      </c>
      <c r="G106">
        <v>16714080000</v>
      </c>
    </row>
    <row r="107" spans="1:7" x14ac:dyDescent="0.3">
      <c r="A107" s="1">
        <v>36069</v>
      </c>
      <c r="B107">
        <v>1017.01001</v>
      </c>
      <c r="C107">
        <v>1103.780029</v>
      </c>
      <c r="D107">
        <v>923.32000700000003</v>
      </c>
      <c r="E107">
        <v>1098.670044</v>
      </c>
      <c r="F107">
        <v>1098.670044</v>
      </c>
      <c r="G107">
        <v>18001650000</v>
      </c>
    </row>
    <row r="108" spans="1:7" x14ac:dyDescent="0.3">
      <c r="A108" s="1">
        <v>36100</v>
      </c>
      <c r="B108">
        <v>1098.670044</v>
      </c>
      <c r="C108">
        <v>1192.969971</v>
      </c>
      <c r="D108">
        <v>1098.670044</v>
      </c>
      <c r="E108">
        <v>1163.630005</v>
      </c>
      <c r="F108">
        <v>1163.630005</v>
      </c>
      <c r="G108">
        <v>13451280000</v>
      </c>
    </row>
    <row r="109" spans="1:7" x14ac:dyDescent="0.3">
      <c r="A109" s="1">
        <v>36130</v>
      </c>
      <c r="B109">
        <v>1163.630005</v>
      </c>
      <c r="C109">
        <v>1244.9300539999999</v>
      </c>
      <c r="D109">
        <v>1136.8900149999999</v>
      </c>
      <c r="E109">
        <v>1229.2299800000001</v>
      </c>
      <c r="F109">
        <v>1229.2299800000001</v>
      </c>
      <c r="G109">
        <v>15181450000</v>
      </c>
    </row>
    <row r="110" spans="1:7" x14ac:dyDescent="0.3">
      <c r="A110" s="1">
        <v>36161</v>
      </c>
      <c r="B110">
        <v>1229.2299800000001</v>
      </c>
      <c r="C110">
        <v>1280.369995</v>
      </c>
      <c r="D110">
        <v>1205.459961</v>
      </c>
      <c r="E110">
        <v>1279.6400149999999</v>
      </c>
      <c r="F110">
        <v>1279.6400149999999</v>
      </c>
      <c r="G110">
        <v>16213500000</v>
      </c>
    </row>
    <row r="111" spans="1:7" x14ac:dyDescent="0.3">
      <c r="A111" s="1">
        <v>36192</v>
      </c>
      <c r="B111">
        <v>1279.6400149999999</v>
      </c>
      <c r="C111">
        <v>1283.839966</v>
      </c>
      <c r="D111">
        <v>1211.8900149999999</v>
      </c>
      <c r="E111">
        <v>1238.329956</v>
      </c>
      <c r="F111">
        <v>1238.329956</v>
      </c>
      <c r="G111">
        <v>14555860000</v>
      </c>
    </row>
    <row r="112" spans="1:7" x14ac:dyDescent="0.3">
      <c r="A112" s="1">
        <v>36220</v>
      </c>
      <c r="B112">
        <v>1238.329956</v>
      </c>
      <c r="C112">
        <v>1323.8199460000001</v>
      </c>
      <c r="D112">
        <v>1216.030029</v>
      </c>
      <c r="E112">
        <v>1286.369995</v>
      </c>
      <c r="F112">
        <v>1286.369995</v>
      </c>
      <c r="G112">
        <v>18002500000</v>
      </c>
    </row>
    <row r="113" spans="1:7" x14ac:dyDescent="0.3">
      <c r="A113" s="1">
        <v>36251</v>
      </c>
      <c r="B113">
        <v>1286.369995</v>
      </c>
      <c r="C113">
        <v>1371.5600589999999</v>
      </c>
      <c r="D113">
        <v>1282.5600589999999</v>
      </c>
      <c r="E113">
        <v>1335.1800539999999</v>
      </c>
      <c r="F113">
        <v>1335.1800539999999</v>
      </c>
      <c r="G113">
        <v>18523200000</v>
      </c>
    </row>
    <row r="114" spans="1:7" x14ac:dyDescent="0.3">
      <c r="A114" s="1">
        <v>36281</v>
      </c>
      <c r="B114">
        <v>1335.1800539999999</v>
      </c>
      <c r="C114">
        <v>1375.9799800000001</v>
      </c>
      <c r="D114">
        <v>1277.3100589999999</v>
      </c>
      <c r="E114">
        <v>1301.839966</v>
      </c>
      <c r="F114">
        <v>1301.839966</v>
      </c>
      <c r="G114">
        <v>15880260000</v>
      </c>
    </row>
    <row r="115" spans="1:7" x14ac:dyDescent="0.3">
      <c r="A115" s="1">
        <v>36312</v>
      </c>
      <c r="B115">
        <v>1301.839966</v>
      </c>
      <c r="C115">
        <v>1372.9300539999999</v>
      </c>
      <c r="D115">
        <v>1277.469971</v>
      </c>
      <c r="E115">
        <v>1372.709961</v>
      </c>
      <c r="F115">
        <v>1372.709961</v>
      </c>
      <c r="G115">
        <v>16079170000</v>
      </c>
    </row>
    <row r="116" spans="1:7" x14ac:dyDescent="0.3">
      <c r="A116" s="1">
        <v>36342</v>
      </c>
      <c r="B116">
        <v>1372.709961</v>
      </c>
      <c r="C116">
        <v>1420.329956</v>
      </c>
      <c r="D116">
        <v>1328.48999</v>
      </c>
      <c r="E116">
        <v>1328.719971</v>
      </c>
      <c r="F116">
        <v>1328.719971</v>
      </c>
      <c r="G116">
        <v>15332930000</v>
      </c>
    </row>
    <row r="117" spans="1:7" x14ac:dyDescent="0.3">
      <c r="A117" s="1">
        <v>36373</v>
      </c>
      <c r="B117">
        <v>1328.719971</v>
      </c>
      <c r="C117">
        <v>1382.839966</v>
      </c>
      <c r="D117">
        <v>1267.7299800000001</v>
      </c>
      <c r="E117">
        <v>1320.410034</v>
      </c>
      <c r="F117">
        <v>1320.410034</v>
      </c>
      <c r="G117">
        <v>15818550000</v>
      </c>
    </row>
    <row r="118" spans="1:7" x14ac:dyDescent="0.3">
      <c r="A118" s="1">
        <v>36404</v>
      </c>
      <c r="B118">
        <v>1320.410034</v>
      </c>
      <c r="C118">
        <v>1361.3900149999999</v>
      </c>
      <c r="D118">
        <v>1256.26001</v>
      </c>
      <c r="E118">
        <v>1282.709961</v>
      </c>
      <c r="F118">
        <v>1282.709961</v>
      </c>
      <c r="G118">
        <v>16438700000</v>
      </c>
    </row>
    <row r="119" spans="1:7" x14ac:dyDescent="0.3">
      <c r="A119" s="1">
        <v>36434</v>
      </c>
      <c r="B119">
        <v>1282.709961</v>
      </c>
      <c r="C119">
        <v>1373.170044</v>
      </c>
      <c r="D119">
        <v>1233.6999510000001</v>
      </c>
      <c r="E119">
        <v>1362.9300539999999</v>
      </c>
      <c r="F119">
        <v>1362.9300539999999</v>
      </c>
      <c r="G119">
        <v>18832000000</v>
      </c>
    </row>
    <row r="120" spans="1:7" x14ac:dyDescent="0.3">
      <c r="A120" s="1">
        <v>36465</v>
      </c>
      <c r="B120">
        <v>1362.9300539999999</v>
      </c>
      <c r="C120">
        <v>1425.3100589999999</v>
      </c>
      <c r="D120">
        <v>1346.410034</v>
      </c>
      <c r="E120">
        <v>1388.910034</v>
      </c>
      <c r="F120">
        <v>1388.910034</v>
      </c>
      <c r="G120">
        <v>18384820000</v>
      </c>
    </row>
    <row r="121" spans="1:7" x14ac:dyDescent="0.3">
      <c r="A121" s="1">
        <v>36495</v>
      </c>
      <c r="B121">
        <v>1388.910034</v>
      </c>
      <c r="C121">
        <v>1473.099976</v>
      </c>
      <c r="D121">
        <v>1387.380005</v>
      </c>
      <c r="E121">
        <v>1469.25</v>
      </c>
      <c r="F121">
        <v>1469.25</v>
      </c>
      <c r="G121">
        <v>19640690000</v>
      </c>
    </row>
    <row r="122" spans="1:7" x14ac:dyDescent="0.3">
      <c r="A122" s="1">
        <v>36526</v>
      </c>
      <c r="B122">
        <v>1469.25</v>
      </c>
      <c r="C122">
        <v>1478</v>
      </c>
      <c r="D122">
        <v>1350.1400149999999</v>
      </c>
      <c r="E122">
        <v>1394.459961</v>
      </c>
      <c r="F122">
        <v>1394.459961</v>
      </c>
      <c r="G122">
        <v>21494400000</v>
      </c>
    </row>
    <row r="123" spans="1:7" x14ac:dyDescent="0.3">
      <c r="A123" s="1">
        <v>36557</v>
      </c>
      <c r="B123">
        <v>1394.459961</v>
      </c>
      <c r="C123">
        <v>1444.5500489999999</v>
      </c>
      <c r="D123">
        <v>1325.0699460000001</v>
      </c>
      <c r="E123">
        <v>1366.420044</v>
      </c>
      <c r="F123">
        <v>1366.420044</v>
      </c>
      <c r="G123">
        <v>20912000000</v>
      </c>
    </row>
    <row r="124" spans="1:7" x14ac:dyDescent="0.3">
      <c r="A124" s="1">
        <v>36586</v>
      </c>
      <c r="B124">
        <v>1366.420044</v>
      </c>
      <c r="C124">
        <v>1552.869995</v>
      </c>
      <c r="D124">
        <v>1346.619995</v>
      </c>
      <c r="E124">
        <v>1498.579956</v>
      </c>
      <c r="F124">
        <v>1498.579956</v>
      </c>
      <c r="G124">
        <v>26156200000</v>
      </c>
    </row>
    <row r="125" spans="1:7" x14ac:dyDescent="0.3">
      <c r="A125" s="1">
        <v>36617</v>
      </c>
      <c r="B125">
        <v>1498.579956</v>
      </c>
      <c r="C125">
        <v>1527.1899410000001</v>
      </c>
      <c r="D125">
        <v>1339.400024</v>
      </c>
      <c r="E125">
        <v>1452.4300539999999</v>
      </c>
      <c r="F125">
        <v>1452.4300539999999</v>
      </c>
      <c r="G125">
        <v>20106460000</v>
      </c>
    </row>
    <row r="126" spans="1:7" x14ac:dyDescent="0.3">
      <c r="A126" s="1">
        <v>36647</v>
      </c>
      <c r="B126">
        <v>1452.4300539999999</v>
      </c>
      <c r="C126">
        <v>1481.51001</v>
      </c>
      <c r="D126">
        <v>1361.089966</v>
      </c>
      <c r="E126">
        <v>1420.599976</v>
      </c>
      <c r="F126">
        <v>1420.599976</v>
      </c>
      <c r="G126">
        <v>19898300000</v>
      </c>
    </row>
    <row r="127" spans="1:7" x14ac:dyDescent="0.3">
      <c r="A127" s="1">
        <v>36678</v>
      </c>
      <c r="B127">
        <v>1420.599976</v>
      </c>
      <c r="C127">
        <v>1488.9300539999999</v>
      </c>
      <c r="D127">
        <v>1420.599976</v>
      </c>
      <c r="E127">
        <v>1454.599976</v>
      </c>
      <c r="F127">
        <v>1454.599976</v>
      </c>
      <c r="G127">
        <v>21738300000</v>
      </c>
    </row>
    <row r="128" spans="1:7" x14ac:dyDescent="0.3">
      <c r="A128" s="1">
        <v>36708</v>
      </c>
      <c r="B128">
        <v>1454.599976</v>
      </c>
      <c r="C128">
        <v>1517.3199460000001</v>
      </c>
      <c r="D128">
        <v>1413.8900149999999</v>
      </c>
      <c r="E128">
        <v>1430.829956</v>
      </c>
      <c r="F128">
        <v>1430.829956</v>
      </c>
      <c r="G128">
        <v>19089100000</v>
      </c>
    </row>
    <row r="129" spans="1:7" x14ac:dyDescent="0.3">
      <c r="A129" s="1">
        <v>36739</v>
      </c>
      <c r="B129">
        <v>1430.829956</v>
      </c>
      <c r="C129">
        <v>1525.209961</v>
      </c>
      <c r="D129">
        <v>1425.4300539999999</v>
      </c>
      <c r="E129">
        <v>1517.6800539999999</v>
      </c>
      <c r="F129">
        <v>1517.6800539999999</v>
      </c>
      <c r="G129">
        <v>20363700000</v>
      </c>
    </row>
    <row r="130" spans="1:7" x14ac:dyDescent="0.3">
      <c r="A130" s="1">
        <v>36770</v>
      </c>
      <c r="B130">
        <v>1517.6800539999999</v>
      </c>
      <c r="C130">
        <v>1530.089966</v>
      </c>
      <c r="D130">
        <v>1419.4399410000001</v>
      </c>
      <c r="E130">
        <v>1436.51001</v>
      </c>
      <c r="F130">
        <v>1436.51001</v>
      </c>
      <c r="G130">
        <v>20838300000</v>
      </c>
    </row>
    <row r="131" spans="1:7" x14ac:dyDescent="0.3">
      <c r="A131" s="1">
        <v>36800</v>
      </c>
      <c r="B131">
        <v>1436.5200199999999</v>
      </c>
      <c r="C131">
        <v>1454.8199460000001</v>
      </c>
      <c r="D131">
        <v>1305.790039</v>
      </c>
      <c r="E131">
        <v>1429.400024</v>
      </c>
      <c r="F131">
        <v>1429.400024</v>
      </c>
      <c r="G131">
        <v>25951400000</v>
      </c>
    </row>
    <row r="132" spans="1:7" x14ac:dyDescent="0.3">
      <c r="A132" s="1">
        <v>36831</v>
      </c>
      <c r="B132">
        <v>1429.400024</v>
      </c>
      <c r="C132">
        <v>1438.459961</v>
      </c>
      <c r="D132">
        <v>1294.900024</v>
      </c>
      <c r="E132">
        <v>1314.9499510000001</v>
      </c>
      <c r="F132">
        <v>1314.9499510000001</v>
      </c>
      <c r="G132">
        <v>20532300000</v>
      </c>
    </row>
    <row r="133" spans="1:7" x14ac:dyDescent="0.3">
      <c r="A133" s="1">
        <v>36861</v>
      </c>
      <c r="B133">
        <v>1314.9499510000001</v>
      </c>
      <c r="C133">
        <v>1389.0500489999999</v>
      </c>
      <c r="D133">
        <v>1254.0699460000001</v>
      </c>
      <c r="E133">
        <v>1320.280029</v>
      </c>
      <c r="F133">
        <v>1320.280029</v>
      </c>
      <c r="G133">
        <v>23610800000</v>
      </c>
    </row>
    <row r="134" spans="1:7" x14ac:dyDescent="0.3">
      <c r="A134" s="1">
        <v>36892</v>
      </c>
      <c r="B134">
        <v>1320.280029</v>
      </c>
      <c r="C134">
        <v>1383.369995</v>
      </c>
      <c r="D134">
        <v>1274.619995</v>
      </c>
      <c r="E134">
        <v>1366.01001</v>
      </c>
      <c r="F134">
        <v>1366.01001</v>
      </c>
      <c r="G134">
        <v>27829800000</v>
      </c>
    </row>
    <row r="135" spans="1:7" x14ac:dyDescent="0.3">
      <c r="A135" s="1">
        <v>36923</v>
      </c>
      <c r="B135">
        <v>1366.01001</v>
      </c>
      <c r="C135">
        <v>1376.380005</v>
      </c>
      <c r="D135">
        <v>1215.4399410000001</v>
      </c>
      <c r="E135">
        <v>1239.9399410000001</v>
      </c>
      <c r="F135">
        <v>1239.9399410000001</v>
      </c>
      <c r="G135">
        <v>21644400000</v>
      </c>
    </row>
    <row r="136" spans="1:7" x14ac:dyDescent="0.3">
      <c r="A136" s="1">
        <v>36951</v>
      </c>
      <c r="B136">
        <v>1239.9399410000001</v>
      </c>
      <c r="C136">
        <v>1267.420044</v>
      </c>
      <c r="D136">
        <v>1081.1899410000001</v>
      </c>
      <c r="E136">
        <v>1160.329956</v>
      </c>
      <c r="F136">
        <v>1160.329956</v>
      </c>
      <c r="G136">
        <v>27806610000</v>
      </c>
    </row>
    <row r="137" spans="1:7" x14ac:dyDescent="0.3">
      <c r="A137" s="1">
        <v>36982</v>
      </c>
      <c r="B137">
        <v>1160.329956</v>
      </c>
      <c r="C137">
        <v>1269.3000489999999</v>
      </c>
      <c r="D137">
        <v>1091.98999</v>
      </c>
      <c r="E137">
        <v>1249.459961</v>
      </c>
      <c r="F137">
        <v>1249.459961</v>
      </c>
      <c r="G137">
        <v>25409990000</v>
      </c>
    </row>
    <row r="138" spans="1:7" x14ac:dyDescent="0.3">
      <c r="A138" s="1">
        <v>37012</v>
      </c>
      <c r="B138">
        <v>1249.459961</v>
      </c>
      <c r="C138">
        <v>1315.9300539999999</v>
      </c>
      <c r="D138">
        <v>1232</v>
      </c>
      <c r="E138">
        <v>1255.8199460000001</v>
      </c>
      <c r="F138">
        <v>1255.8199460000001</v>
      </c>
      <c r="G138">
        <v>24525900000</v>
      </c>
    </row>
    <row r="139" spans="1:7" x14ac:dyDescent="0.3">
      <c r="A139" s="1">
        <v>37043</v>
      </c>
      <c r="B139">
        <v>1255.8199460000001</v>
      </c>
      <c r="C139">
        <v>1286.619995</v>
      </c>
      <c r="D139">
        <v>1203.030029</v>
      </c>
      <c r="E139">
        <v>1224.380005</v>
      </c>
      <c r="F139">
        <v>1224.380005</v>
      </c>
      <c r="G139">
        <v>24748030000</v>
      </c>
    </row>
    <row r="140" spans="1:7" x14ac:dyDescent="0.3">
      <c r="A140" s="1">
        <v>37073</v>
      </c>
      <c r="B140">
        <v>1224.420044</v>
      </c>
      <c r="C140">
        <v>1239.780029</v>
      </c>
      <c r="D140">
        <v>1165.540039</v>
      </c>
      <c r="E140">
        <v>1211.2299800000001</v>
      </c>
      <c r="F140">
        <v>1211.2299800000001</v>
      </c>
      <c r="G140">
        <v>23793710000</v>
      </c>
    </row>
    <row r="141" spans="1:7" x14ac:dyDescent="0.3">
      <c r="A141" s="1">
        <v>37104</v>
      </c>
      <c r="B141">
        <v>1211.2299800000001</v>
      </c>
      <c r="C141">
        <v>1226.2700199999999</v>
      </c>
      <c r="D141">
        <v>1124.869995</v>
      </c>
      <c r="E141">
        <v>1133.579956</v>
      </c>
      <c r="F141">
        <v>1133.579956</v>
      </c>
      <c r="G141">
        <v>23359200000</v>
      </c>
    </row>
    <row r="142" spans="1:7" x14ac:dyDescent="0.3">
      <c r="A142" s="1">
        <v>37135</v>
      </c>
      <c r="B142">
        <v>1133.579956</v>
      </c>
      <c r="C142">
        <v>1155.400024</v>
      </c>
      <c r="D142">
        <v>944.75</v>
      </c>
      <c r="E142">
        <v>1040.9399410000001</v>
      </c>
      <c r="F142">
        <v>1040.9399410000001</v>
      </c>
      <c r="G142">
        <v>25025290000</v>
      </c>
    </row>
    <row r="143" spans="1:7" x14ac:dyDescent="0.3">
      <c r="A143" s="1">
        <v>37165</v>
      </c>
      <c r="B143">
        <v>1040.9399410000001</v>
      </c>
      <c r="C143">
        <v>1110.6099850000001</v>
      </c>
      <c r="D143">
        <v>1026.76001</v>
      </c>
      <c r="E143">
        <v>1059.780029</v>
      </c>
      <c r="F143">
        <v>1059.780029</v>
      </c>
      <c r="G143">
        <v>29951280000</v>
      </c>
    </row>
    <row r="144" spans="1:7" x14ac:dyDescent="0.3">
      <c r="A144" s="1">
        <v>37196</v>
      </c>
      <c r="B144">
        <v>1059.780029</v>
      </c>
      <c r="C144">
        <v>1163.380005</v>
      </c>
      <c r="D144">
        <v>1054.3100589999999</v>
      </c>
      <c r="E144">
        <v>1139.4499510000001</v>
      </c>
      <c r="F144">
        <v>1139.4499510000001</v>
      </c>
      <c r="G144">
        <v>26330000000</v>
      </c>
    </row>
    <row r="145" spans="1:7" x14ac:dyDescent="0.3">
      <c r="A145" s="1">
        <v>37226</v>
      </c>
      <c r="B145">
        <v>1139.4499510000001</v>
      </c>
      <c r="C145">
        <v>1173.619995</v>
      </c>
      <c r="D145">
        <v>1114.530029</v>
      </c>
      <c r="E145">
        <v>1148.079956</v>
      </c>
      <c r="F145">
        <v>1148.079956</v>
      </c>
      <c r="G145">
        <v>25128570000</v>
      </c>
    </row>
    <row r="146" spans="1:7" x14ac:dyDescent="0.3">
      <c r="A146" s="1">
        <v>37257</v>
      </c>
      <c r="B146">
        <v>1148.079956</v>
      </c>
      <c r="C146">
        <v>1176.969971</v>
      </c>
      <c r="D146">
        <v>1081.660034</v>
      </c>
      <c r="E146">
        <v>1130.1999510000001</v>
      </c>
      <c r="F146">
        <v>1130.1999510000001</v>
      </c>
      <c r="G146">
        <v>29746200000</v>
      </c>
    </row>
    <row r="147" spans="1:7" x14ac:dyDescent="0.3">
      <c r="A147" s="1">
        <v>37288</v>
      </c>
      <c r="B147">
        <v>1130.1999510000001</v>
      </c>
      <c r="C147">
        <v>1130.1999510000001</v>
      </c>
      <c r="D147">
        <v>1074.3599850000001</v>
      </c>
      <c r="E147">
        <v>1106.7299800000001</v>
      </c>
      <c r="F147">
        <v>1106.7299800000001</v>
      </c>
      <c r="G147">
        <v>26047600000</v>
      </c>
    </row>
    <row r="148" spans="1:7" x14ac:dyDescent="0.3">
      <c r="A148" s="1">
        <v>37316</v>
      </c>
      <c r="B148">
        <v>1106.7299800000001</v>
      </c>
      <c r="C148">
        <v>1173.9399410000001</v>
      </c>
      <c r="D148">
        <v>1106.7299800000001</v>
      </c>
      <c r="E148">
        <v>1147.3900149999999</v>
      </c>
      <c r="F148">
        <v>1147.3900149999999</v>
      </c>
      <c r="G148">
        <v>26563200000</v>
      </c>
    </row>
    <row r="149" spans="1:7" x14ac:dyDescent="0.3">
      <c r="A149" s="1">
        <v>37347</v>
      </c>
      <c r="B149">
        <v>1147.3900149999999</v>
      </c>
      <c r="C149">
        <v>1147.839966</v>
      </c>
      <c r="D149">
        <v>1063.459961</v>
      </c>
      <c r="E149">
        <v>1076.920044</v>
      </c>
      <c r="F149">
        <v>1076.920044</v>
      </c>
      <c r="G149">
        <v>28568900000</v>
      </c>
    </row>
    <row r="150" spans="1:7" x14ac:dyDescent="0.3">
      <c r="A150" s="1">
        <v>37377</v>
      </c>
      <c r="B150">
        <v>1076.920044</v>
      </c>
      <c r="C150">
        <v>1106.589966</v>
      </c>
      <c r="D150">
        <v>1048.959961</v>
      </c>
      <c r="E150">
        <v>1067.1400149999999</v>
      </c>
      <c r="F150">
        <v>1067.1400149999999</v>
      </c>
      <c r="G150">
        <v>26905500000</v>
      </c>
    </row>
    <row r="151" spans="1:7" x14ac:dyDescent="0.3">
      <c r="A151" s="1">
        <v>37408</v>
      </c>
      <c r="B151">
        <v>1067.1400149999999</v>
      </c>
      <c r="C151">
        <v>1070.73999</v>
      </c>
      <c r="D151">
        <v>952.919983</v>
      </c>
      <c r="E151">
        <v>989.82000700000003</v>
      </c>
      <c r="F151">
        <v>989.82000700000003</v>
      </c>
      <c r="G151">
        <v>29981510000</v>
      </c>
    </row>
    <row r="152" spans="1:7" x14ac:dyDescent="0.3">
      <c r="A152" s="1">
        <v>37438</v>
      </c>
      <c r="B152">
        <v>989.82000700000003</v>
      </c>
      <c r="C152">
        <v>994.46002199999998</v>
      </c>
      <c r="D152">
        <v>775.67999299999997</v>
      </c>
      <c r="E152">
        <v>911.61999500000002</v>
      </c>
      <c r="F152">
        <v>911.61999500000002</v>
      </c>
      <c r="G152">
        <v>42228720000</v>
      </c>
    </row>
    <row r="153" spans="1:7" x14ac:dyDescent="0.3">
      <c r="A153" s="1">
        <v>37469</v>
      </c>
      <c r="B153">
        <v>911.61999500000002</v>
      </c>
      <c r="C153">
        <v>965</v>
      </c>
      <c r="D153">
        <v>833.44000200000005</v>
      </c>
      <c r="E153">
        <v>916.07000700000003</v>
      </c>
      <c r="F153">
        <v>916.07000700000003</v>
      </c>
      <c r="G153">
        <v>29298400000</v>
      </c>
    </row>
    <row r="154" spans="1:7" x14ac:dyDescent="0.3">
      <c r="A154" s="1">
        <v>37500</v>
      </c>
      <c r="B154">
        <v>916.07000700000003</v>
      </c>
      <c r="C154">
        <v>924.02002000000005</v>
      </c>
      <c r="D154">
        <v>800.20001200000002</v>
      </c>
      <c r="E154">
        <v>815.28002900000001</v>
      </c>
      <c r="F154">
        <v>815.28002900000001</v>
      </c>
      <c r="G154">
        <v>27723710000</v>
      </c>
    </row>
    <row r="155" spans="1:7" x14ac:dyDescent="0.3">
      <c r="A155" s="1">
        <v>37530</v>
      </c>
      <c r="B155">
        <v>815.28002900000001</v>
      </c>
      <c r="C155">
        <v>907.44000200000005</v>
      </c>
      <c r="D155">
        <v>768.63000499999998</v>
      </c>
      <c r="E155">
        <v>885.76000999999997</v>
      </c>
      <c r="F155">
        <v>885.76000999999997</v>
      </c>
      <c r="G155">
        <v>37856310000</v>
      </c>
    </row>
    <row r="156" spans="1:7" x14ac:dyDescent="0.3">
      <c r="A156" s="1">
        <v>37561</v>
      </c>
      <c r="B156">
        <v>885.76000999999997</v>
      </c>
      <c r="C156">
        <v>941.82000700000003</v>
      </c>
      <c r="D156">
        <v>872.04998799999998</v>
      </c>
      <c r="E156">
        <v>936.30999799999995</v>
      </c>
      <c r="F156">
        <v>936.30999799999995</v>
      </c>
      <c r="G156">
        <v>29200960000</v>
      </c>
    </row>
    <row r="157" spans="1:7" x14ac:dyDescent="0.3">
      <c r="A157" s="1">
        <v>37591</v>
      </c>
      <c r="B157">
        <v>936.30999799999995</v>
      </c>
      <c r="C157">
        <v>954.28002900000001</v>
      </c>
      <c r="D157">
        <v>869.45001200000002</v>
      </c>
      <c r="E157">
        <v>879.82000700000003</v>
      </c>
      <c r="F157">
        <v>879.82000700000003</v>
      </c>
      <c r="G157">
        <v>25993640000</v>
      </c>
    </row>
    <row r="158" spans="1:7" x14ac:dyDescent="0.3">
      <c r="A158" s="1">
        <v>37622</v>
      </c>
      <c r="B158">
        <v>879.82000700000003</v>
      </c>
      <c r="C158">
        <v>935.04998799999998</v>
      </c>
      <c r="D158">
        <v>840.34002699999996</v>
      </c>
      <c r="E158">
        <v>855.70001200000002</v>
      </c>
      <c r="F158">
        <v>855.70001200000002</v>
      </c>
      <c r="G158">
        <v>30749580000</v>
      </c>
    </row>
    <row r="159" spans="1:7" x14ac:dyDescent="0.3">
      <c r="A159" s="1">
        <v>37653</v>
      </c>
      <c r="B159">
        <v>855.70001200000002</v>
      </c>
      <c r="C159">
        <v>864.64001499999995</v>
      </c>
      <c r="D159">
        <v>806.28997800000002</v>
      </c>
      <c r="E159">
        <v>841.15002400000003</v>
      </c>
      <c r="F159">
        <v>841.15002400000003</v>
      </c>
      <c r="G159">
        <v>25235300000</v>
      </c>
    </row>
    <row r="160" spans="1:7" x14ac:dyDescent="0.3">
      <c r="A160" s="1">
        <v>37681</v>
      </c>
      <c r="B160">
        <v>841.15002400000003</v>
      </c>
      <c r="C160">
        <v>895.90002400000003</v>
      </c>
      <c r="D160">
        <v>788.90002400000003</v>
      </c>
      <c r="E160">
        <v>848.17999299999997</v>
      </c>
      <c r="F160">
        <v>848.17999299999997</v>
      </c>
      <c r="G160">
        <v>30080030000</v>
      </c>
    </row>
    <row r="161" spans="1:7" x14ac:dyDescent="0.3">
      <c r="A161" s="1">
        <v>37712</v>
      </c>
      <c r="B161">
        <v>848.17999299999997</v>
      </c>
      <c r="C161">
        <v>924.23999000000003</v>
      </c>
      <c r="D161">
        <v>847.84997599999997</v>
      </c>
      <c r="E161">
        <v>916.919983</v>
      </c>
      <c r="F161">
        <v>916.919983</v>
      </c>
      <c r="G161">
        <v>29669610000</v>
      </c>
    </row>
    <row r="162" spans="1:7" x14ac:dyDescent="0.3">
      <c r="A162" s="1">
        <v>37742</v>
      </c>
      <c r="B162">
        <v>916.919983</v>
      </c>
      <c r="C162">
        <v>965.38000499999998</v>
      </c>
      <c r="D162">
        <v>902.830017</v>
      </c>
      <c r="E162">
        <v>963.59002699999996</v>
      </c>
      <c r="F162">
        <v>963.59002699999996</v>
      </c>
      <c r="G162">
        <v>30952100000</v>
      </c>
    </row>
    <row r="163" spans="1:7" x14ac:dyDescent="0.3">
      <c r="A163" s="1">
        <v>37773</v>
      </c>
      <c r="B163">
        <v>963.59002699999996</v>
      </c>
      <c r="C163">
        <v>1015.330017</v>
      </c>
      <c r="D163">
        <v>963.59002699999996</v>
      </c>
      <c r="E163">
        <v>974.5</v>
      </c>
      <c r="F163">
        <v>974.5</v>
      </c>
      <c r="G163">
        <v>31219400000</v>
      </c>
    </row>
    <row r="164" spans="1:7" x14ac:dyDescent="0.3">
      <c r="A164" s="1">
        <v>37803</v>
      </c>
      <c r="B164">
        <v>974.5</v>
      </c>
      <c r="C164">
        <v>1015.409973</v>
      </c>
      <c r="D164">
        <v>962.09997599999997</v>
      </c>
      <c r="E164">
        <v>990.30999799999995</v>
      </c>
      <c r="F164">
        <v>990.30999799999995</v>
      </c>
      <c r="G164">
        <v>31553200000</v>
      </c>
    </row>
    <row r="165" spans="1:7" x14ac:dyDescent="0.3">
      <c r="A165" s="1">
        <v>37834</v>
      </c>
      <c r="B165">
        <v>990.30999799999995</v>
      </c>
      <c r="C165">
        <v>1011.01001</v>
      </c>
      <c r="D165">
        <v>960.84002699999996</v>
      </c>
      <c r="E165">
        <v>1008.01001</v>
      </c>
      <c r="F165">
        <v>1008.01001</v>
      </c>
      <c r="G165">
        <v>24881470000</v>
      </c>
    </row>
    <row r="166" spans="1:7" x14ac:dyDescent="0.3">
      <c r="A166" s="1">
        <v>37865</v>
      </c>
      <c r="B166">
        <v>1008.01001</v>
      </c>
      <c r="C166">
        <v>1040.290039</v>
      </c>
      <c r="D166">
        <v>990.35998500000005</v>
      </c>
      <c r="E166">
        <v>995.96997099999999</v>
      </c>
      <c r="F166">
        <v>995.96997099999999</v>
      </c>
      <c r="G166">
        <v>29940110000</v>
      </c>
    </row>
    <row r="167" spans="1:7" x14ac:dyDescent="0.3">
      <c r="A167" s="1">
        <v>37895</v>
      </c>
      <c r="B167">
        <v>995.96997099999999</v>
      </c>
      <c r="C167">
        <v>1053.790039</v>
      </c>
      <c r="D167">
        <v>995.96997099999999</v>
      </c>
      <c r="E167">
        <v>1050.709961</v>
      </c>
      <c r="F167">
        <v>1050.709961</v>
      </c>
      <c r="G167">
        <v>32298500000</v>
      </c>
    </row>
    <row r="168" spans="1:7" x14ac:dyDescent="0.3">
      <c r="A168" s="1">
        <v>37926</v>
      </c>
      <c r="B168">
        <v>1050.709961</v>
      </c>
      <c r="C168">
        <v>1063.650024</v>
      </c>
      <c r="D168">
        <v>1031.1999510000001</v>
      </c>
      <c r="E168">
        <v>1058.1999510000001</v>
      </c>
      <c r="F168">
        <v>1058.1999510000001</v>
      </c>
      <c r="G168">
        <v>24463220000</v>
      </c>
    </row>
    <row r="169" spans="1:7" x14ac:dyDescent="0.3">
      <c r="A169" s="1">
        <v>37956</v>
      </c>
      <c r="B169">
        <v>1058.1999510000001</v>
      </c>
      <c r="C169">
        <v>1112.5600589999999</v>
      </c>
      <c r="D169">
        <v>1053.410034</v>
      </c>
      <c r="E169">
        <v>1111.920044</v>
      </c>
      <c r="F169">
        <v>1111.920044</v>
      </c>
      <c r="G169">
        <v>27839130000</v>
      </c>
    </row>
    <row r="170" spans="1:7" x14ac:dyDescent="0.3">
      <c r="A170" s="1">
        <v>37987</v>
      </c>
      <c r="B170">
        <v>1111.920044</v>
      </c>
      <c r="C170">
        <v>1155.380005</v>
      </c>
      <c r="D170">
        <v>1105.079956</v>
      </c>
      <c r="E170">
        <v>1131.130005</v>
      </c>
      <c r="F170">
        <v>1131.130005</v>
      </c>
      <c r="G170">
        <v>32820000000</v>
      </c>
    </row>
    <row r="171" spans="1:7" x14ac:dyDescent="0.3">
      <c r="A171" s="1">
        <v>38018</v>
      </c>
      <c r="B171">
        <v>1131.130005</v>
      </c>
      <c r="C171">
        <v>1158.9799800000001</v>
      </c>
      <c r="D171">
        <v>1124.4399410000001</v>
      </c>
      <c r="E171">
        <v>1144.9399410000001</v>
      </c>
      <c r="F171">
        <v>1144.9399410000001</v>
      </c>
      <c r="G171">
        <v>27985600000</v>
      </c>
    </row>
    <row r="172" spans="1:7" x14ac:dyDescent="0.3">
      <c r="A172" s="1">
        <v>38047</v>
      </c>
      <c r="B172">
        <v>1144.9399410000001</v>
      </c>
      <c r="C172">
        <v>1163.2299800000001</v>
      </c>
      <c r="D172">
        <v>1087.160034</v>
      </c>
      <c r="E172">
        <v>1126.209961</v>
      </c>
      <c r="F172">
        <v>1126.209961</v>
      </c>
      <c r="G172">
        <v>33597900000</v>
      </c>
    </row>
    <row r="173" spans="1:7" x14ac:dyDescent="0.3">
      <c r="A173" s="1">
        <v>38078</v>
      </c>
      <c r="B173">
        <v>1126.209961</v>
      </c>
      <c r="C173">
        <v>1150.5699460000001</v>
      </c>
      <c r="D173">
        <v>1107.2299800000001</v>
      </c>
      <c r="E173">
        <v>1107.3000489999999</v>
      </c>
      <c r="F173">
        <v>1107.3000489999999</v>
      </c>
      <c r="G173">
        <v>31611900000</v>
      </c>
    </row>
    <row r="174" spans="1:7" x14ac:dyDescent="0.3">
      <c r="A174" s="1">
        <v>38108</v>
      </c>
      <c r="B174">
        <v>1107.3000489999999</v>
      </c>
      <c r="C174">
        <v>1127.73999</v>
      </c>
      <c r="D174">
        <v>1076.3199460000001</v>
      </c>
      <c r="E174">
        <v>1120.6800539999999</v>
      </c>
      <c r="F174">
        <v>1120.6800539999999</v>
      </c>
      <c r="G174">
        <v>29326400000</v>
      </c>
    </row>
    <row r="175" spans="1:7" x14ac:dyDescent="0.3">
      <c r="A175" s="1">
        <v>38139</v>
      </c>
      <c r="B175">
        <v>1120.6800539999999</v>
      </c>
      <c r="C175">
        <v>1146.339966</v>
      </c>
      <c r="D175">
        <v>1113.3199460000001</v>
      </c>
      <c r="E175">
        <v>1140.839966</v>
      </c>
      <c r="F175">
        <v>1140.839966</v>
      </c>
      <c r="G175">
        <v>27529500000</v>
      </c>
    </row>
    <row r="176" spans="1:7" x14ac:dyDescent="0.3">
      <c r="A176" s="1">
        <v>38169</v>
      </c>
      <c r="B176">
        <v>1140.839966</v>
      </c>
      <c r="C176">
        <v>1140.839966</v>
      </c>
      <c r="D176">
        <v>1078.780029</v>
      </c>
      <c r="E176">
        <v>1101.719971</v>
      </c>
      <c r="F176">
        <v>1101.719971</v>
      </c>
      <c r="G176">
        <v>29285600000</v>
      </c>
    </row>
    <row r="177" spans="1:7" x14ac:dyDescent="0.3">
      <c r="A177" s="1">
        <v>38200</v>
      </c>
      <c r="B177">
        <v>1101.719971</v>
      </c>
      <c r="C177">
        <v>1109.6800539999999</v>
      </c>
      <c r="D177">
        <v>1060.719971</v>
      </c>
      <c r="E177">
        <v>1104.23999</v>
      </c>
      <c r="F177">
        <v>1104.23999</v>
      </c>
      <c r="G177">
        <v>26586800000</v>
      </c>
    </row>
    <row r="178" spans="1:7" x14ac:dyDescent="0.3">
      <c r="A178" s="1">
        <v>38231</v>
      </c>
      <c r="B178">
        <v>1104.23999</v>
      </c>
      <c r="C178">
        <v>1131.540039</v>
      </c>
      <c r="D178">
        <v>1099.1800539999999</v>
      </c>
      <c r="E178">
        <v>1114.579956</v>
      </c>
      <c r="F178">
        <v>1114.579956</v>
      </c>
      <c r="G178">
        <v>26829870000</v>
      </c>
    </row>
    <row r="179" spans="1:7" x14ac:dyDescent="0.3">
      <c r="A179" s="1">
        <v>38261</v>
      </c>
      <c r="B179">
        <v>1114.579956</v>
      </c>
      <c r="C179">
        <v>1142.0500489999999</v>
      </c>
      <c r="D179">
        <v>1090.290039</v>
      </c>
      <c r="E179">
        <v>1130.1999510000001</v>
      </c>
      <c r="F179">
        <v>1130.1999510000001</v>
      </c>
      <c r="G179">
        <v>31511000000</v>
      </c>
    </row>
    <row r="180" spans="1:7" x14ac:dyDescent="0.3">
      <c r="A180" s="1">
        <v>38292</v>
      </c>
      <c r="B180">
        <v>1130.1999510000001</v>
      </c>
      <c r="C180">
        <v>1188.459961</v>
      </c>
      <c r="D180">
        <v>1127.599976</v>
      </c>
      <c r="E180">
        <v>1173.8199460000001</v>
      </c>
      <c r="F180">
        <v>1173.8199460000001</v>
      </c>
      <c r="G180">
        <v>30460280000</v>
      </c>
    </row>
    <row r="181" spans="1:7" x14ac:dyDescent="0.3">
      <c r="A181" s="1">
        <v>38322</v>
      </c>
      <c r="B181">
        <v>1173.780029</v>
      </c>
      <c r="C181">
        <v>1217.329956</v>
      </c>
      <c r="D181">
        <v>1173.780029</v>
      </c>
      <c r="E181">
        <v>1211.920044</v>
      </c>
      <c r="F181">
        <v>1211.920044</v>
      </c>
      <c r="G181">
        <v>31102500000</v>
      </c>
    </row>
    <row r="182" spans="1:7" x14ac:dyDescent="0.3">
      <c r="A182" s="1">
        <v>38353</v>
      </c>
      <c r="B182">
        <v>1211.920044</v>
      </c>
      <c r="C182">
        <v>1217.8000489999999</v>
      </c>
      <c r="D182">
        <v>1163.75</v>
      </c>
      <c r="E182">
        <v>1181.2700199999999</v>
      </c>
      <c r="F182">
        <v>1181.2700199999999</v>
      </c>
      <c r="G182">
        <v>31498800000</v>
      </c>
    </row>
    <row r="183" spans="1:7" x14ac:dyDescent="0.3">
      <c r="A183" s="1">
        <v>38384</v>
      </c>
      <c r="B183">
        <v>1181.2700199999999</v>
      </c>
      <c r="C183">
        <v>1212.4399410000001</v>
      </c>
      <c r="D183">
        <v>1180.9499510000001</v>
      </c>
      <c r="E183">
        <v>1203.599976</v>
      </c>
      <c r="F183">
        <v>1203.599976</v>
      </c>
      <c r="G183">
        <v>29297410000</v>
      </c>
    </row>
    <row r="184" spans="1:7" x14ac:dyDescent="0.3">
      <c r="A184" s="1">
        <v>38412</v>
      </c>
      <c r="B184">
        <v>1203.599976</v>
      </c>
      <c r="C184">
        <v>1229.1099850000001</v>
      </c>
      <c r="D184">
        <v>1163.6899410000001</v>
      </c>
      <c r="E184">
        <v>1180.589966</v>
      </c>
      <c r="F184">
        <v>1180.589966</v>
      </c>
      <c r="G184">
        <v>39014150000</v>
      </c>
    </row>
    <row r="185" spans="1:7" x14ac:dyDescent="0.3">
      <c r="A185" s="1">
        <v>38443</v>
      </c>
      <c r="B185">
        <v>1180.589966</v>
      </c>
      <c r="C185">
        <v>1191.880005</v>
      </c>
      <c r="D185">
        <v>1136.150024</v>
      </c>
      <c r="E185">
        <v>1156.849976</v>
      </c>
      <c r="F185">
        <v>1156.849976</v>
      </c>
      <c r="G185">
        <v>43424270000</v>
      </c>
    </row>
    <row r="186" spans="1:7" x14ac:dyDescent="0.3">
      <c r="A186" s="1">
        <v>38473</v>
      </c>
      <c r="B186">
        <v>1156.849976</v>
      </c>
      <c r="C186">
        <v>1199.5600589999999</v>
      </c>
      <c r="D186">
        <v>1146.1800539999999</v>
      </c>
      <c r="E186">
        <v>1191.5</v>
      </c>
      <c r="F186">
        <v>1191.5</v>
      </c>
      <c r="G186">
        <v>39321990000</v>
      </c>
    </row>
    <row r="187" spans="1:7" x14ac:dyDescent="0.3">
      <c r="A187" s="1">
        <v>38504</v>
      </c>
      <c r="B187">
        <v>1191.5</v>
      </c>
      <c r="C187">
        <v>1219.589966</v>
      </c>
      <c r="D187">
        <v>1188.3000489999999</v>
      </c>
      <c r="E187">
        <v>1191.329956</v>
      </c>
      <c r="F187">
        <v>1191.329956</v>
      </c>
      <c r="G187">
        <v>40334040000</v>
      </c>
    </row>
    <row r="188" spans="1:7" x14ac:dyDescent="0.3">
      <c r="A188" s="1">
        <v>38534</v>
      </c>
      <c r="B188">
        <v>1191.329956</v>
      </c>
      <c r="C188">
        <v>1245.150024</v>
      </c>
      <c r="D188">
        <v>1183.5500489999999</v>
      </c>
      <c r="E188">
        <v>1234.1800539999999</v>
      </c>
      <c r="F188">
        <v>1234.1800539999999</v>
      </c>
      <c r="G188">
        <v>37464670000</v>
      </c>
    </row>
    <row r="189" spans="1:7" x14ac:dyDescent="0.3">
      <c r="A189" s="1">
        <v>38565</v>
      </c>
      <c r="B189">
        <v>1234.1800539999999</v>
      </c>
      <c r="C189">
        <v>1245.8599850000001</v>
      </c>
      <c r="D189">
        <v>1201.0699460000001</v>
      </c>
      <c r="E189">
        <v>1220.329956</v>
      </c>
      <c r="F189">
        <v>1220.329956</v>
      </c>
      <c r="G189">
        <v>42030090000</v>
      </c>
    </row>
    <row r="190" spans="1:7" x14ac:dyDescent="0.3">
      <c r="A190" s="1">
        <v>38596</v>
      </c>
      <c r="B190">
        <v>1220.329956</v>
      </c>
      <c r="C190">
        <v>1243.130005</v>
      </c>
      <c r="D190">
        <v>1205.349976</v>
      </c>
      <c r="E190">
        <v>1228.8100589999999</v>
      </c>
      <c r="F190">
        <v>1228.8100589999999</v>
      </c>
      <c r="G190">
        <v>44777510000</v>
      </c>
    </row>
    <row r="191" spans="1:7" x14ac:dyDescent="0.3">
      <c r="A191" s="1">
        <v>38626</v>
      </c>
      <c r="B191">
        <v>1228.8100589999999</v>
      </c>
      <c r="C191">
        <v>1233.339966</v>
      </c>
      <c r="D191">
        <v>1168.1999510000001</v>
      </c>
      <c r="E191">
        <v>1207.01001</v>
      </c>
      <c r="F191">
        <v>1207.01001</v>
      </c>
      <c r="G191">
        <v>49793790000</v>
      </c>
    </row>
    <row r="192" spans="1:7" x14ac:dyDescent="0.3">
      <c r="A192" s="1">
        <v>38657</v>
      </c>
      <c r="B192">
        <v>1207.01001</v>
      </c>
      <c r="C192">
        <v>1270.6400149999999</v>
      </c>
      <c r="D192">
        <v>1201.0699460000001</v>
      </c>
      <c r="E192">
        <v>1249.4799800000001</v>
      </c>
      <c r="F192">
        <v>1249.4799800000001</v>
      </c>
      <c r="G192">
        <v>45102870000</v>
      </c>
    </row>
    <row r="193" spans="1:7" x14ac:dyDescent="0.3">
      <c r="A193" s="1">
        <v>38687</v>
      </c>
      <c r="B193">
        <v>1249.4799800000001</v>
      </c>
      <c r="C193">
        <v>1275.8000489999999</v>
      </c>
      <c r="D193">
        <v>1246.589966</v>
      </c>
      <c r="E193">
        <v>1248.290039</v>
      </c>
      <c r="F193">
        <v>1248.290039</v>
      </c>
      <c r="G193">
        <v>41756130000</v>
      </c>
    </row>
    <row r="194" spans="1:7" x14ac:dyDescent="0.3">
      <c r="A194" s="1">
        <v>38718</v>
      </c>
      <c r="B194">
        <v>1248.290039</v>
      </c>
      <c r="C194">
        <v>1294.900024</v>
      </c>
      <c r="D194">
        <v>1245.73999</v>
      </c>
      <c r="E194">
        <v>1280.079956</v>
      </c>
      <c r="F194">
        <v>1280.079956</v>
      </c>
      <c r="G194">
        <v>49211650000</v>
      </c>
    </row>
    <row r="195" spans="1:7" x14ac:dyDescent="0.3">
      <c r="A195" s="1">
        <v>38749</v>
      </c>
      <c r="B195">
        <v>1280.079956</v>
      </c>
      <c r="C195">
        <v>1297.5699460000001</v>
      </c>
      <c r="D195">
        <v>1253.6099850000001</v>
      </c>
      <c r="E195">
        <v>1280.660034</v>
      </c>
      <c r="F195">
        <v>1280.660034</v>
      </c>
      <c r="G195">
        <v>42859940000</v>
      </c>
    </row>
    <row r="196" spans="1:7" x14ac:dyDescent="0.3">
      <c r="A196" s="1">
        <v>38777</v>
      </c>
      <c r="B196">
        <v>1280.660034</v>
      </c>
      <c r="C196">
        <v>1310.880005</v>
      </c>
      <c r="D196">
        <v>1268.420044</v>
      </c>
      <c r="E196">
        <v>1294.869995</v>
      </c>
      <c r="F196">
        <v>1294.869995</v>
      </c>
      <c r="G196">
        <v>50905040000</v>
      </c>
    </row>
    <row r="197" spans="1:7" x14ac:dyDescent="0.3">
      <c r="A197" s="1">
        <v>38808</v>
      </c>
      <c r="B197">
        <v>1302.880005</v>
      </c>
      <c r="C197">
        <v>1318.160034</v>
      </c>
      <c r="D197">
        <v>1280.73999</v>
      </c>
      <c r="E197">
        <v>1310.6099850000001</v>
      </c>
      <c r="F197">
        <v>1310.6099850000001</v>
      </c>
      <c r="G197">
        <v>43308430000</v>
      </c>
    </row>
    <row r="198" spans="1:7" x14ac:dyDescent="0.3">
      <c r="A198" s="1">
        <v>38838</v>
      </c>
      <c r="B198">
        <v>1310.6099850000001</v>
      </c>
      <c r="C198">
        <v>1326.6999510000001</v>
      </c>
      <c r="D198">
        <v>1245.339966</v>
      </c>
      <c r="E198">
        <v>1270.089966</v>
      </c>
      <c r="F198">
        <v>1270.089966</v>
      </c>
      <c r="G198">
        <v>54312830000</v>
      </c>
    </row>
    <row r="199" spans="1:7" x14ac:dyDescent="0.3">
      <c r="A199" s="1">
        <v>38869</v>
      </c>
      <c r="B199">
        <v>1270.0500489999999</v>
      </c>
      <c r="C199">
        <v>1290.6800539999999</v>
      </c>
      <c r="D199">
        <v>1219.290039</v>
      </c>
      <c r="E199">
        <v>1270.1999510000001</v>
      </c>
      <c r="F199">
        <v>1270.1999510000001</v>
      </c>
      <c r="G199">
        <v>54873260000</v>
      </c>
    </row>
    <row r="200" spans="1:7" x14ac:dyDescent="0.3">
      <c r="A200" s="1">
        <v>38899</v>
      </c>
      <c r="B200">
        <v>1270.0600589999999</v>
      </c>
      <c r="C200">
        <v>1280.420044</v>
      </c>
      <c r="D200">
        <v>1224.540039</v>
      </c>
      <c r="E200">
        <v>1276.660034</v>
      </c>
      <c r="F200">
        <v>1276.660034</v>
      </c>
      <c r="G200">
        <v>46348220000</v>
      </c>
    </row>
    <row r="201" spans="1:7" x14ac:dyDescent="0.3">
      <c r="A201" s="1">
        <v>38930</v>
      </c>
      <c r="B201">
        <v>1278.530029</v>
      </c>
      <c r="C201">
        <v>1306.73999</v>
      </c>
      <c r="D201">
        <v>1261.3000489999999</v>
      </c>
      <c r="E201">
        <v>1303.8199460000001</v>
      </c>
      <c r="F201">
        <v>1303.8199460000001</v>
      </c>
      <c r="G201">
        <v>50485620000</v>
      </c>
    </row>
    <row r="202" spans="1:7" x14ac:dyDescent="0.3">
      <c r="A202" s="1">
        <v>38961</v>
      </c>
      <c r="B202">
        <v>1303.8000489999999</v>
      </c>
      <c r="C202">
        <v>1340.280029</v>
      </c>
      <c r="D202">
        <v>1290.9300539999999</v>
      </c>
      <c r="E202">
        <v>1335.849976</v>
      </c>
      <c r="F202">
        <v>1335.849976</v>
      </c>
      <c r="G202">
        <v>49001440000</v>
      </c>
    </row>
    <row r="203" spans="1:7" x14ac:dyDescent="0.3">
      <c r="A203" s="1">
        <v>38991</v>
      </c>
      <c r="B203">
        <v>1335.8199460000001</v>
      </c>
      <c r="C203">
        <v>1389.4499510000001</v>
      </c>
      <c r="D203">
        <v>1327.099976</v>
      </c>
      <c r="E203">
        <v>1377.9399410000001</v>
      </c>
      <c r="F203">
        <v>1377.9399410000001</v>
      </c>
      <c r="G203">
        <v>56793620000</v>
      </c>
    </row>
    <row r="204" spans="1:7" x14ac:dyDescent="0.3">
      <c r="A204" s="1">
        <v>39022</v>
      </c>
      <c r="B204">
        <v>1377.76001</v>
      </c>
      <c r="C204">
        <v>1407.8900149999999</v>
      </c>
      <c r="D204">
        <v>1360.9799800000001</v>
      </c>
      <c r="E204">
        <v>1400.630005</v>
      </c>
      <c r="F204">
        <v>1400.630005</v>
      </c>
      <c r="G204">
        <v>55343930000</v>
      </c>
    </row>
    <row r="205" spans="1:7" x14ac:dyDescent="0.3">
      <c r="A205" s="1">
        <v>39052</v>
      </c>
      <c r="B205">
        <v>1400.630005</v>
      </c>
      <c r="C205">
        <v>1431.8100589999999</v>
      </c>
      <c r="D205">
        <v>1385.9300539999999</v>
      </c>
      <c r="E205">
        <v>1418.3000489999999</v>
      </c>
      <c r="F205">
        <v>1418.3000489999999</v>
      </c>
      <c r="G205">
        <v>47578780000</v>
      </c>
    </row>
    <row r="206" spans="1:7" x14ac:dyDescent="0.3">
      <c r="A206" s="1">
        <v>39083</v>
      </c>
      <c r="B206">
        <v>1418.030029</v>
      </c>
      <c r="C206">
        <v>1441.6099850000001</v>
      </c>
      <c r="D206">
        <v>1403.969971</v>
      </c>
      <c r="E206">
        <v>1438.23999</v>
      </c>
      <c r="F206">
        <v>1438.23999</v>
      </c>
      <c r="G206">
        <v>56686200000</v>
      </c>
    </row>
    <row r="207" spans="1:7" x14ac:dyDescent="0.3">
      <c r="A207" s="1">
        <v>39114</v>
      </c>
      <c r="B207">
        <v>1437.900024</v>
      </c>
      <c r="C207">
        <v>1461.5699460000001</v>
      </c>
      <c r="D207">
        <v>1389.420044</v>
      </c>
      <c r="E207">
        <v>1406.8199460000001</v>
      </c>
      <c r="F207">
        <v>1406.8199460000001</v>
      </c>
      <c r="G207">
        <v>51844990000</v>
      </c>
    </row>
    <row r="208" spans="1:7" x14ac:dyDescent="0.3">
      <c r="A208" s="1">
        <v>39142</v>
      </c>
      <c r="B208">
        <v>1406.8000489999999</v>
      </c>
      <c r="C208">
        <v>1438.8900149999999</v>
      </c>
      <c r="D208">
        <v>1363.9799800000001</v>
      </c>
      <c r="E208">
        <v>1420.8599850000001</v>
      </c>
      <c r="F208">
        <v>1420.8599850000001</v>
      </c>
      <c r="G208">
        <v>67622250000</v>
      </c>
    </row>
    <row r="209" spans="1:7" x14ac:dyDescent="0.3">
      <c r="A209" s="1">
        <v>39173</v>
      </c>
      <c r="B209">
        <v>1420.829956</v>
      </c>
      <c r="C209">
        <v>1498.0200199999999</v>
      </c>
      <c r="D209">
        <v>1416.369995</v>
      </c>
      <c r="E209">
        <v>1482.369995</v>
      </c>
      <c r="F209">
        <v>1482.369995</v>
      </c>
      <c r="G209">
        <v>57032470000</v>
      </c>
    </row>
    <row r="210" spans="1:7" x14ac:dyDescent="0.3">
      <c r="A210" s="1">
        <v>39203</v>
      </c>
      <c r="B210">
        <v>1482.369995</v>
      </c>
      <c r="C210">
        <v>1535.5600589999999</v>
      </c>
      <c r="D210">
        <v>1476.6999510000001</v>
      </c>
      <c r="E210">
        <v>1530.619995</v>
      </c>
      <c r="F210">
        <v>1530.619995</v>
      </c>
      <c r="G210">
        <v>64958050000</v>
      </c>
    </row>
    <row r="211" spans="1:7" x14ac:dyDescent="0.3">
      <c r="A211" s="1">
        <v>39234</v>
      </c>
      <c r="B211">
        <v>1530.619995</v>
      </c>
      <c r="C211">
        <v>1540.5600589999999</v>
      </c>
      <c r="D211">
        <v>1484.1800539999999</v>
      </c>
      <c r="E211">
        <v>1503.349976</v>
      </c>
      <c r="F211">
        <v>1503.349976</v>
      </c>
      <c r="G211">
        <v>65322800000</v>
      </c>
    </row>
    <row r="212" spans="1:7" x14ac:dyDescent="0.3">
      <c r="A212" s="1">
        <v>39264</v>
      </c>
      <c r="B212">
        <v>1504.660034</v>
      </c>
      <c r="C212">
        <v>1555.900024</v>
      </c>
      <c r="D212">
        <v>1454.25</v>
      </c>
      <c r="E212">
        <v>1455.2700199999999</v>
      </c>
      <c r="F212">
        <v>1455.2700199999999</v>
      </c>
      <c r="G212">
        <v>70337430000</v>
      </c>
    </row>
    <row r="213" spans="1:7" x14ac:dyDescent="0.3">
      <c r="A213" s="1">
        <v>39295</v>
      </c>
      <c r="B213">
        <v>1455.1800539999999</v>
      </c>
      <c r="C213">
        <v>1503.8900149999999</v>
      </c>
      <c r="D213">
        <v>1370.599976</v>
      </c>
      <c r="E213">
        <v>1473.98999</v>
      </c>
      <c r="F213">
        <v>1473.98999</v>
      </c>
      <c r="G213">
        <v>91381760000</v>
      </c>
    </row>
    <row r="214" spans="1:7" x14ac:dyDescent="0.3">
      <c r="A214" s="1">
        <v>39326</v>
      </c>
      <c r="B214">
        <v>1473.959961</v>
      </c>
      <c r="C214">
        <v>1538.73999</v>
      </c>
      <c r="D214">
        <v>1439.290039</v>
      </c>
      <c r="E214">
        <v>1526.75</v>
      </c>
      <c r="F214">
        <v>1526.75</v>
      </c>
      <c r="G214">
        <v>57809700000</v>
      </c>
    </row>
    <row r="215" spans="1:7" x14ac:dyDescent="0.3">
      <c r="A215" s="1">
        <v>39356</v>
      </c>
      <c r="B215">
        <v>1527.290039</v>
      </c>
      <c r="C215">
        <v>1576.089966</v>
      </c>
      <c r="D215">
        <v>1489.5600589999999</v>
      </c>
      <c r="E215">
        <v>1549.380005</v>
      </c>
      <c r="F215">
        <v>1549.380005</v>
      </c>
      <c r="G215">
        <v>76022580000</v>
      </c>
    </row>
    <row r="216" spans="1:7" x14ac:dyDescent="0.3">
      <c r="A216" s="1">
        <v>39387</v>
      </c>
      <c r="B216">
        <v>1545.790039</v>
      </c>
      <c r="C216">
        <v>1545.790039</v>
      </c>
      <c r="D216">
        <v>1406.099976</v>
      </c>
      <c r="E216">
        <v>1481.1400149999999</v>
      </c>
      <c r="F216">
        <v>1481.1400149999999</v>
      </c>
      <c r="G216">
        <v>86246950000</v>
      </c>
    </row>
    <row r="217" spans="1:7" x14ac:dyDescent="0.3">
      <c r="A217" s="1">
        <v>39417</v>
      </c>
      <c r="B217">
        <v>1479.630005</v>
      </c>
      <c r="C217">
        <v>1523.5699460000001</v>
      </c>
      <c r="D217">
        <v>1435.650024</v>
      </c>
      <c r="E217">
        <v>1468.3599850000001</v>
      </c>
      <c r="F217">
        <v>1468.3599850000001</v>
      </c>
      <c r="G217">
        <v>64821670000</v>
      </c>
    </row>
    <row r="218" spans="1:7" x14ac:dyDescent="0.3">
      <c r="A218" s="1">
        <v>39448</v>
      </c>
      <c r="B218">
        <v>1467.969971</v>
      </c>
      <c r="C218">
        <v>1471.7700199999999</v>
      </c>
      <c r="D218">
        <v>1270.0500489999999</v>
      </c>
      <c r="E218">
        <v>1378.5500489999999</v>
      </c>
      <c r="F218">
        <v>1378.5500489999999</v>
      </c>
      <c r="G218">
        <v>98475340000</v>
      </c>
    </row>
    <row r="219" spans="1:7" x14ac:dyDescent="0.3">
      <c r="A219" s="1">
        <v>39479</v>
      </c>
      <c r="B219">
        <v>1378.599976</v>
      </c>
      <c r="C219">
        <v>1396.0200199999999</v>
      </c>
      <c r="D219">
        <v>1316.75</v>
      </c>
      <c r="E219">
        <v>1330.630005</v>
      </c>
      <c r="F219">
        <v>1330.630005</v>
      </c>
      <c r="G219">
        <v>78536130000</v>
      </c>
    </row>
    <row r="220" spans="1:7" x14ac:dyDescent="0.3">
      <c r="A220" s="1">
        <v>39508</v>
      </c>
      <c r="B220">
        <v>1330.4499510000001</v>
      </c>
      <c r="C220">
        <v>1359.6800539999999</v>
      </c>
      <c r="D220">
        <v>1256.9799800000001</v>
      </c>
      <c r="E220">
        <v>1322.6999510000001</v>
      </c>
      <c r="F220">
        <v>1322.6999510000001</v>
      </c>
      <c r="G220">
        <v>93189170000</v>
      </c>
    </row>
    <row r="221" spans="1:7" x14ac:dyDescent="0.3">
      <c r="A221" s="1">
        <v>39539</v>
      </c>
      <c r="B221">
        <v>1326.410034</v>
      </c>
      <c r="C221">
        <v>1404.5699460000001</v>
      </c>
      <c r="D221">
        <v>1324.349976</v>
      </c>
      <c r="E221">
        <v>1385.589966</v>
      </c>
      <c r="F221">
        <v>1385.589966</v>
      </c>
      <c r="G221">
        <v>85978630000</v>
      </c>
    </row>
    <row r="222" spans="1:7" x14ac:dyDescent="0.3">
      <c r="A222" s="1">
        <v>39569</v>
      </c>
      <c r="B222">
        <v>1385.969971</v>
      </c>
      <c r="C222">
        <v>1440.23999</v>
      </c>
      <c r="D222">
        <v>1373.0699460000001</v>
      </c>
      <c r="E222">
        <v>1400.380005</v>
      </c>
      <c r="F222">
        <v>1400.380005</v>
      </c>
      <c r="G222">
        <v>80990480000</v>
      </c>
    </row>
    <row r="223" spans="1:7" x14ac:dyDescent="0.3">
      <c r="A223" s="1">
        <v>39600</v>
      </c>
      <c r="B223">
        <v>1399.619995</v>
      </c>
      <c r="C223">
        <v>1404.0500489999999</v>
      </c>
      <c r="D223">
        <v>1272</v>
      </c>
      <c r="E223">
        <v>1280</v>
      </c>
      <c r="F223">
        <v>1280</v>
      </c>
      <c r="G223">
        <v>96614040000</v>
      </c>
    </row>
    <row r="224" spans="1:7" x14ac:dyDescent="0.3">
      <c r="A224" s="1">
        <v>39630</v>
      </c>
      <c r="B224">
        <v>1276.6899410000001</v>
      </c>
      <c r="C224">
        <v>1292.170044</v>
      </c>
      <c r="D224">
        <v>1200.4399410000001</v>
      </c>
      <c r="E224">
        <v>1267.380005</v>
      </c>
      <c r="F224">
        <v>1267.380005</v>
      </c>
      <c r="G224">
        <v>124980570000</v>
      </c>
    </row>
    <row r="225" spans="1:7" x14ac:dyDescent="0.3">
      <c r="A225" s="1">
        <v>39661</v>
      </c>
      <c r="B225">
        <v>1269.420044</v>
      </c>
      <c r="C225">
        <v>1313.150024</v>
      </c>
      <c r="D225">
        <v>1247.4499510000001</v>
      </c>
      <c r="E225">
        <v>1282.829956</v>
      </c>
      <c r="F225">
        <v>1282.829956</v>
      </c>
      <c r="G225">
        <v>86266010000</v>
      </c>
    </row>
    <row r="226" spans="1:7" x14ac:dyDescent="0.3">
      <c r="A226" s="1">
        <v>39692</v>
      </c>
      <c r="B226">
        <v>1287.829956</v>
      </c>
      <c r="C226">
        <v>1303.040039</v>
      </c>
      <c r="D226">
        <v>1106.420044</v>
      </c>
      <c r="E226">
        <v>1166.3599850000001</v>
      </c>
      <c r="F226">
        <v>1166.3599850000001</v>
      </c>
      <c r="G226">
        <v>140007320000</v>
      </c>
    </row>
    <row r="227" spans="1:7" x14ac:dyDescent="0.3">
      <c r="A227" s="1">
        <v>39722</v>
      </c>
      <c r="B227">
        <v>1164.170044</v>
      </c>
      <c r="C227">
        <v>1167.030029</v>
      </c>
      <c r="D227">
        <v>839.79998799999998</v>
      </c>
      <c r="E227">
        <v>968.75</v>
      </c>
      <c r="F227">
        <v>968.75</v>
      </c>
      <c r="G227">
        <v>159823030000</v>
      </c>
    </row>
    <row r="228" spans="1:7" x14ac:dyDescent="0.3">
      <c r="A228" s="1">
        <v>39753</v>
      </c>
      <c r="B228">
        <v>968.669983</v>
      </c>
      <c r="C228">
        <v>1007.51001</v>
      </c>
      <c r="D228">
        <v>741.02002000000005</v>
      </c>
      <c r="E228">
        <v>896.23999000000003</v>
      </c>
      <c r="F228">
        <v>896.23999000000003</v>
      </c>
      <c r="G228">
        <v>115660210000</v>
      </c>
    </row>
    <row r="229" spans="1:7" x14ac:dyDescent="0.3">
      <c r="A229" s="1">
        <v>39783</v>
      </c>
      <c r="B229">
        <v>888.60998500000005</v>
      </c>
      <c r="C229">
        <v>918.84997599999997</v>
      </c>
      <c r="D229">
        <v>815.69000200000005</v>
      </c>
      <c r="E229">
        <v>903.25</v>
      </c>
      <c r="F229">
        <v>903.25</v>
      </c>
      <c r="G229">
        <v>112884470000</v>
      </c>
    </row>
    <row r="230" spans="1:7" x14ac:dyDescent="0.3">
      <c r="A230" s="1">
        <v>39814</v>
      </c>
      <c r="B230">
        <v>902.98999000000003</v>
      </c>
      <c r="C230">
        <v>943.84997599999997</v>
      </c>
      <c r="D230">
        <v>804.29998799999998</v>
      </c>
      <c r="E230">
        <v>825.88000499999998</v>
      </c>
      <c r="F230">
        <v>825.88000499999998</v>
      </c>
      <c r="G230">
        <v>112090640000</v>
      </c>
    </row>
    <row r="231" spans="1:7" x14ac:dyDescent="0.3">
      <c r="A231" s="1">
        <v>39845</v>
      </c>
      <c r="B231">
        <v>823.09002699999996</v>
      </c>
      <c r="C231">
        <v>875.01000999999997</v>
      </c>
      <c r="D231">
        <v>734.52002000000005</v>
      </c>
      <c r="E231">
        <v>735.09002699999996</v>
      </c>
      <c r="F231">
        <v>735.09002699999996</v>
      </c>
      <c r="G231">
        <v>124492210000</v>
      </c>
    </row>
    <row r="232" spans="1:7" x14ac:dyDescent="0.3">
      <c r="A232" s="1">
        <v>39873</v>
      </c>
      <c r="B232">
        <v>729.57000700000003</v>
      </c>
      <c r="C232">
        <v>832.97997999999995</v>
      </c>
      <c r="D232">
        <v>666.78997800000002</v>
      </c>
      <c r="E232">
        <v>797.86999500000002</v>
      </c>
      <c r="F232">
        <v>797.86999500000002</v>
      </c>
      <c r="G232">
        <v>161843640000</v>
      </c>
    </row>
    <row r="233" spans="1:7" x14ac:dyDescent="0.3">
      <c r="A233" s="1">
        <v>39904</v>
      </c>
      <c r="B233">
        <v>793.59002699999996</v>
      </c>
      <c r="C233">
        <v>888.70001200000002</v>
      </c>
      <c r="D233">
        <v>783.32000700000003</v>
      </c>
      <c r="E233">
        <v>872.80999799999995</v>
      </c>
      <c r="F233">
        <v>872.80999799999995</v>
      </c>
      <c r="G233">
        <v>138855320000</v>
      </c>
    </row>
    <row r="234" spans="1:7" x14ac:dyDescent="0.3">
      <c r="A234" s="1">
        <v>39934</v>
      </c>
      <c r="B234">
        <v>872.73999000000003</v>
      </c>
      <c r="C234">
        <v>930.169983</v>
      </c>
      <c r="D234">
        <v>866.09997599999997</v>
      </c>
      <c r="E234">
        <v>919.14001499999995</v>
      </c>
      <c r="F234">
        <v>919.14001499999995</v>
      </c>
      <c r="G234">
        <v>131614940000</v>
      </c>
    </row>
    <row r="235" spans="1:7" x14ac:dyDescent="0.3">
      <c r="A235" s="1">
        <v>39965</v>
      </c>
      <c r="B235">
        <v>923.26000999999997</v>
      </c>
      <c r="C235">
        <v>956.22997999999995</v>
      </c>
      <c r="D235">
        <v>888.85998500000005</v>
      </c>
      <c r="E235">
        <v>919.32000700000003</v>
      </c>
      <c r="F235">
        <v>919.32000700000003</v>
      </c>
      <c r="G235">
        <v>112653150000</v>
      </c>
    </row>
    <row r="236" spans="1:7" x14ac:dyDescent="0.3">
      <c r="A236" s="1">
        <v>39995</v>
      </c>
      <c r="B236">
        <v>920.82000700000003</v>
      </c>
      <c r="C236">
        <v>996.67999299999997</v>
      </c>
      <c r="D236">
        <v>869.32000700000003</v>
      </c>
      <c r="E236">
        <v>987.47997999999995</v>
      </c>
      <c r="F236">
        <v>987.47997999999995</v>
      </c>
      <c r="G236">
        <v>106635790000</v>
      </c>
    </row>
    <row r="237" spans="1:7" x14ac:dyDescent="0.3">
      <c r="A237" s="1">
        <v>40026</v>
      </c>
      <c r="B237">
        <v>990.21997099999999</v>
      </c>
      <c r="C237">
        <v>1039.469971</v>
      </c>
      <c r="D237">
        <v>978.51000999999997</v>
      </c>
      <c r="E237">
        <v>1020.619995</v>
      </c>
      <c r="F237">
        <v>1020.619995</v>
      </c>
      <c r="G237">
        <v>116059270000</v>
      </c>
    </row>
    <row r="238" spans="1:7" x14ac:dyDescent="0.3">
      <c r="A238" s="1">
        <v>40057</v>
      </c>
      <c r="B238">
        <v>1019.52002</v>
      </c>
      <c r="C238">
        <v>1080.150024</v>
      </c>
      <c r="D238">
        <v>991.96997099999999</v>
      </c>
      <c r="E238">
        <v>1057.079956</v>
      </c>
      <c r="F238">
        <v>1057.079956</v>
      </c>
      <c r="G238">
        <v>112295490000</v>
      </c>
    </row>
    <row r="239" spans="1:7" x14ac:dyDescent="0.3">
      <c r="A239" s="1">
        <v>40087</v>
      </c>
      <c r="B239">
        <v>1054.910034</v>
      </c>
      <c r="C239">
        <v>1101.3599850000001</v>
      </c>
      <c r="D239">
        <v>1019.950012</v>
      </c>
      <c r="E239">
        <v>1036.1899410000001</v>
      </c>
      <c r="F239">
        <v>1036.1899410000001</v>
      </c>
      <c r="G239">
        <v>113410990000</v>
      </c>
    </row>
    <row r="240" spans="1:7" x14ac:dyDescent="0.3">
      <c r="A240" s="1">
        <v>40118</v>
      </c>
      <c r="B240">
        <v>1036.1800539999999</v>
      </c>
      <c r="C240">
        <v>1113.6899410000001</v>
      </c>
      <c r="D240">
        <v>1029.380005</v>
      </c>
      <c r="E240">
        <v>1095.630005</v>
      </c>
      <c r="F240">
        <v>1095.630005</v>
      </c>
      <c r="G240">
        <v>84981530000</v>
      </c>
    </row>
    <row r="241" spans="1:7" x14ac:dyDescent="0.3">
      <c r="A241" s="1">
        <v>40148</v>
      </c>
      <c r="B241">
        <v>1098.8900149999999</v>
      </c>
      <c r="C241">
        <v>1130.380005</v>
      </c>
      <c r="D241">
        <v>1085.8900149999999</v>
      </c>
      <c r="E241">
        <v>1115.099976</v>
      </c>
      <c r="F241">
        <v>1115.099976</v>
      </c>
      <c r="G241">
        <v>89515330000</v>
      </c>
    </row>
    <row r="242" spans="1:7" x14ac:dyDescent="0.3">
      <c r="A242" s="1">
        <v>40179</v>
      </c>
      <c r="B242">
        <v>1116.5600589999999</v>
      </c>
      <c r="C242">
        <v>1150.4499510000001</v>
      </c>
      <c r="D242">
        <v>1071.589966</v>
      </c>
      <c r="E242">
        <v>1073.869995</v>
      </c>
      <c r="F242">
        <v>1073.869995</v>
      </c>
      <c r="G242">
        <v>90947580000</v>
      </c>
    </row>
    <row r="243" spans="1:7" x14ac:dyDescent="0.3">
      <c r="A243" s="1">
        <v>40210</v>
      </c>
      <c r="B243">
        <v>1073.8900149999999</v>
      </c>
      <c r="C243">
        <v>1112.420044</v>
      </c>
      <c r="D243">
        <v>1044.5</v>
      </c>
      <c r="E243">
        <v>1104.48999</v>
      </c>
      <c r="F243">
        <v>1104.48999</v>
      </c>
      <c r="G243">
        <v>84561340000</v>
      </c>
    </row>
    <row r="244" spans="1:7" x14ac:dyDescent="0.3">
      <c r="A244" s="1">
        <v>40238</v>
      </c>
      <c r="B244">
        <v>1105.3599850000001</v>
      </c>
      <c r="C244">
        <v>1180.6899410000001</v>
      </c>
      <c r="D244">
        <v>1105.3599850000001</v>
      </c>
      <c r="E244">
        <v>1169.4300539999999</v>
      </c>
      <c r="F244">
        <v>1169.4300539999999</v>
      </c>
      <c r="G244">
        <v>103683550000</v>
      </c>
    </row>
    <row r="245" spans="1:7" x14ac:dyDescent="0.3">
      <c r="A245" s="1">
        <v>40269</v>
      </c>
      <c r="B245">
        <v>1171.2299800000001</v>
      </c>
      <c r="C245">
        <v>1219.8000489999999</v>
      </c>
      <c r="D245">
        <v>1170.6899410000001</v>
      </c>
      <c r="E245">
        <v>1186.6899410000001</v>
      </c>
      <c r="F245">
        <v>1186.6899410000001</v>
      </c>
      <c r="G245">
        <v>116741910000</v>
      </c>
    </row>
    <row r="246" spans="1:7" x14ac:dyDescent="0.3">
      <c r="A246" s="1">
        <v>40299</v>
      </c>
      <c r="B246">
        <v>1188.579956</v>
      </c>
      <c r="C246">
        <v>1205.130005</v>
      </c>
      <c r="D246">
        <v>1040.780029</v>
      </c>
      <c r="E246">
        <v>1089.410034</v>
      </c>
      <c r="F246">
        <v>1089.410034</v>
      </c>
      <c r="G246">
        <v>127662780000</v>
      </c>
    </row>
    <row r="247" spans="1:7" x14ac:dyDescent="0.3">
      <c r="A247" s="1">
        <v>40330</v>
      </c>
      <c r="B247">
        <v>1087.3000489999999</v>
      </c>
      <c r="C247">
        <v>1131.2299800000001</v>
      </c>
      <c r="D247">
        <v>1028.329956</v>
      </c>
      <c r="E247">
        <v>1030.709961</v>
      </c>
      <c r="F247">
        <v>1030.709961</v>
      </c>
      <c r="G247">
        <v>110106750000</v>
      </c>
    </row>
    <row r="248" spans="1:7" x14ac:dyDescent="0.3">
      <c r="A248" s="1">
        <v>40360</v>
      </c>
      <c r="B248">
        <v>1031.099976</v>
      </c>
      <c r="C248">
        <v>1120.9499510000001</v>
      </c>
      <c r="D248">
        <v>1010.909973</v>
      </c>
      <c r="E248">
        <v>1101.599976</v>
      </c>
      <c r="F248">
        <v>1101.599976</v>
      </c>
      <c r="G248">
        <v>94778110000</v>
      </c>
    </row>
    <row r="249" spans="1:7" x14ac:dyDescent="0.3">
      <c r="A249" s="1">
        <v>40391</v>
      </c>
      <c r="B249">
        <v>1107.530029</v>
      </c>
      <c r="C249">
        <v>1129.23999</v>
      </c>
      <c r="D249">
        <v>1039.6999510000001</v>
      </c>
      <c r="E249">
        <v>1049.329956</v>
      </c>
      <c r="F249">
        <v>1049.329956</v>
      </c>
      <c r="G249">
        <v>85738250000</v>
      </c>
    </row>
    <row r="250" spans="1:7" x14ac:dyDescent="0.3">
      <c r="A250" s="1">
        <v>40422</v>
      </c>
      <c r="B250">
        <v>1049.719971</v>
      </c>
      <c r="C250">
        <v>1157.160034</v>
      </c>
      <c r="D250">
        <v>1049.719971</v>
      </c>
      <c r="E250">
        <v>1141.1999510000001</v>
      </c>
      <c r="F250">
        <v>1141.1999510000001</v>
      </c>
      <c r="G250">
        <v>79589450000</v>
      </c>
    </row>
    <row r="251" spans="1:7" x14ac:dyDescent="0.3">
      <c r="A251" s="1">
        <v>40452</v>
      </c>
      <c r="B251">
        <v>1143.48999</v>
      </c>
      <c r="C251">
        <v>1196.1400149999999</v>
      </c>
      <c r="D251">
        <v>1131.869995</v>
      </c>
      <c r="E251">
        <v>1183.26001</v>
      </c>
      <c r="F251">
        <v>1183.26001</v>
      </c>
      <c r="G251">
        <v>89536270000</v>
      </c>
    </row>
    <row r="252" spans="1:7" x14ac:dyDescent="0.3">
      <c r="A252" s="1">
        <v>40483</v>
      </c>
      <c r="B252">
        <v>1185.709961</v>
      </c>
      <c r="C252">
        <v>1227.079956</v>
      </c>
      <c r="D252">
        <v>1173</v>
      </c>
      <c r="E252">
        <v>1180.5500489999999</v>
      </c>
      <c r="F252">
        <v>1180.5500489999999</v>
      </c>
      <c r="G252">
        <v>87151070000</v>
      </c>
    </row>
    <row r="253" spans="1:7" x14ac:dyDescent="0.3">
      <c r="A253" s="1">
        <v>40513</v>
      </c>
      <c r="B253">
        <v>1186.599976</v>
      </c>
      <c r="C253">
        <v>1262.599976</v>
      </c>
      <c r="D253">
        <v>1186.599976</v>
      </c>
      <c r="E253">
        <v>1257.6400149999999</v>
      </c>
      <c r="F253">
        <v>1257.6400149999999</v>
      </c>
      <c r="G253">
        <v>80984530000</v>
      </c>
    </row>
    <row r="254" spans="1:7" x14ac:dyDescent="0.3">
      <c r="A254" s="1">
        <v>40544</v>
      </c>
      <c r="B254">
        <v>1257.619995</v>
      </c>
      <c r="C254">
        <v>1302.670044</v>
      </c>
      <c r="D254">
        <v>1257.619995</v>
      </c>
      <c r="E254">
        <v>1286.119995</v>
      </c>
      <c r="F254">
        <v>1286.119995</v>
      </c>
      <c r="G254">
        <v>92164940000</v>
      </c>
    </row>
    <row r="255" spans="1:7" x14ac:dyDescent="0.3">
      <c r="A255" s="1">
        <v>40575</v>
      </c>
      <c r="B255">
        <v>1289.1400149999999</v>
      </c>
      <c r="C255">
        <v>1344.0699460000001</v>
      </c>
      <c r="D255">
        <v>1289.1400149999999</v>
      </c>
      <c r="E255">
        <v>1327.219971</v>
      </c>
      <c r="F255">
        <v>1327.219971</v>
      </c>
      <c r="G255">
        <v>59223660000</v>
      </c>
    </row>
    <row r="256" spans="1:7" x14ac:dyDescent="0.3">
      <c r="A256" s="1">
        <v>40603</v>
      </c>
      <c r="B256">
        <v>1328.6400149999999</v>
      </c>
      <c r="C256">
        <v>1332.280029</v>
      </c>
      <c r="D256">
        <v>1249.0500489999999</v>
      </c>
      <c r="E256">
        <v>1325.829956</v>
      </c>
      <c r="F256">
        <v>1325.829956</v>
      </c>
      <c r="G256">
        <v>89507640000</v>
      </c>
    </row>
    <row r="257" spans="1:7" x14ac:dyDescent="0.3">
      <c r="A257" s="1">
        <v>40634</v>
      </c>
      <c r="B257">
        <v>1329.4799800000001</v>
      </c>
      <c r="C257">
        <v>1364.5600589999999</v>
      </c>
      <c r="D257">
        <v>1294.6999510000001</v>
      </c>
      <c r="E257">
        <v>1363.6099850000001</v>
      </c>
      <c r="F257">
        <v>1363.6099850000001</v>
      </c>
      <c r="G257">
        <v>77364810000</v>
      </c>
    </row>
    <row r="258" spans="1:7" x14ac:dyDescent="0.3">
      <c r="A258" s="1">
        <v>40664</v>
      </c>
      <c r="B258">
        <v>1365.209961</v>
      </c>
      <c r="C258">
        <v>1370.579956</v>
      </c>
      <c r="D258">
        <v>1311.8000489999999</v>
      </c>
      <c r="E258">
        <v>1345.1999510000001</v>
      </c>
      <c r="F258">
        <v>1345.1999510000001</v>
      </c>
      <c r="G258">
        <v>81708980000</v>
      </c>
    </row>
    <row r="259" spans="1:7" x14ac:dyDescent="0.3">
      <c r="A259" s="1">
        <v>40695</v>
      </c>
      <c r="B259">
        <v>1345.1999510000001</v>
      </c>
      <c r="C259">
        <v>1345.1999510000001</v>
      </c>
      <c r="D259">
        <v>1258.0699460000001</v>
      </c>
      <c r="E259">
        <v>1320.6400149999999</v>
      </c>
      <c r="F259">
        <v>1320.6400149999999</v>
      </c>
      <c r="G259">
        <v>86122730000</v>
      </c>
    </row>
    <row r="260" spans="1:7" x14ac:dyDescent="0.3">
      <c r="A260" s="1">
        <v>40725</v>
      </c>
      <c r="B260">
        <v>1320.6400149999999</v>
      </c>
      <c r="C260">
        <v>1356.4799800000001</v>
      </c>
      <c r="D260">
        <v>1282.8599850000001</v>
      </c>
      <c r="E260">
        <v>1292.280029</v>
      </c>
      <c r="F260">
        <v>1292.280029</v>
      </c>
      <c r="G260">
        <v>81102170000</v>
      </c>
    </row>
    <row r="261" spans="1:7" x14ac:dyDescent="0.3">
      <c r="A261" s="1">
        <v>40756</v>
      </c>
      <c r="B261">
        <v>1292.589966</v>
      </c>
      <c r="C261">
        <v>1307.380005</v>
      </c>
      <c r="D261">
        <v>1101.540039</v>
      </c>
      <c r="E261">
        <v>1218.8900149999999</v>
      </c>
      <c r="F261">
        <v>1218.8900149999999</v>
      </c>
      <c r="G261">
        <v>108419170000</v>
      </c>
    </row>
    <row r="262" spans="1:7" x14ac:dyDescent="0.3">
      <c r="A262" s="1">
        <v>40787</v>
      </c>
      <c r="B262">
        <v>1219.119995</v>
      </c>
      <c r="C262">
        <v>1229.290039</v>
      </c>
      <c r="D262">
        <v>1114.219971</v>
      </c>
      <c r="E262">
        <v>1131.420044</v>
      </c>
      <c r="F262">
        <v>1131.420044</v>
      </c>
      <c r="G262">
        <v>102786820000</v>
      </c>
    </row>
    <row r="263" spans="1:7" x14ac:dyDescent="0.3">
      <c r="A263" s="1">
        <v>40817</v>
      </c>
      <c r="B263">
        <v>1131.209961</v>
      </c>
      <c r="C263">
        <v>1292.660034</v>
      </c>
      <c r="D263">
        <v>1074.7700199999999</v>
      </c>
      <c r="E263">
        <v>1253.3000489999999</v>
      </c>
      <c r="F263">
        <v>1253.3000489999999</v>
      </c>
      <c r="G263">
        <v>98063670000</v>
      </c>
    </row>
    <row r="264" spans="1:7" x14ac:dyDescent="0.3">
      <c r="A264" s="1">
        <v>40848</v>
      </c>
      <c r="B264">
        <v>1251</v>
      </c>
      <c r="C264">
        <v>1277.5500489999999</v>
      </c>
      <c r="D264">
        <v>1158.660034</v>
      </c>
      <c r="E264">
        <v>1246.959961</v>
      </c>
      <c r="F264">
        <v>1246.959961</v>
      </c>
      <c r="G264">
        <v>84275050000</v>
      </c>
    </row>
    <row r="265" spans="1:7" x14ac:dyDescent="0.3">
      <c r="A265" s="1">
        <v>40878</v>
      </c>
      <c r="B265">
        <v>1246.910034</v>
      </c>
      <c r="C265">
        <v>1269.369995</v>
      </c>
      <c r="D265">
        <v>1202.369995</v>
      </c>
      <c r="E265">
        <v>1257.599976</v>
      </c>
      <c r="F265">
        <v>1257.599976</v>
      </c>
      <c r="G265">
        <v>74742430000</v>
      </c>
    </row>
    <row r="266" spans="1:7" x14ac:dyDescent="0.3">
      <c r="A266" s="1">
        <v>40909</v>
      </c>
      <c r="B266">
        <v>1258.8599850000001</v>
      </c>
      <c r="C266">
        <v>1333.469971</v>
      </c>
      <c r="D266">
        <v>1258.8599850000001</v>
      </c>
      <c r="E266">
        <v>1312.410034</v>
      </c>
      <c r="F266">
        <v>1312.410034</v>
      </c>
      <c r="G266">
        <v>79567560000</v>
      </c>
    </row>
    <row r="267" spans="1:7" x14ac:dyDescent="0.3">
      <c r="A267" s="1">
        <v>40940</v>
      </c>
      <c r="B267">
        <v>1312.4499510000001</v>
      </c>
      <c r="C267">
        <v>1378.040039</v>
      </c>
      <c r="D267">
        <v>1312.4499510000001</v>
      </c>
      <c r="E267">
        <v>1365.6800539999999</v>
      </c>
      <c r="F267">
        <v>1365.6800539999999</v>
      </c>
      <c r="G267">
        <v>78385710000</v>
      </c>
    </row>
    <row r="268" spans="1:7" x14ac:dyDescent="0.3">
      <c r="A268" s="1">
        <v>40969</v>
      </c>
      <c r="B268">
        <v>1365.900024</v>
      </c>
      <c r="C268">
        <v>1419.150024</v>
      </c>
      <c r="D268">
        <v>1340.030029</v>
      </c>
      <c r="E268">
        <v>1408.469971</v>
      </c>
      <c r="F268">
        <v>1408.469971</v>
      </c>
      <c r="G268">
        <v>83899660000</v>
      </c>
    </row>
    <row r="269" spans="1:7" x14ac:dyDescent="0.3">
      <c r="A269" s="1">
        <v>41000</v>
      </c>
      <c r="B269">
        <v>1408.469971</v>
      </c>
      <c r="C269">
        <v>1422.380005</v>
      </c>
      <c r="D269">
        <v>1357.380005</v>
      </c>
      <c r="E269">
        <v>1397.910034</v>
      </c>
      <c r="F269">
        <v>1397.910034</v>
      </c>
      <c r="G269">
        <v>74761710000</v>
      </c>
    </row>
    <row r="270" spans="1:7" x14ac:dyDescent="0.3">
      <c r="A270" s="1">
        <v>41030</v>
      </c>
      <c r="B270">
        <v>1397.8599850000001</v>
      </c>
      <c r="C270">
        <v>1415.3199460000001</v>
      </c>
      <c r="D270">
        <v>1291.9799800000001</v>
      </c>
      <c r="E270">
        <v>1310.329956</v>
      </c>
      <c r="F270">
        <v>1310.329956</v>
      </c>
      <c r="G270">
        <v>86920490000</v>
      </c>
    </row>
    <row r="271" spans="1:7" x14ac:dyDescent="0.3">
      <c r="A271" s="1">
        <v>41061</v>
      </c>
      <c r="B271">
        <v>1309.869995</v>
      </c>
      <c r="C271">
        <v>1363.459961</v>
      </c>
      <c r="D271">
        <v>1266.73999</v>
      </c>
      <c r="E271">
        <v>1362.160034</v>
      </c>
      <c r="F271">
        <v>1362.160034</v>
      </c>
      <c r="G271">
        <v>81582440000</v>
      </c>
    </row>
    <row r="272" spans="1:7" x14ac:dyDescent="0.3">
      <c r="A272" s="1">
        <v>41091</v>
      </c>
      <c r="B272">
        <v>1362.329956</v>
      </c>
      <c r="C272">
        <v>1391.73999</v>
      </c>
      <c r="D272">
        <v>1325.410034</v>
      </c>
      <c r="E272">
        <v>1379.3199460000001</v>
      </c>
      <c r="F272">
        <v>1379.3199460000001</v>
      </c>
      <c r="G272">
        <v>73103810000</v>
      </c>
    </row>
    <row r="273" spans="1:7" x14ac:dyDescent="0.3">
      <c r="A273" s="1">
        <v>41122</v>
      </c>
      <c r="B273">
        <v>1379.3199460000001</v>
      </c>
      <c r="C273">
        <v>1426.6800539999999</v>
      </c>
      <c r="D273">
        <v>1354.650024</v>
      </c>
      <c r="E273">
        <v>1406.579956</v>
      </c>
      <c r="F273">
        <v>1406.579956</v>
      </c>
      <c r="G273">
        <v>70283810000</v>
      </c>
    </row>
    <row r="274" spans="1:7" x14ac:dyDescent="0.3">
      <c r="A274" s="1">
        <v>41153</v>
      </c>
      <c r="B274">
        <v>1406.540039</v>
      </c>
      <c r="C274">
        <v>1474.51001</v>
      </c>
      <c r="D274">
        <v>1396.5600589999999</v>
      </c>
      <c r="E274">
        <v>1440.670044</v>
      </c>
      <c r="F274">
        <v>1440.670044</v>
      </c>
      <c r="G274">
        <v>69784280000</v>
      </c>
    </row>
    <row r="275" spans="1:7" x14ac:dyDescent="0.3">
      <c r="A275" s="1">
        <v>41183</v>
      </c>
      <c r="B275">
        <v>1440.900024</v>
      </c>
      <c r="C275">
        <v>1470.959961</v>
      </c>
      <c r="D275">
        <v>1403.280029</v>
      </c>
      <c r="E275">
        <v>1412.160034</v>
      </c>
      <c r="F275">
        <v>1412.160034</v>
      </c>
      <c r="G275">
        <v>71752320000</v>
      </c>
    </row>
    <row r="276" spans="1:7" x14ac:dyDescent="0.3">
      <c r="A276" s="1">
        <v>41214</v>
      </c>
      <c r="B276">
        <v>1412.1999510000001</v>
      </c>
      <c r="C276">
        <v>1434.2700199999999</v>
      </c>
      <c r="D276">
        <v>1343.349976</v>
      </c>
      <c r="E276">
        <v>1416.1800539999999</v>
      </c>
      <c r="F276">
        <v>1416.1800539999999</v>
      </c>
      <c r="G276">
        <v>71489310000</v>
      </c>
    </row>
    <row r="277" spans="1:7" x14ac:dyDescent="0.3">
      <c r="A277" s="1">
        <v>41244</v>
      </c>
      <c r="B277">
        <v>1416.339966</v>
      </c>
      <c r="C277">
        <v>1448</v>
      </c>
      <c r="D277">
        <v>1398.1099850000001</v>
      </c>
      <c r="E277">
        <v>1426.1899410000001</v>
      </c>
      <c r="F277">
        <v>1426.1899410000001</v>
      </c>
      <c r="G277">
        <v>66388180000</v>
      </c>
    </row>
    <row r="278" spans="1:7" x14ac:dyDescent="0.3">
      <c r="A278" s="1">
        <v>41275</v>
      </c>
      <c r="B278">
        <v>1426.1899410000001</v>
      </c>
      <c r="C278">
        <v>1509.9399410000001</v>
      </c>
      <c r="D278">
        <v>1426.1899410000001</v>
      </c>
      <c r="E278">
        <v>1498.1099850000001</v>
      </c>
      <c r="F278">
        <v>1498.1099850000001</v>
      </c>
      <c r="G278">
        <v>75848510000</v>
      </c>
    </row>
    <row r="279" spans="1:7" x14ac:dyDescent="0.3">
      <c r="A279" s="1">
        <v>41306</v>
      </c>
      <c r="B279">
        <v>1498.1099850000001</v>
      </c>
      <c r="C279">
        <v>1530.9399410000001</v>
      </c>
      <c r="D279">
        <v>1485.01001</v>
      </c>
      <c r="E279">
        <v>1514.6800539999999</v>
      </c>
      <c r="F279">
        <v>1514.6800539999999</v>
      </c>
      <c r="G279">
        <v>69273480000</v>
      </c>
    </row>
    <row r="280" spans="1:7" x14ac:dyDescent="0.3">
      <c r="A280" s="1">
        <v>41334</v>
      </c>
      <c r="B280">
        <v>1514.6800539999999</v>
      </c>
      <c r="C280">
        <v>1570.280029</v>
      </c>
      <c r="D280">
        <v>1501.4799800000001</v>
      </c>
      <c r="E280">
        <v>1569.1899410000001</v>
      </c>
      <c r="F280">
        <v>1569.1899410000001</v>
      </c>
      <c r="G280">
        <v>68527110000</v>
      </c>
    </row>
    <row r="281" spans="1:7" x14ac:dyDescent="0.3">
      <c r="A281" s="1">
        <v>41365</v>
      </c>
      <c r="B281">
        <v>1569.1800539999999</v>
      </c>
      <c r="C281">
        <v>1597.5699460000001</v>
      </c>
      <c r="D281">
        <v>1536.030029</v>
      </c>
      <c r="E281">
        <v>1597.5699460000001</v>
      </c>
      <c r="F281">
        <v>1597.5699460000001</v>
      </c>
      <c r="G281">
        <v>77098000000</v>
      </c>
    </row>
    <row r="282" spans="1:7" x14ac:dyDescent="0.3">
      <c r="A282" s="1">
        <v>41395</v>
      </c>
      <c r="B282">
        <v>1597.5500489999999</v>
      </c>
      <c r="C282">
        <v>1687.1800539999999</v>
      </c>
      <c r="D282">
        <v>1581.280029</v>
      </c>
      <c r="E282">
        <v>1630.73999</v>
      </c>
      <c r="F282">
        <v>1630.73999</v>
      </c>
      <c r="G282">
        <v>76447250000</v>
      </c>
    </row>
    <row r="283" spans="1:7" x14ac:dyDescent="0.3">
      <c r="A283" s="1">
        <v>41426</v>
      </c>
      <c r="B283">
        <v>1631.709961</v>
      </c>
      <c r="C283">
        <v>1654.1899410000001</v>
      </c>
      <c r="D283">
        <v>1560.329956</v>
      </c>
      <c r="E283">
        <v>1606.280029</v>
      </c>
      <c r="F283">
        <v>1606.280029</v>
      </c>
      <c r="G283">
        <v>74946790000</v>
      </c>
    </row>
    <row r="284" spans="1:7" x14ac:dyDescent="0.3">
      <c r="A284" s="1">
        <v>41456</v>
      </c>
      <c r="B284">
        <v>1609.780029</v>
      </c>
      <c r="C284">
        <v>1698.780029</v>
      </c>
      <c r="D284">
        <v>1604.5699460000001</v>
      </c>
      <c r="E284">
        <v>1685.7299800000001</v>
      </c>
      <c r="F284">
        <v>1685.7299800000001</v>
      </c>
      <c r="G284">
        <v>68106820000</v>
      </c>
    </row>
    <row r="285" spans="1:7" x14ac:dyDescent="0.3">
      <c r="A285" s="1">
        <v>41487</v>
      </c>
      <c r="B285">
        <v>1689.420044</v>
      </c>
      <c r="C285">
        <v>1709.670044</v>
      </c>
      <c r="D285">
        <v>1627.469971</v>
      </c>
      <c r="E285">
        <v>1632.969971</v>
      </c>
      <c r="F285">
        <v>1632.969971</v>
      </c>
      <c r="G285">
        <v>64802810000</v>
      </c>
    </row>
    <row r="286" spans="1:7" x14ac:dyDescent="0.3">
      <c r="A286" s="1">
        <v>41518</v>
      </c>
      <c r="B286">
        <v>1635.9499510000001</v>
      </c>
      <c r="C286">
        <v>1729.8599850000001</v>
      </c>
      <c r="D286">
        <v>1633.410034</v>
      </c>
      <c r="E286">
        <v>1681.5500489999999</v>
      </c>
      <c r="F286">
        <v>1681.5500489999999</v>
      </c>
      <c r="G286">
        <v>66174410000</v>
      </c>
    </row>
    <row r="287" spans="1:7" x14ac:dyDescent="0.3">
      <c r="A287" s="1">
        <v>41548</v>
      </c>
      <c r="B287">
        <v>1682.410034</v>
      </c>
      <c r="C287">
        <v>1775.219971</v>
      </c>
      <c r="D287">
        <v>1646.469971</v>
      </c>
      <c r="E287">
        <v>1756.540039</v>
      </c>
      <c r="F287">
        <v>1756.540039</v>
      </c>
      <c r="G287">
        <v>76647400000</v>
      </c>
    </row>
    <row r="288" spans="1:7" x14ac:dyDescent="0.3">
      <c r="A288" s="1">
        <v>41579</v>
      </c>
      <c r="B288">
        <v>1758.6999510000001</v>
      </c>
      <c r="C288">
        <v>1813.5500489999999</v>
      </c>
      <c r="D288">
        <v>1746.1999510000001</v>
      </c>
      <c r="E288">
        <v>1805.8100589999999</v>
      </c>
      <c r="F288">
        <v>1805.8100589999999</v>
      </c>
      <c r="G288">
        <v>63628190000</v>
      </c>
    </row>
    <row r="289" spans="1:7" x14ac:dyDescent="0.3">
      <c r="A289" s="1">
        <v>41609</v>
      </c>
      <c r="B289">
        <v>1806.5500489999999</v>
      </c>
      <c r="C289">
        <v>1849.4399410000001</v>
      </c>
      <c r="D289">
        <v>1767.98999</v>
      </c>
      <c r="E289">
        <v>1848.3599850000001</v>
      </c>
      <c r="F289">
        <v>1848.3599850000001</v>
      </c>
      <c r="G289">
        <v>64958820000</v>
      </c>
    </row>
    <row r="290" spans="1:7" x14ac:dyDescent="0.3">
      <c r="A290" s="1">
        <v>41640</v>
      </c>
      <c r="B290">
        <v>1845.8599850000001</v>
      </c>
      <c r="C290">
        <v>1850.839966</v>
      </c>
      <c r="D290">
        <v>1770.4499510000001</v>
      </c>
      <c r="E290">
        <v>1782.589966</v>
      </c>
      <c r="F290">
        <v>1782.589966</v>
      </c>
      <c r="G290">
        <v>75871910000</v>
      </c>
    </row>
    <row r="291" spans="1:7" x14ac:dyDescent="0.3">
      <c r="A291" s="1">
        <v>41671</v>
      </c>
      <c r="B291">
        <v>1782.6800539999999</v>
      </c>
      <c r="C291">
        <v>1867.920044</v>
      </c>
      <c r="D291">
        <v>1737.920044</v>
      </c>
      <c r="E291">
        <v>1859.4499510000001</v>
      </c>
      <c r="F291">
        <v>1859.4499510000001</v>
      </c>
      <c r="G291">
        <v>69725590000</v>
      </c>
    </row>
    <row r="292" spans="1:7" x14ac:dyDescent="0.3">
      <c r="A292" s="1">
        <v>41699</v>
      </c>
      <c r="B292">
        <v>1857.6800539999999</v>
      </c>
      <c r="C292">
        <v>1883.969971</v>
      </c>
      <c r="D292">
        <v>1834.4399410000001</v>
      </c>
      <c r="E292">
        <v>1872.339966</v>
      </c>
      <c r="F292">
        <v>1872.339966</v>
      </c>
      <c r="G292">
        <v>71885030000</v>
      </c>
    </row>
    <row r="293" spans="1:7" x14ac:dyDescent="0.3">
      <c r="A293" s="1">
        <v>41730</v>
      </c>
      <c r="B293">
        <v>1873.959961</v>
      </c>
      <c r="C293">
        <v>1897.280029</v>
      </c>
      <c r="D293">
        <v>1814.3599850000001</v>
      </c>
      <c r="E293">
        <v>1883.9499510000001</v>
      </c>
      <c r="F293">
        <v>1883.9499510000001</v>
      </c>
      <c r="G293">
        <v>71595810000</v>
      </c>
    </row>
    <row r="294" spans="1:7" x14ac:dyDescent="0.3">
      <c r="A294" s="1">
        <v>41760</v>
      </c>
      <c r="B294">
        <v>1884.3900149999999</v>
      </c>
      <c r="C294">
        <v>1924.030029</v>
      </c>
      <c r="D294">
        <v>1859.790039</v>
      </c>
      <c r="E294">
        <v>1923.5699460000001</v>
      </c>
      <c r="F294">
        <v>1923.5699460000001</v>
      </c>
      <c r="G294">
        <v>63623630000</v>
      </c>
    </row>
    <row r="295" spans="1:7" x14ac:dyDescent="0.3">
      <c r="A295" s="1">
        <v>41791</v>
      </c>
      <c r="B295">
        <v>1923.869995</v>
      </c>
      <c r="C295">
        <v>1968.170044</v>
      </c>
      <c r="D295">
        <v>1915.9799800000001</v>
      </c>
      <c r="E295">
        <v>1960.2299800000001</v>
      </c>
      <c r="F295">
        <v>1960.2299800000001</v>
      </c>
      <c r="G295">
        <v>63283380000</v>
      </c>
    </row>
    <row r="296" spans="1:7" x14ac:dyDescent="0.3">
      <c r="A296" s="1">
        <v>41821</v>
      </c>
      <c r="B296">
        <v>1962.290039</v>
      </c>
      <c r="C296">
        <v>1991.3900149999999</v>
      </c>
      <c r="D296">
        <v>1930.670044</v>
      </c>
      <c r="E296">
        <v>1930.670044</v>
      </c>
      <c r="F296">
        <v>1930.670044</v>
      </c>
      <c r="G296">
        <v>66524690000</v>
      </c>
    </row>
    <row r="297" spans="1:7" x14ac:dyDescent="0.3">
      <c r="A297" s="1">
        <v>41852</v>
      </c>
      <c r="B297">
        <v>1929.8000489999999</v>
      </c>
      <c r="C297">
        <v>2005.040039</v>
      </c>
      <c r="D297">
        <v>1904.780029</v>
      </c>
      <c r="E297">
        <v>2003.369995</v>
      </c>
      <c r="F297">
        <v>2003.369995</v>
      </c>
      <c r="G297">
        <v>58131140000</v>
      </c>
    </row>
    <row r="298" spans="1:7" x14ac:dyDescent="0.3">
      <c r="A298" s="1">
        <v>41883</v>
      </c>
      <c r="B298">
        <v>2004.0699460000001</v>
      </c>
      <c r="C298">
        <v>2019.26001</v>
      </c>
      <c r="D298">
        <v>1964.040039</v>
      </c>
      <c r="E298">
        <v>1972.290039</v>
      </c>
      <c r="F298">
        <v>1972.290039</v>
      </c>
      <c r="G298">
        <v>66706000000</v>
      </c>
    </row>
    <row r="299" spans="1:7" x14ac:dyDescent="0.3">
      <c r="A299" s="1">
        <v>41913</v>
      </c>
      <c r="B299">
        <v>1971.4399410000001</v>
      </c>
      <c r="C299">
        <v>2018.1899410000001</v>
      </c>
      <c r="D299">
        <v>1820.660034</v>
      </c>
      <c r="E299">
        <v>2018.0500489999999</v>
      </c>
      <c r="F299">
        <v>2018.0500489999999</v>
      </c>
      <c r="G299">
        <v>93714040000</v>
      </c>
    </row>
    <row r="300" spans="1:7" x14ac:dyDescent="0.3">
      <c r="A300" s="1">
        <v>41944</v>
      </c>
      <c r="B300">
        <v>2018.209961</v>
      </c>
      <c r="C300">
        <v>2075.76001</v>
      </c>
      <c r="D300">
        <v>2001.01001</v>
      </c>
      <c r="E300">
        <v>2067.5600589999999</v>
      </c>
      <c r="F300">
        <v>2067.5600589999999</v>
      </c>
      <c r="G300">
        <v>63600190000</v>
      </c>
    </row>
    <row r="301" spans="1:7" x14ac:dyDescent="0.3">
      <c r="A301" s="1">
        <v>41974</v>
      </c>
      <c r="B301">
        <v>2065.780029</v>
      </c>
      <c r="C301">
        <v>2093.5500489999999</v>
      </c>
      <c r="D301">
        <v>1972.5600589999999</v>
      </c>
      <c r="E301">
        <v>2058.8999020000001</v>
      </c>
      <c r="F301">
        <v>2058.8999020000001</v>
      </c>
      <c r="G301">
        <v>80743820000</v>
      </c>
    </row>
    <row r="302" spans="1:7" x14ac:dyDescent="0.3">
      <c r="A302" s="1">
        <v>42005</v>
      </c>
      <c r="B302">
        <v>2058.8999020000001</v>
      </c>
      <c r="C302">
        <v>2072.360107</v>
      </c>
      <c r="D302">
        <v>1988.119995</v>
      </c>
      <c r="E302">
        <v>1994.98999</v>
      </c>
      <c r="F302">
        <v>1994.98999</v>
      </c>
      <c r="G302">
        <v>77330040000</v>
      </c>
    </row>
    <row r="303" spans="1:7" x14ac:dyDescent="0.3">
      <c r="A303" s="1">
        <v>42036</v>
      </c>
      <c r="B303">
        <v>1996.670044</v>
      </c>
      <c r="C303">
        <v>2119.5900879999999</v>
      </c>
      <c r="D303">
        <v>1980.900024</v>
      </c>
      <c r="E303">
        <v>2104.5</v>
      </c>
      <c r="F303">
        <v>2104.5</v>
      </c>
      <c r="G303">
        <v>68775560000</v>
      </c>
    </row>
    <row r="304" spans="1:7" x14ac:dyDescent="0.3">
      <c r="A304" s="1">
        <v>42064</v>
      </c>
      <c r="B304">
        <v>2105.2299800000001</v>
      </c>
      <c r="C304">
        <v>2117.5200199999999</v>
      </c>
      <c r="D304">
        <v>2039.6899410000001</v>
      </c>
      <c r="E304">
        <v>2067.889893</v>
      </c>
      <c r="F304">
        <v>2067.889893</v>
      </c>
      <c r="G304">
        <v>76675850000</v>
      </c>
    </row>
    <row r="305" spans="1:7" x14ac:dyDescent="0.3">
      <c r="A305" s="1">
        <v>42095</v>
      </c>
      <c r="B305">
        <v>2067.6298830000001</v>
      </c>
      <c r="C305">
        <v>2125.919922</v>
      </c>
      <c r="D305">
        <v>2048.3798830000001</v>
      </c>
      <c r="E305">
        <v>2085.51001</v>
      </c>
      <c r="F305">
        <v>2085.51001</v>
      </c>
      <c r="G305">
        <v>72060940000</v>
      </c>
    </row>
    <row r="306" spans="1:7" x14ac:dyDescent="0.3">
      <c r="A306" s="1">
        <v>42125</v>
      </c>
      <c r="B306">
        <v>2087.3798830000001</v>
      </c>
      <c r="C306">
        <v>2134.719971</v>
      </c>
      <c r="D306">
        <v>2067.929932</v>
      </c>
      <c r="E306">
        <v>2107.389893</v>
      </c>
      <c r="F306">
        <v>2107.389893</v>
      </c>
      <c r="G306">
        <v>65187730000</v>
      </c>
    </row>
    <row r="307" spans="1:7" x14ac:dyDescent="0.3">
      <c r="A307" s="1">
        <v>42156</v>
      </c>
      <c r="B307">
        <v>2108.639893</v>
      </c>
      <c r="C307">
        <v>2129.8701169999999</v>
      </c>
      <c r="D307">
        <v>2056.320068</v>
      </c>
      <c r="E307">
        <v>2063.110107</v>
      </c>
      <c r="F307">
        <v>2063.110107</v>
      </c>
      <c r="G307">
        <v>73213980000</v>
      </c>
    </row>
    <row r="308" spans="1:7" x14ac:dyDescent="0.3">
      <c r="A308" s="1">
        <v>42186</v>
      </c>
      <c r="B308">
        <v>2067</v>
      </c>
      <c r="C308">
        <v>2132.820068</v>
      </c>
      <c r="D308">
        <v>2044.0200199999999</v>
      </c>
      <c r="E308">
        <v>2103.8400879999999</v>
      </c>
      <c r="F308">
        <v>2103.8400879999999</v>
      </c>
      <c r="G308">
        <v>77920590000</v>
      </c>
    </row>
    <row r="309" spans="1:7" x14ac:dyDescent="0.3">
      <c r="A309" s="1">
        <v>42217</v>
      </c>
      <c r="B309">
        <v>2104.48999</v>
      </c>
      <c r="C309">
        <v>2112.6599120000001</v>
      </c>
      <c r="D309">
        <v>1867.01001</v>
      </c>
      <c r="E309">
        <v>1972.1800539999999</v>
      </c>
      <c r="F309">
        <v>1972.1800539999999</v>
      </c>
      <c r="G309">
        <v>84626790000</v>
      </c>
    </row>
    <row r="310" spans="1:7" x14ac:dyDescent="0.3">
      <c r="A310" s="1">
        <v>42248</v>
      </c>
      <c r="B310">
        <v>1970.089966</v>
      </c>
      <c r="C310">
        <v>2020.8599850000001</v>
      </c>
      <c r="D310">
        <v>1871.910034</v>
      </c>
      <c r="E310">
        <v>1920.030029</v>
      </c>
      <c r="F310">
        <v>1920.030029</v>
      </c>
      <c r="G310">
        <v>79989370000</v>
      </c>
    </row>
    <row r="311" spans="1:7" x14ac:dyDescent="0.3">
      <c r="A311" s="1">
        <v>42278</v>
      </c>
      <c r="B311">
        <v>1919.650024</v>
      </c>
      <c r="C311">
        <v>2094.320068</v>
      </c>
      <c r="D311">
        <v>1893.6999510000001</v>
      </c>
      <c r="E311">
        <v>2079.360107</v>
      </c>
      <c r="F311">
        <v>2079.360107</v>
      </c>
      <c r="G311">
        <v>85844900000</v>
      </c>
    </row>
    <row r="312" spans="1:7" x14ac:dyDescent="0.3">
      <c r="A312" s="1">
        <v>42309</v>
      </c>
      <c r="B312">
        <v>2080.76001</v>
      </c>
      <c r="C312">
        <v>2116.4799800000001</v>
      </c>
      <c r="D312">
        <v>2019.3900149999999</v>
      </c>
      <c r="E312">
        <v>2080.4099120000001</v>
      </c>
      <c r="F312">
        <v>2080.4099120000001</v>
      </c>
      <c r="G312">
        <v>75943590000</v>
      </c>
    </row>
    <row r="313" spans="1:7" x14ac:dyDescent="0.3">
      <c r="A313" s="1">
        <v>42339</v>
      </c>
      <c r="B313">
        <v>2082.929932</v>
      </c>
      <c r="C313">
        <v>2104.2700199999999</v>
      </c>
      <c r="D313">
        <v>1993.26001</v>
      </c>
      <c r="E313">
        <v>2043.9399410000001</v>
      </c>
      <c r="F313">
        <v>2043.9399410000001</v>
      </c>
      <c r="G313">
        <v>83649260000</v>
      </c>
    </row>
    <row r="314" spans="1:7" x14ac:dyDescent="0.3">
      <c r="A314" s="1">
        <v>42370</v>
      </c>
      <c r="B314">
        <v>2038.1999510000001</v>
      </c>
      <c r="C314">
        <v>2038.1999510000001</v>
      </c>
      <c r="D314">
        <v>1812.290039</v>
      </c>
      <c r="E314">
        <v>1940.23999</v>
      </c>
      <c r="F314">
        <v>1940.23999</v>
      </c>
      <c r="G314">
        <v>92409770000</v>
      </c>
    </row>
    <row r="315" spans="1:7" x14ac:dyDescent="0.3">
      <c r="A315" s="1">
        <v>42401</v>
      </c>
      <c r="B315">
        <v>1936.9399410000001</v>
      </c>
      <c r="C315">
        <v>1962.959961</v>
      </c>
      <c r="D315">
        <v>1810.099976</v>
      </c>
      <c r="E315">
        <v>1932.2299800000001</v>
      </c>
      <c r="F315">
        <v>1932.2299800000001</v>
      </c>
      <c r="G315">
        <v>93049560000</v>
      </c>
    </row>
    <row r="316" spans="1:7" x14ac:dyDescent="0.3">
      <c r="A316" s="1">
        <v>42430</v>
      </c>
      <c r="B316">
        <v>1937.089966</v>
      </c>
      <c r="C316">
        <v>2072.209961</v>
      </c>
      <c r="D316">
        <v>1937.089966</v>
      </c>
      <c r="E316">
        <v>2059.73999</v>
      </c>
      <c r="F316">
        <v>2059.73999</v>
      </c>
      <c r="G316">
        <v>92639420000</v>
      </c>
    </row>
    <row r="317" spans="1:7" x14ac:dyDescent="0.3">
      <c r="A317" s="1">
        <v>42461</v>
      </c>
      <c r="B317">
        <v>2056.6201169999999</v>
      </c>
      <c r="C317">
        <v>2111.0500489999999</v>
      </c>
      <c r="D317">
        <v>2033.8000489999999</v>
      </c>
      <c r="E317">
        <v>2065.3000489999999</v>
      </c>
      <c r="F317">
        <v>2065.3000489999999</v>
      </c>
      <c r="G317">
        <v>81124990000</v>
      </c>
    </row>
    <row r="318" spans="1:7" x14ac:dyDescent="0.3">
      <c r="A318" s="1">
        <v>42491</v>
      </c>
      <c r="B318">
        <v>2067.169922</v>
      </c>
      <c r="C318">
        <v>2103.4799800000001</v>
      </c>
      <c r="D318">
        <v>2025.910034</v>
      </c>
      <c r="E318">
        <v>2096.9499510000001</v>
      </c>
      <c r="F318">
        <v>2096.9499510000001</v>
      </c>
      <c r="G318">
        <v>78883600000</v>
      </c>
    </row>
    <row r="319" spans="1:7" x14ac:dyDescent="0.3">
      <c r="A319" s="1">
        <v>42522</v>
      </c>
      <c r="B319">
        <v>2093.9399410000001</v>
      </c>
      <c r="C319">
        <v>2120.5500489999999</v>
      </c>
      <c r="D319">
        <v>1991.6800539999999</v>
      </c>
      <c r="E319">
        <v>2098.860107</v>
      </c>
      <c r="F319">
        <v>2098.860107</v>
      </c>
      <c r="G319">
        <v>86852700000</v>
      </c>
    </row>
    <row r="320" spans="1:7" x14ac:dyDescent="0.3">
      <c r="A320" s="1">
        <v>42552</v>
      </c>
      <c r="B320">
        <v>2099.3400879999999</v>
      </c>
      <c r="C320">
        <v>2177.0900879999999</v>
      </c>
      <c r="D320">
        <v>2074.0200199999999</v>
      </c>
      <c r="E320">
        <v>2173.6000979999999</v>
      </c>
      <c r="F320">
        <v>2173.6000979999999</v>
      </c>
      <c r="G320">
        <v>69530250000</v>
      </c>
    </row>
    <row r="321" spans="1:7" x14ac:dyDescent="0.3">
      <c r="A321" s="1">
        <v>42583</v>
      </c>
      <c r="B321">
        <v>2173.1499020000001</v>
      </c>
      <c r="C321">
        <v>2193.8100589999999</v>
      </c>
      <c r="D321">
        <v>2147.580078</v>
      </c>
      <c r="E321">
        <v>2170.9499510000001</v>
      </c>
      <c r="F321">
        <v>2170.9499510000001</v>
      </c>
      <c r="G321">
        <v>75610310000</v>
      </c>
    </row>
    <row r="322" spans="1:7" x14ac:dyDescent="0.3">
      <c r="A322" s="1">
        <v>42614</v>
      </c>
      <c r="B322">
        <v>2171.330078</v>
      </c>
      <c r="C322">
        <v>2187.8701169999999</v>
      </c>
      <c r="D322">
        <v>2119.1201169999999</v>
      </c>
      <c r="E322">
        <v>2168.2700199999999</v>
      </c>
      <c r="F322">
        <v>2168.2700199999999</v>
      </c>
      <c r="G322">
        <v>77023620000</v>
      </c>
    </row>
    <row r="323" spans="1:7" x14ac:dyDescent="0.3">
      <c r="A323" s="1">
        <v>42644</v>
      </c>
      <c r="B323">
        <v>2164.330078</v>
      </c>
      <c r="C323">
        <v>2169.6000979999999</v>
      </c>
      <c r="D323">
        <v>2114.719971</v>
      </c>
      <c r="E323">
        <v>2126.1499020000001</v>
      </c>
      <c r="F323">
        <v>2126.1499020000001</v>
      </c>
      <c r="G323">
        <v>72915530000</v>
      </c>
    </row>
    <row r="324" spans="1:7" x14ac:dyDescent="0.3">
      <c r="A324" s="1">
        <v>42675</v>
      </c>
      <c r="B324">
        <v>2128.679932</v>
      </c>
      <c r="C324">
        <v>2214.1000979999999</v>
      </c>
      <c r="D324">
        <v>2083.790039</v>
      </c>
      <c r="E324">
        <v>2198.8100589999999</v>
      </c>
      <c r="F324">
        <v>2198.8100589999999</v>
      </c>
      <c r="G324">
        <v>88445380000</v>
      </c>
    </row>
    <row r="325" spans="1:7" x14ac:dyDescent="0.3">
      <c r="A325" s="1">
        <v>42705</v>
      </c>
      <c r="B325">
        <v>2200.169922</v>
      </c>
      <c r="C325">
        <v>2277.530029</v>
      </c>
      <c r="D325">
        <v>2187.4399410000001</v>
      </c>
      <c r="E325">
        <v>2238.830078</v>
      </c>
      <c r="F325">
        <v>2238.830078</v>
      </c>
      <c r="G325">
        <v>75344550000</v>
      </c>
    </row>
    <row r="326" spans="1:7" x14ac:dyDescent="0.3">
      <c r="A326" s="1">
        <v>42736</v>
      </c>
      <c r="B326">
        <v>2251.570068</v>
      </c>
      <c r="C326">
        <v>2300.98999</v>
      </c>
      <c r="D326">
        <v>2245.1298830000001</v>
      </c>
      <c r="E326">
        <v>2278.8701169999999</v>
      </c>
      <c r="F326">
        <v>2278.8701169999999</v>
      </c>
      <c r="G326">
        <v>70576420000</v>
      </c>
    </row>
    <row r="327" spans="1:7" x14ac:dyDescent="0.3">
      <c r="A327" s="1">
        <v>42767</v>
      </c>
      <c r="B327">
        <v>2285.5900879999999</v>
      </c>
      <c r="C327">
        <v>2371.540039</v>
      </c>
      <c r="D327">
        <v>2271.6499020000001</v>
      </c>
      <c r="E327">
        <v>2363.639893</v>
      </c>
      <c r="F327">
        <v>2363.639893</v>
      </c>
      <c r="G327">
        <v>69260940000</v>
      </c>
    </row>
    <row r="328" spans="1:7" x14ac:dyDescent="0.3">
      <c r="A328" s="1">
        <v>42795</v>
      </c>
      <c r="B328">
        <v>2380.1298830000001</v>
      </c>
      <c r="C328">
        <v>2400.9799800000001</v>
      </c>
      <c r="D328">
        <v>2322.25</v>
      </c>
      <c r="E328">
        <v>2362.719971</v>
      </c>
      <c r="F328">
        <v>2362.719971</v>
      </c>
      <c r="G328">
        <v>81664010000</v>
      </c>
    </row>
    <row r="329" spans="1:7" x14ac:dyDescent="0.3">
      <c r="A329" s="1">
        <v>42826</v>
      </c>
      <c r="B329">
        <v>2362.3400879999999</v>
      </c>
      <c r="C329">
        <v>2398.1599120000001</v>
      </c>
      <c r="D329">
        <v>2328.9499510000001</v>
      </c>
      <c r="E329">
        <v>2384.1999510000001</v>
      </c>
      <c r="F329">
        <v>2384.1999510000001</v>
      </c>
      <c r="G329">
        <v>65369860000</v>
      </c>
    </row>
    <row r="330" spans="1:7" x14ac:dyDescent="0.3">
      <c r="A330" s="1">
        <v>42856</v>
      </c>
      <c r="B330">
        <v>2388.5</v>
      </c>
      <c r="C330">
        <v>2418.709961</v>
      </c>
      <c r="D330">
        <v>2352.719971</v>
      </c>
      <c r="E330">
        <v>2411.8000489999999</v>
      </c>
      <c r="F330">
        <v>2411.8000489999999</v>
      </c>
      <c r="G330">
        <v>79719460000</v>
      </c>
    </row>
    <row r="331" spans="1:7" x14ac:dyDescent="0.3">
      <c r="A331" s="1">
        <v>42887</v>
      </c>
      <c r="B331">
        <v>2415.6499020000001</v>
      </c>
      <c r="C331">
        <v>2453.820068</v>
      </c>
      <c r="D331">
        <v>2405.6999510000001</v>
      </c>
      <c r="E331">
        <v>2423.4099120000001</v>
      </c>
      <c r="F331">
        <v>2423.4099120000001</v>
      </c>
      <c r="G331">
        <v>81078810000</v>
      </c>
    </row>
    <row r="332" spans="1:7" x14ac:dyDescent="0.3">
      <c r="A332" s="1">
        <v>42917</v>
      </c>
      <c r="B332">
        <v>2431.389893</v>
      </c>
      <c r="C332">
        <v>2484.040039</v>
      </c>
      <c r="D332">
        <v>2407.6999510000001</v>
      </c>
      <c r="E332">
        <v>2470.3000489999999</v>
      </c>
      <c r="F332">
        <v>2470.3000489999999</v>
      </c>
      <c r="G332">
        <v>63348090000</v>
      </c>
    </row>
    <row r="333" spans="1:7" x14ac:dyDescent="0.3">
      <c r="A333" s="1">
        <v>42948</v>
      </c>
      <c r="B333">
        <v>2477.1000979999999</v>
      </c>
      <c r="C333">
        <v>2490.8701169999999</v>
      </c>
      <c r="D333">
        <v>2417.3500979999999</v>
      </c>
      <c r="E333">
        <v>2471.6499020000001</v>
      </c>
      <c r="F333">
        <v>2471.6499020000001</v>
      </c>
      <c r="G333">
        <v>70784900000</v>
      </c>
    </row>
    <row r="334" spans="1:7" x14ac:dyDescent="0.3">
      <c r="A334" s="1">
        <v>42979</v>
      </c>
      <c r="B334">
        <v>2474.419922</v>
      </c>
      <c r="C334">
        <v>2519.4399410000001</v>
      </c>
      <c r="D334">
        <v>2446.5500489999999</v>
      </c>
      <c r="E334">
        <v>2519.360107</v>
      </c>
      <c r="F334">
        <v>2519.360107</v>
      </c>
      <c r="G334">
        <v>66624120000</v>
      </c>
    </row>
    <row r="335" spans="1:7" x14ac:dyDescent="0.3">
      <c r="A335" s="1">
        <v>43009</v>
      </c>
      <c r="B335">
        <v>2521.1999510000001</v>
      </c>
      <c r="C335">
        <v>2582.9799800000001</v>
      </c>
      <c r="D335">
        <v>2520.3999020000001</v>
      </c>
      <c r="E335">
        <v>2575.26001</v>
      </c>
      <c r="F335">
        <v>2575.26001</v>
      </c>
      <c r="G335">
        <v>71088550000</v>
      </c>
    </row>
    <row r="336" spans="1:7" x14ac:dyDescent="0.3">
      <c r="A336" s="1">
        <v>43040</v>
      </c>
      <c r="B336">
        <v>2583.209961</v>
      </c>
      <c r="C336">
        <v>2657.73999</v>
      </c>
      <c r="D336">
        <v>2557.4499510000001</v>
      </c>
      <c r="E336">
        <v>2647.580078</v>
      </c>
      <c r="F336">
        <v>2647.580078</v>
      </c>
      <c r="G336">
        <v>73416960000</v>
      </c>
    </row>
    <row r="337" spans="1:7" x14ac:dyDescent="0.3">
      <c r="A337" s="1">
        <v>43070</v>
      </c>
      <c r="B337">
        <v>2645.1000979999999</v>
      </c>
      <c r="C337">
        <v>2694.969971</v>
      </c>
      <c r="D337">
        <v>2605.5200199999999</v>
      </c>
      <c r="E337">
        <v>2673.610107</v>
      </c>
      <c r="F337">
        <v>2673.610107</v>
      </c>
      <c r="G337">
        <v>65531700000</v>
      </c>
    </row>
    <row r="338" spans="1:7" x14ac:dyDescent="0.3">
      <c r="A338" s="1">
        <v>43101</v>
      </c>
      <c r="B338">
        <v>2683.7299800000001</v>
      </c>
      <c r="C338">
        <v>2872.8701169999999</v>
      </c>
      <c r="D338">
        <v>2682.360107</v>
      </c>
      <c r="E338">
        <v>2823.8100589999999</v>
      </c>
      <c r="F338">
        <v>2823.8100589999999</v>
      </c>
      <c r="G338">
        <v>77318690000</v>
      </c>
    </row>
    <row r="339" spans="1:7" x14ac:dyDescent="0.3">
      <c r="A339" s="1">
        <v>43132</v>
      </c>
      <c r="B339">
        <v>2816.4499510000001</v>
      </c>
      <c r="C339">
        <v>2835.959961</v>
      </c>
      <c r="D339">
        <v>2532.6899410000001</v>
      </c>
      <c r="E339">
        <v>2713.830078</v>
      </c>
      <c r="F339">
        <v>2713.830078</v>
      </c>
      <c r="G339">
        <v>79933970000</v>
      </c>
    </row>
    <row r="340" spans="1:7" x14ac:dyDescent="0.3">
      <c r="A340" s="1">
        <v>43160</v>
      </c>
      <c r="B340">
        <v>2715.219971</v>
      </c>
      <c r="C340">
        <v>2801.8999020000001</v>
      </c>
      <c r="D340">
        <v>2585.889893</v>
      </c>
      <c r="E340">
        <v>2640.8701169999999</v>
      </c>
      <c r="F340">
        <v>2640.8701169999999</v>
      </c>
      <c r="G340">
        <v>76803890000</v>
      </c>
    </row>
    <row r="341" spans="1:7" x14ac:dyDescent="0.3">
      <c r="A341" s="1">
        <v>43191</v>
      </c>
      <c r="B341">
        <v>2633.4499510000001</v>
      </c>
      <c r="C341">
        <v>2717.48999</v>
      </c>
      <c r="D341">
        <v>2553.8000489999999</v>
      </c>
      <c r="E341">
        <v>2648.0500489999999</v>
      </c>
      <c r="F341">
        <v>2648.0500489999999</v>
      </c>
      <c r="G341">
        <v>70194700000</v>
      </c>
    </row>
    <row r="342" spans="1:7" x14ac:dyDescent="0.3">
      <c r="A342" s="1">
        <v>43221</v>
      </c>
      <c r="B342">
        <v>2642.959961</v>
      </c>
      <c r="C342">
        <v>2742.23999</v>
      </c>
      <c r="D342">
        <v>2594.6201169999999</v>
      </c>
      <c r="E342">
        <v>2705.2700199999999</v>
      </c>
      <c r="F342">
        <v>2705.2700199999999</v>
      </c>
      <c r="G342">
        <v>76011820000</v>
      </c>
    </row>
    <row r="343" spans="1:7" x14ac:dyDescent="0.3">
      <c r="A343" s="1">
        <v>43252</v>
      </c>
      <c r="B343">
        <v>2718.6999510000001</v>
      </c>
      <c r="C343">
        <v>2791.469971</v>
      </c>
      <c r="D343">
        <v>2691.98999</v>
      </c>
      <c r="E343">
        <v>2718.3701169999999</v>
      </c>
      <c r="F343">
        <v>2718.3701169999999</v>
      </c>
      <c r="G343">
        <v>77891360000</v>
      </c>
    </row>
    <row r="344" spans="1:7" x14ac:dyDescent="0.3">
      <c r="A344" s="1">
        <v>43282</v>
      </c>
      <c r="B344">
        <v>2704.9499510000001</v>
      </c>
      <c r="C344">
        <v>2848.030029</v>
      </c>
      <c r="D344">
        <v>2698.9499510000001</v>
      </c>
      <c r="E344">
        <v>2816.290039</v>
      </c>
      <c r="F344">
        <v>2816.290039</v>
      </c>
      <c r="G344">
        <v>64898300000</v>
      </c>
    </row>
    <row r="345" spans="1:7" x14ac:dyDescent="0.3">
      <c r="A345" s="1">
        <v>43313</v>
      </c>
      <c r="B345">
        <v>2821.169922</v>
      </c>
      <c r="C345">
        <v>2916.5</v>
      </c>
      <c r="D345">
        <v>2796.3400879999999</v>
      </c>
      <c r="E345">
        <v>2901.5200199999999</v>
      </c>
      <c r="F345">
        <v>2901.5200199999999</v>
      </c>
      <c r="G345">
        <v>69523070000</v>
      </c>
    </row>
    <row r="346" spans="1:7" x14ac:dyDescent="0.3">
      <c r="A346" s="1">
        <v>43344</v>
      </c>
      <c r="B346">
        <v>2896.959961</v>
      </c>
      <c r="C346">
        <v>2940.9099120000001</v>
      </c>
      <c r="D346">
        <v>2864.1201169999999</v>
      </c>
      <c r="E346">
        <v>2913.9799800000001</v>
      </c>
      <c r="F346">
        <v>2913.9799800000001</v>
      </c>
      <c r="G346">
        <v>63031510000</v>
      </c>
    </row>
    <row r="347" spans="1:7" x14ac:dyDescent="0.3">
      <c r="A347" s="1">
        <v>43374</v>
      </c>
      <c r="B347">
        <v>2926.290039</v>
      </c>
      <c r="C347">
        <v>2939.860107</v>
      </c>
      <c r="D347">
        <v>2603.540039</v>
      </c>
      <c r="E347">
        <v>2711.73999</v>
      </c>
      <c r="F347">
        <v>2711.73999</v>
      </c>
      <c r="G347">
        <v>91930980000</v>
      </c>
    </row>
    <row r="348" spans="1:7" x14ac:dyDescent="0.3">
      <c r="A348" s="1">
        <v>43405</v>
      </c>
      <c r="B348">
        <v>2717.580078</v>
      </c>
      <c r="C348">
        <v>2815.1499020000001</v>
      </c>
      <c r="D348">
        <v>2631.0900879999999</v>
      </c>
      <c r="E348">
        <v>2760.169922</v>
      </c>
      <c r="F348">
        <v>2760.169922</v>
      </c>
      <c r="G348">
        <v>80620020000</v>
      </c>
    </row>
    <row r="349" spans="1:7" x14ac:dyDescent="0.3">
      <c r="A349" s="1">
        <v>43435</v>
      </c>
      <c r="B349">
        <v>2790.5</v>
      </c>
      <c r="C349">
        <v>2800.179932</v>
      </c>
      <c r="D349">
        <v>2346.580078</v>
      </c>
      <c r="E349">
        <v>2506.8500979999999</v>
      </c>
      <c r="F349">
        <v>2506.8500979999999</v>
      </c>
      <c r="G349">
        <v>84162180000</v>
      </c>
    </row>
    <row r="350" spans="1:7" x14ac:dyDescent="0.3">
      <c r="A350" s="1">
        <v>43466</v>
      </c>
      <c r="B350">
        <v>2476.959961</v>
      </c>
      <c r="C350">
        <v>2708.9499510000001</v>
      </c>
      <c r="D350">
        <v>2443.959961</v>
      </c>
      <c r="E350">
        <v>2704.1000979999999</v>
      </c>
      <c r="F350">
        <v>2704.1000979999999</v>
      </c>
      <c r="G350">
        <v>80859870000</v>
      </c>
    </row>
    <row r="351" spans="1:7" x14ac:dyDescent="0.3">
      <c r="A351" s="1">
        <v>43497</v>
      </c>
      <c r="B351">
        <v>2702.320068</v>
      </c>
      <c r="C351">
        <v>2813.48999</v>
      </c>
      <c r="D351">
        <v>2681.830078</v>
      </c>
      <c r="E351">
        <v>2784.48999</v>
      </c>
      <c r="F351">
        <v>2784.48999</v>
      </c>
      <c r="G351">
        <v>70638770000</v>
      </c>
    </row>
    <row r="352" spans="1:7" x14ac:dyDescent="0.3">
      <c r="A352" s="1">
        <v>43525</v>
      </c>
      <c r="B352">
        <v>2798.219971</v>
      </c>
      <c r="C352">
        <v>2860.3100589999999</v>
      </c>
      <c r="D352">
        <v>2722.2700199999999</v>
      </c>
      <c r="E352">
        <v>2834.3999020000001</v>
      </c>
      <c r="F352">
        <v>2834.3999020000001</v>
      </c>
      <c r="G352">
        <v>79159660000</v>
      </c>
    </row>
    <row r="353" spans="1:7" x14ac:dyDescent="0.3">
      <c r="A353" s="1">
        <v>43556</v>
      </c>
      <c r="B353">
        <v>2848.6298830000001</v>
      </c>
      <c r="C353">
        <v>2949.5200199999999</v>
      </c>
      <c r="D353">
        <v>2848.6298830000001</v>
      </c>
      <c r="E353">
        <v>2945.830078</v>
      </c>
      <c r="F353">
        <v>2945.830078</v>
      </c>
      <c r="G353">
        <v>70090370000</v>
      </c>
    </row>
    <row r="354" spans="1:7" x14ac:dyDescent="0.3">
      <c r="A354" s="1">
        <v>43586</v>
      </c>
      <c r="B354">
        <v>2952.330078</v>
      </c>
      <c r="C354">
        <v>2954.1298830000001</v>
      </c>
      <c r="D354">
        <v>2750.5200199999999</v>
      </c>
      <c r="E354">
        <v>2752.0600589999999</v>
      </c>
      <c r="F354">
        <v>2752.0600589999999</v>
      </c>
      <c r="G354">
        <v>77250740000</v>
      </c>
    </row>
    <row r="355" spans="1:7" x14ac:dyDescent="0.3">
      <c r="A355" s="1">
        <v>43617</v>
      </c>
      <c r="B355">
        <v>2751.530029</v>
      </c>
      <c r="C355">
        <v>2964.1499020000001</v>
      </c>
      <c r="D355">
        <v>2728.8100589999999</v>
      </c>
      <c r="E355">
        <v>2941.76001</v>
      </c>
      <c r="F355">
        <v>2941.76001</v>
      </c>
      <c r="G355">
        <v>71250630000</v>
      </c>
    </row>
    <row r="356" spans="1:7" x14ac:dyDescent="0.3">
      <c r="A356" s="1">
        <v>43647</v>
      </c>
      <c r="B356">
        <v>2971.4099120000001</v>
      </c>
      <c r="C356">
        <v>3027.9799800000001</v>
      </c>
      <c r="D356">
        <v>2952.219971</v>
      </c>
      <c r="E356">
        <v>2980.3798830000001</v>
      </c>
      <c r="F356">
        <v>2980.3798830000001</v>
      </c>
      <c r="G356">
        <v>70599470000</v>
      </c>
    </row>
    <row r="357" spans="1:7" x14ac:dyDescent="0.3">
      <c r="A357" s="1">
        <v>43678</v>
      </c>
      <c r="B357">
        <v>2980.320068</v>
      </c>
      <c r="C357">
        <v>3013.5900879999999</v>
      </c>
      <c r="D357">
        <v>2822.1201169999999</v>
      </c>
      <c r="E357">
        <v>2926.459961</v>
      </c>
      <c r="F357">
        <v>2926.459961</v>
      </c>
      <c r="G357">
        <v>80269220000</v>
      </c>
    </row>
    <row r="358" spans="1:7" x14ac:dyDescent="0.3">
      <c r="A358" s="1">
        <v>43709</v>
      </c>
      <c r="B358">
        <v>2909.01001</v>
      </c>
      <c r="C358">
        <v>3021.98999</v>
      </c>
      <c r="D358">
        <v>2891.8500979999999</v>
      </c>
      <c r="E358">
        <v>2976.73999</v>
      </c>
      <c r="F358">
        <v>2976.73999</v>
      </c>
      <c r="G358">
        <v>74178980000</v>
      </c>
    </row>
    <row r="359" spans="1:7" x14ac:dyDescent="0.3">
      <c r="A359" s="1">
        <v>43739</v>
      </c>
      <c r="B359">
        <v>2983.6899410000001</v>
      </c>
      <c r="C359">
        <v>3050.1000979999999</v>
      </c>
      <c r="D359">
        <v>2855.9399410000001</v>
      </c>
      <c r="E359">
        <v>3037.5600589999999</v>
      </c>
      <c r="F359">
        <v>3037.5600589999999</v>
      </c>
      <c r="G359">
        <v>77720640000</v>
      </c>
    </row>
    <row r="360" spans="1:7" x14ac:dyDescent="0.3">
      <c r="A360" s="1">
        <v>43770</v>
      </c>
      <c r="B360">
        <v>3050.719971</v>
      </c>
      <c r="C360">
        <v>3154.26001</v>
      </c>
      <c r="D360">
        <v>3050.719971</v>
      </c>
      <c r="E360">
        <v>3140.9799800000001</v>
      </c>
      <c r="F360">
        <v>3140.9799800000001</v>
      </c>
      <c r="G360">
        <v>72410620000</v>
      </c>
    </row>
    <row r="361" spans="1:7" x14ac:dyDescent="0.3">
      <c r="A361" s="1">
        <v>43800</v>
      </c>
      <c r="B361">
        <v>3143.8500979999999</v>
      </c>
      <c r="C361">
        <v>3247.929932</v>
      </c>
      <c r="D361">
        <v>3070.330078</v>
      </c>
      <c r="E361">
        <v>3230.780029</v>
      </c>
      <c r="F361">
        <v>3230.780029</v>
      </c>
      <c r="G361">
        <v>72325540000</v>
      </c>
    </row>
    <row r="362" spans="1:7" x14ac:dyDescent="0.3">
      <c r="A362" s="1">
        <v>43831</v>
      </c>
      <c r="B362">
        <v>3244.669922</v>
      </c>
      <c r="C362">
        <v>3337.7700199999999</v>
      </c>
      <c r="D362">
        <v>3214.639893</v>
      </c>
      <c r="E362">
        <v>3225.5200199999999</v>
      </c>
      <c r="F362">
        <v>3225.5200199999999</v>
      </c>
      <c r="G362">
        <v>77287980000</v>
      </c>
    </row>
    <row r="363" spans="1:7" x14ac:dyDescent="0.3">
      <c r="A363" s="1">
        <v>43862</v>
      </c>
      <c r="B363">
        <v>3235.6599120000001</v>
      </c>
      <c r="C363">
        <v>3393.5200199999999</v>
      </c>
      <c r="D363">
        <v>2855.8400879999999</v>
      </c>
      <c r="E363">
        <v>2954.219971</v>
      </c>
      <c r="F363">
        <v>2954.219971</v>
      </c>
      <c r="G363">
        <v>84436590000</v>
      </c>
    </row>
    <row r="364" spans="1:7" x14ac:dyDescent="0.3">
      <c r="A364" s="1">
        <v>43891</v>
      </c>
      <c r="B364">
        <v>2974.280029</v>
      </c>
      <c r="C364">
        <v>3136.719971</v>
      </c>
      <c r="D364">
        <v>2191.860107</v>
      </c>
      <c r="E364">
        <v>2584.5900879999999</v>
      </c>
      <c r="F364">
        <v>2584.5900879999999</v>
      </c>
      <c r="G364">
        <v>162185380000</v>
      </c>
    </row>
    <row r="365" spans="1:7" x14ac:dyDescent="0.3">
      <c r="A365" s="1">
        <v>43922</v>
      </c>
      <c r="B365">
        <v>2498.080078</v>
      </c>
      <c r="C365">
        <v>2954.860107</v>
      </c>
      <c r="D365">
        <v>2447.48999</v>
      </c>
      <c r="E365">
        <v>2912.429932</v>
      </c>
      <c r="F365">
        <v>2912.429932</v>
      </c>
      <c r="G365">
        <v>123608160000</v>
      </c>
    </row>
    <row r="366" spans="1:7" x14ac:dyDescent="0.3">
      <c r="A366" s="1">
        <v>43952</v>
      </c>
      <c r="B366">
        <v>2869.0900879999999</v>
      </c>
      <c r="C366">
        <v>3068.669922</v>
      </c>
      <c r="D366">
        <v>2766.639893</v>
      </c>
      <c r="E366">
        <v>3044.3100589999999</v>
      </c>
      <c r="F366">
        <v>3044.3100589999999</v>
      </c>
      <c r="G366">
        <v>107135190000</v>
      </c>
    </row>
    <row r="367" spans="1:7" x14ac:dyDescent="0.3">
      <c r="A367" s="1">
        <v>43983</v>
      </c>
      <c r="B367">
        <v>3038.780029</v>
      </c>
      <c r="C367">
        <v>3233.1298830000001</v>
      </c>
      <c r="D367">
        <v>2965.6599120000001</v>
      </c>
      <c r="E367">
        <v>3100.290039</v>
      </c>
      <c r="F367">
        <v>3100.290039</v>
      </c>
      <c r="G367">
        <v>131458880000</v>
      </c>
    </row>
    <row r="368" spans="1:7" x14ac:dyDescent="0.3">
      <c r="A368" s="1">
        <v>44013</v>
      </c>
      <c r="B368">
        <v>3105.919922</v>
      </c>
      <c r="C368">
        <v>3279.98999</v>
      </c>
      <c r="D368">
        <v>3101.169922</v>
      </c>
      <c r="E368">
        <v>3271.1201169999999</v>
      </c>
      <c r="F368">
        <v>3271.1201169999999</v>
      </c>
      <c r="G368">
        <v>96928130000</v>
      </c>
    </row>
    <row r="369" spans="1:7" x14ac:dyDescent="0.3">
      <c r="A369" s="1">
        <v>44044</v>
      </c>
      <c r="B369">
        <v>3288.26001</v>
      </c>
      <c r="C369">
        <v>3514.7700199999999</v>
      </c>
      <c r="D369">
        <v>3284.530029</v>
      </c>
      <c r="E369">
        <v>3500.3100589999999</v>
      </c>
      <c r="F369">
        <v>3500.3100589999999</v>
      </c>
      <c r="G369">
        <v>82466520000</v>
      </c>
    </row>
    <row r="370" spans="1:7" x14ac:dyDescent="0.3">
      <c r="A370" s="1">
        <v>44075</v>
      </c>
      <c r="B370">
        <v>3507.4399410000001</v>
      </c>
      <c r="C370">
        <v>3588.110107</v>
      </c>
      <c r="D370">
        <v>3209.4499510000001</v>
      </c>
      <c r="E370">
        <v>3363</v>
      </c>
      <c r="F370">
        <v>3363</v>
      </c>
      <c r="G370">
        <v>92310780000</v>
      </c>
    </row>
    <row r="371" spans="1:7" x14ac:dyDescent="0.3">
      <c r="A371" s="1">
        <v>44105</v>
      </c>
      <c r="B371">
        <v>3385.8701169999999</v>
      </c>
      <c r="C371">
        <v>3549.8500979999999</v>
      </c>
      <c r="D371">
        <v>3233.9399410000001</v>
      </c>
      <c r="E371">
        <v>3269.959961</v>
      </c>
      <c r="F371">
        <v>3269.959961</v>
      </c>
      <c r="G371">
        <v>89938980000</v>
      </c>
    </row>
    <row r="372" spans="1:7" x14ac:dyDescent="0.3">
      <c r="A372" s="1">
        <v>44136</v>
      </c>
      <c r="B372">
        <v>3296.1999510000001</v>
      </c>
      <c r="C372">
        <v>3645.98999</v>
      </c>
      <c r="D372">
        <v>3279.73999</v>
      </c>
      <c r="E372">
        <v>3621.6298830000001</v>
      </c>
      <c r="F372">
        <v>3621.6298830000001</v>
      </c>
      <c r="G372">
        <v>101247180000</v>
      </c>
    </row>
    <row r="373" spans="1:7" x14ac:dyDescent="0.3">
      <c r="A373" s="1">
        <v>44166</v>
      </c>
      <c r="B373">
        <v>3645.8701169999999</v>
      </c>
      <c r="C373">
        <v>3760.1999510000001</v>
      </c>
      <c r="D373">
        <v>3633.3999020000001</v>
      </c>
      <c r="E373">
        <v>3756.070068</v>
      </c>
      <c r="F373">
        <v>3756.070068</v>
      </c>
      <c r="G373">
        <v>96375680000</v>
      </c>
    </row>
    <row r="374" spans="1:7" x14ac:dyDescent="0.3">
      <c r="A374" s="1">
        <v>44197</v>
      </c>
      <c r="B374">
        <v>3764.610107</v>
      </c>
      <c r="C374">
        <v>3870.8999020000001</v>
      </c>
      <c r="D374">
        <v>3662.709961</v>
      </c>
      <c r="E374">
        <v>3714.23999</v>
      </c>
      <c r="F374">
        <v>3714.23999</v>
      </c>
      <c r="G374">
        <v>106117800000</v>
      </c>
    </row>
    <row r="375" spans="1:7" x14ac:dyDescent="0.3">
      <c r="A375" s="1">
        <v>44228</v>
      </c>
      <c r="B375">
        <v>3731.169922</v>
      </c>
      <c r="C375">
        <v>3950.429932</v>
      </c>
      <c r="D375">
        <v>3725.6201169999999</v>
      </c>
      <c r="E375">
        <v>3811.1499020000001</v>
      </c>
      <c r="F375">
        <v>3811.1499020000001</v>
      </c>
      <c r="G375">
        <v>99082320000</v>
      </c>
    </row>
    <row r="376" spans="1:7" x14ac:dyDescent="0.3">
      <c r="A376" s="1">
        <v>44256</v>
      </c>
      <c r="B376">
        <v>3842.51001</v>
      </c>
      <c r="C376">
        <v>3994.4099120000001</v>
      </c>
      <c r="D376">
        <v>3723.3400879999999</v>
      </c>
      <c r="E376">
        <v>3972.889893</v>
      </c>
      <c r="F376">
        <v>3972.889893</v>
      </c>
      <c r="G376">
        <v>122371150000</v>
      </c>
    </row>
    <row r="377" spans="1:7" x14ac:dyDescent="0.3">
      <c r="A377" s="1">
        <v>44287</v>
      </c>
      <c r="B377">
        <v>3992.780029</v>
      </c>
      <c r="C377">
        <v>4218.7797849999997</v>
      </c>
      <c r="D377">
        <v>3992.780029</v>
      </c>
      <c r="E377">
        <v>4181.169922</v>
      </c>
      <c r="F377">
        <v>4181.169922</v>
      </c>
      <c r="G377">
        <v>83124090000</v>
      </c>
    </row>
    <row r="378" spans="1:7" x14ac:dyDescent="0.3">
      <c r="A378" s="1">
        <v>44317</v>
      </c>
      <c r="B378">
        <v>4191.9799800000001</v>
      </c>
      <c r="C378">
        <v>4238.0400390000004</v>
      </c>
      <c r="D378">
        <v>4056.8798830000001</v>
      </c>
      <c r="E378">
        <v>4204.1098629999997</v>
      </c>
      <c r="F378">
        <v>4204.1098629999997</v>
      </c>
      <c r="G378">
        <v>88321860000</v>
      </c>
    </row>
    <row r="379" spans="1:7" x14ac:dyDescent="0.3">
      <c r="A379" s="1">
        <v>44348</v>
      </c>
      <c r="B379">
        <v>4216.5200199999999</v>
      </c>
      <c r="C379">
        <v>4302.4301759999998</v>
      </c>
      <c r="D379">
        <v>4164.3999020000001</v>
      </c>
      <c r="E379">
        <v>4297.5</v>
      </c>
      <c r="F379">
        <v>4297.5</v>
      </c>
      <c r="G379">
        <v>102544180000</v>
      </c>
    </row>
    <row r="380" spans="1:7" x14ac:dyDescent="0.3">
      <c r="A380" s="1">
        <v>44378</v>
      </c>
      <c r="B380">
        <v>4300.7299800000001</v>
      </c>
      <c r="C380">
        <v>4429.9702150000003</v>
      </c>
      <c r="D380">
        <v>4233.1298829999996</v>
      </c>
      <c r="E380">
        <v>4395.2597660000001</v>
      </c>
      <c r="F380">
        <v>4395.2597660000001</v>
      </c>
      <c r="G380">
        <v>84255620000</v>
      </c>
    </row>
    <row r="381" spans="1:7" x14ac:dyDescent="0.3">
      <c r="A381" s="1">
        <v>44409</v>
      </c>
      <c r="B381">
        <v>4406.8598629999997</v>
      </c>
      <c r="C381">
        <v>4537.3598629999997</v>
      </c>
      <c r="D381">
        <v>4367.7299800000001</v>
      </c>
      <c r="E381">
        <v>4522.6801759999998</v>
      </c>
      <c r="F381">
        <v>4522.6801759999998</v>
      </c>
      <c r="G381">
        <v>80500760000</v>
      </c>
    </row>
    <row r="382" spans="1:7" x14ac:dyDescent="0.3">
      <c r="A382" s="1">
        <v>44440</v>
      </c>
      <c r="B382">
        <v>4528.7998049999997</v>
      </c>
      <c r="C382">
        <v>4545.8500979999999</v>
      </c>
      <c r="D382">
        <v>4305.9101559999999</v>
      </c>
      <c r="E382">
        <v>4307.5400390000004</v>
      </c>
      <c r="F382">
        <v>4307.5400390000004</v>
      </c>
      <c r="G382">
        <v>85528860000</v>
      </c>
    </row>
    <row r="383" spans="1:7" x14ac:dyDescent="0.3">
      <c r="A383" s="1">
        <v>44470</v>
      </c>
      <c r="B383">
        <v>4317.1601559999999</v>
      </c>
      <c r="C383">
        <v>4608.080078</v>
      </c>
      <c r="D383">
        <v>4278.9399409999996</v>
      </c>
      <c r="E383">
        <v>4605.3798829999996</v>
      </c>
      <c r="F383">
        <v>4605.3798829999996</v>
      </c>
      <c r="G383">
        <v>80253600000</v>
      </c>
    </row>
    <row r="384" spans="1:7" x14ac:dyDescent="0.3">
      <c r="A384" s="1">
        <v>44501</v>
      </c>
      <c r="B384">
        <v>4610.6201170000004</v>
      </c>
      <c r="C384">
        <v>4743.830078</v>
      </c>
      <c r="D384">
        <v>4560</v>
      </c>
      <c r="E384">
        <v>4567</v>
      </c>
      <c r="F384">
        <v>4567</v>
      </c>
      <c r="G384">
        <v>88268840000</v>
      </c>
    </row>
    <row r="385" spans="1:7" x14ac:dyDescent="0.3">
      <c r="A385" s="1">
        <v>44531</v>
      </c>
      <c r="B385">
        <v>4602.8198240000002</v>
      </c>
      <c r="C385">
        <v>4808.9301759999998</v>
      </c>
      <c r="D385">
        <v>4495.1201170000004</v>
      </c>
      <c r="E385">
        <v>4766.1801759999998</v>
      </c>
      <c r="F385">
        <v>4766.1801759999998</v>
      </c>
      <c r="G385">
        <v>92750180000</v>
      </c>
    </row>
    <row r="386" spans="1:7" x14ac:dyDescent="0.3">
      <c r="A386" s="1">
        <v>44562</v>
      </c>
      <c r="B386">
        <v>4778.1401370000003</v>
      </c>
      <c r="C386">
        <v>4818.6201170000004</v>
      </c>
      <c r="D386">
        <v>4222.6201170000004</v>
      </c>
      <c r="E386">
        <v>4515.5498049999997</v>
      </c>
      <c r="F386">
        <v>4515.5498049999997</v>
      </c>
      <c r="G386">
        <v>95562890000</v>
      </c>
    </row>
    <row r="387" spans="1:7" x14ac:dyDescent="0.3">
      <c r="A387" s="1">
        <v>44593</v>
      </c>
      <c r="B387">
        <v>4519.5698240000002</v>
      </c>
      <c r="C387">
        <v>4595.3100590000004</v>
      </c>
      <c r="D387">
        <v>4114.6499020000001</v>
      </c>
      <c r="E387">
        <v>4373.9399409999996</v>
      </c>
      <c r="F387">
        <v>4373.9399409999996</v>
      </c>
      <c r="G387">
        <v>92667710000</v>
      </c>
    </row>
    <row r="388" spans="1:7" x14ac:dyDescent="0.3">
      <c r="A388" s="1">
        <v>44621</v>
      </c>
      <c r="B388">
        <v>4363.1401370000003</v>
      </c>
      <c r="C388">
        <v>4637.2998049999997</v>
      </c>
      <c r="D388">
        <v>4157.8701170000004</v>
      </c>
      <c r="E388">
        <v>4530.4101559999999</v>
      </c>
      <c r="F388">
        <v>4530.4101559999999</v>
      </c>
      <c r="G388">
        <v>123546260000</v>
      </c>
    </row>
    <row r="389" spans="1:7" x14ac:dyDescent="0.3">
      <c r="A389" s="1">
        <v>44652</v>
      </c>
      <c r="B389">
        <v>4540.3198240000002</v>
      </c>
      <c r="C389">
        <v>4593.4501950000003</v>
      </c>
      <c r="D389">
        <v>4124.2797849999997</v>
      </c>
      <c r="E389">
        <v>4131.9301759999998</v>
      </c>
      <c r="F389">
        <v>4131.9301759999998</v>
      </c>
      <c r="G389">
        <v>90367840000</v>
      </c>
    </row>
    <row r="390" spans="1:7" x14ac:dyDescent="0.3">
      <c r="A390" s="1">
        <v>44682</v>
      </c>
      <c r="B390">
        <v>4130.6098629999997</v>
      </c>
      <c r="C390">
        <v>4307.6601559999999</v>
      </c>
      <c r="D390">
        <v>3810.320068</v>
      </c>
      <c r="E390">
        <v>4132.1499020000001</v>
      </c>
      <c r="F390">
        <v>4132.1499020000001</v>
      </c>
      <c r="G390">
        <v>108860390000</v>
      </c>
    </row>
    <row r="391" spans="1:7" x14ac:dyDescent="0.3">
      <c r="A391" s="1">
        <v>44713</v>
      </c>
      <c r="B391">
        <v>4149.7797849999997</v>
      </c>
      <c r="C391">
        <v>4177.5097660000001</v>
      </c>
      <c r="D391">
        <v>3636.8701169999999</v>
      </c>
      <c r="E391">
        <v>3785.3798830000001</v>
      </c>
      <c r="F391">
        <v>3785.3798830000001</v>
      </c>
      <c r="G391">
        <v>106116710000</v>
      </c>
    </row>
    <row r="392" spans="1:7" x14ac:dyDescent="0.3">
      <c r="A392" s="1">
        <v>44743</v>
      </c>
      <c r="B392">
        <v>3781</v>
      </c>
      <c r="C392">
        <v>4140.1499020000001</v>
      </c>
      <c r="D392">
        <v>3721.5600589999999</v>
      </c>
      <c r="E392">
        <v>4130.2900390000004</v>
      </c>
      <c r="F392">
        <v>4130.2900390000004</v>
      </c>
      <c r="G392">
        <v>81688320000</v>
      </c>
    </row>
    <row r="393" spans="1:7" x14ac:dyDescent="0.3">
      <c r="A393" s="1">
        <v>44774</v>
      </c>
      <c r="B393">
        <v>4112.3798829999996</v>
      </c>
      <c r="C393">
        <v>4325.2797849999997</v>
      </c>
      <c r="D393">
        <v>3954.530029</v>
      </c>
      <c r="E393">
        <v>3955</v>
      </c>
      <c r="F393">
        <v>3955</v>
      </c>
      <c r="G393">
        <v>92252350000</v>
      </c>
    </row>
    <row r="394" spans="1:7" x14ac:dyDescent="0.3">
      <c r="A394" s="1">
        <v>44805</v>
      </c>
      <c r="B394">
        <v>3936.7299800000001</v>
      </c>
      <c r="C394">
        <v>4119.2797849999997</v>
      </c>
      <c r="D394">
        <v>3584.1298830000001</v>
      </c>
      <c r="E394">
        <v>3585.6201169999999</v>
      </c>
      <c r="F394">
        <v>3585.6201169999999</v>
      </c>
      <c r="G394">
        <v>94241020000</v>
      </c>
    </row>
    <row r="395" spans="1:7" x14ac:dyDescent="0.3">
      <c r="A395" s="1">
        <v>44835</v>
      </c>
      <c r="B395">
        <v>3609.780029</v>
      </c>
      <c r="C395">
        <v>3905.419922</v>
      </c>
      <c r="D395">
        <v>3491.580078</v>
      </c>
      <c r="E395">
        <v>3871.9799800000001</v>
      </c>
      <c r="F395">
        <v>3871.9799800000001</v>
      </c>
      <c r="G395">
        <v>95823760000</v>
      </c>
    </row>
    <row r="396" spans="1:7" x14ac:dyDescent="0.3">
      <c r="A396" s="1">
        <v>44866</v>
      </c>
      <c r="B396">
        <v>3901.790039</v>
      </c>
      <c r="C396">
        <v>4080.110107</v>
      </c>
      <c r="D396">
        <v>3698.1499020000001</v>
      </c>
      <c r="E396">
        <v>4080.110107</v>
      </c>
      <c r="F396">
        <v>4080.110107</v>
      </c>
      <c r="G396">
        <v>92671910000</v>
      </c>
    </row>
    <row r="397" spans="1:7" x14ac:dyDescent="0.3">
      <c r="A397" s="1">
        <v>44896</v>
      </c>
      <c r="B397">
        <v>4087.139893</v>
      </c>
      <c r="C397">
        <v>4100.9599609999996</v>
      </c>
      <c r="D397">
        <v>3764.48999</v>
      </c>
      <c r="E397">
        <v>3839.5</v>
      </c>
      <c r="F397">
        <v>3839.5</v>
      </c>
      <c r="G397">
        <v>85249330000</v>
      </c>
    </row>
    <row r="398" spans="1:7" x14ac:dyDescent="0.3">
      <c r="A398" s="1">
        <v>44927</v>
      </c>
      <c r="B398">
        <v>3853.290039</v>
      </c>
      <c r="C398">
        <v>4094.209961</v>
      </c>
      <c r="D398">
        <v>3794.330078</v>
      </c>
      <c r="E398">
        <v>4076.6000979999999</v>
      </c>
      <c r="F398">
        <v>4076.6000979999999</v>
      </c>
      <c r="G398">
        <v>80763810000</v>
      </c>
    </row>
    <row r="399" spans="1:7" x14ac:dyDescent="0.3">
      <c r="A399" s="1">
        <v>44958</v>
      </c>
      <c r="B399">
        <v>4070.070068</v>
      </c>
      <c r="C399">
        <v>4195.4399409999996</v>
      </c>
      <c r="D399">
        <v>3943.080078</v>
      </c>
      <c r="E399">
        <v>3970.1499020000001</v>
      </c>
      <c r="F399">
        <v>3970.1499020000001</v>
      </c>
      <c r="G399">
        <v>80392280000</v>
      </c>
    </row>
    <row r="400" spans="1:7" x14ac:dyDescent="0.3">
      <c r="A400" s="1">
        <v>44986</v>
      </c>
      <c r="B400">
        <v>3963.3400879999999</v>
      </c>
      <c r="C400">
        <v>4110.75</v>
      </c>
      <c r="D400">
        <v>3808.860107</v>
      </c>
      <c r="E400">
        <v>4109.3100590000004</v>
      </c>
      <c r="F400">
        <v>4109.3100590000004</v>
      </c>
      <c r="G400">
        <v>113094800000</v>
      </c>
    </row>
    <row r="401" spans="1:7" x14ac:dyDescent="0.3">
      <c r="A401" s="1">
        <v>45017</v>
      </c>
      <c r="B401">
        <v>4102.2001950000003</v>
      </c>
      <c r="C401">
        <v>4170.0600590000004</v>
      </c>
      <c r="D401">
        <v>4049.3500979999999</v>
      </c>
      <c r="E401">
        <v>4169.4799800000001</v>
      </c>
      <c r="F401">
        <v>4169.4799800000001</v>
      </c>
      <c r="G401">
        <v>70861260000</v>
      </c>
    </row>
    <row r="402" spans="1:7" x14ac:dyDescent="0.3">
      <c r="A402" s="1">
        <v>45047</v>
      </c>
      <c r="B402">
        <v>4166.7900390000004</v>
      </c>
      <c r="C402">
        <v>4231.1000979999999</v>
      </c>
      <c r="D402">
        <v>4048.280029</v>
      </c>
      <c r="E402">
        <v>4179.830078</v>
      </c>
      <c r="F402">
        <v>4179.830078</v>
      </c>
      <c r="G402">
        <v>88929200000</v>
      </c>
    </row>
    <row r="403" spans="1:7" x14ac:dyDescent="0.3">
      <c r="A403" s="1">
        <v>45078</v>
      </c>
      <c r="B403">
        <v>4183.0297849999997</v>
      </c>
      <c r="C403">
        <v>4458.4799800000001</v>
      </c>
      <c r="D403">
        <v>4171.6401370000003</v>
      </c>
      <c r="E403">
        <v>4450.3798829999996</v>
      </c>
      <c r="F403">
        <v>4450.3798829999996</v>
      </c>
      <c r="G403">
        <v>87983140000</v>
      </c>
    </row>
    <row r="404" spans="1:7" x14ac:dyDescent="0.3">
      <c r="A404" s="1">
        <v>45108</v>
      </c>
      <c r="B404">
        <v>4450.4799800000001</v>
      </c>
      <c r="C404">
        <v>4607.0698240000002</v>
      </c>
      <c r="D404">
        <v>4385.0498049999997</v>
      </c>
      <c r="E404">
        <v>4588.9599609999996</v>
      </c>
      <c r="F404">
        <v>4588.9599609999996</v>
      </c>
      <c r="G404">
        <v>75063200000</v>
      </c>
    </row>
    <row r="405" spans="1:7" x14ac:dyDescent="0.3">
      <c r="A405" s="1">
        <v>45139</v>
      </c>
      <c r="B405">
        <v>4578.830078</v>
      </c>
      <c r="C405">
        <v>4584.6201170000004</v>
      </c>
      <c r="D405">
        <v>4335.3100590000004</v>
      </c>
      <c r="E405">
        <v>4507.6601559999999</v>
      </c>
      <c r="F405">
        <v>4507.6601559999999</v>
      </c>
      <c r="G405">
        <v>86840820000</v>
      </c>
    </row>
    <row r="406" spans="1:7" x14ac:dyDescent="0.3">
      <c r="A406" s="1">
        <v>45170</v>
      </c>
      <c r="B406">
        <v>4530.6000979999999</v>
      </c>
      <c r="C406">
        <v>4541.25</v>
      </c>
      <c r="D406">
        <v>4238.6298829999996</v>
      </c>
      <c r="E406">
        <v>4288.0498049999997</v>
      </c>
      <c r="F406">
        <v>4288.0498049999997</v>
      </c>
      <c r="G406">
        <v>73482980000</v>
      </c>
    </row>
    <row r="407" spans="1:7" x14ac:dyDescent="0.3">
      <c r="A407" s="1">
        <v>45200</v>
      </c>
      <c r="B407">
        <v>4284.5200199999999</v>
      </c>
      <c r="C407">
        <v>4393.5698240000002</v>
      </c>
      <c r="D407">
        <v>4103.7797849999997</v>
      </c>
      <c r="E407">
        <v>4193.7998049999997</v>
      </c>
      <c r="F407">
        <v>4193.7998049999997</v>
      </c>
      <c r="G407">
        <v>83519460000</v>
      </c>
    </row>
    <row r="408" spans="1:7" x14ac:dyDescent="0.3">
      <c r="A408" s="1">
        <v>45231</v>
      </c>
      <c r="B408">
        <v>4201.2700199999999</v>
      </c>
      <c r="C408">
        <v>4587.6401370000003</v>
      </c>
      <c r="D408">
        <v>4197.7402339999999</v>
      </c>
      <c r="E408">
        <v>4567.7998049999997</v>
      </c>
      <c r="F408">
        <v>4567.7998049999997</v>
      </c>
      <c r="G408">
        <v>80970570000</v>
      </c>
    </row>
    <row r="409" spans="1:7" x14ac:dyDescent="0.3">
      <c r="A409" s="1">
        <v>45261</v>
      </c>
      <c r="B409">
        <v>4559.4301759999998</v>
      </c>
      <c r="C409">
        <v>4793.2998049999997</v>
      </c>
      <c r="D409">
        <v>4546.5</v>
      </c>
      <c r="E409">
        <v>4769.830078</v>
      </c>
      <c r="F409">
        <v>4769.830078</v>
      </c>
      <c r="G409">
        <v>81530670000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2BE31-106D-49CA-A325-952271263ABA}">
  <dimension ref="A1:AD409"/>
  <sheetViews>
    <sheetView tabSelected="1" topLeftCell="K1" workbookViewId="0">
      <selection activeCell="P6" sqref="P6"/>
    </sheetView>
  </sheetViews>
  <sheetFormatPr defaultRowHeight="14.4" x14ac:dyDescent="0.3"/>
  <cols>
    <col min="1" max="1" width="10.109375" bestFit="1" customWidth="1"/>
    <col min="2" max="7" width="10.77734375" bestFit="1" customWidth="1"/>
    <col min="8" max="8" width="23.109375" bestFit="1" customWidth="1"/>
    <col min="9" max="9" width="10.109375" bestFit="1" customWidth="1"/>
    <col min="10" max="14" width="10.77734375" bestFit="1" customWidth="1"/>
    <col min="15" max="15" width="9.77734375" bestFit="1" customWidth="1"/>
    <col min="16" max="16" width="22.88671875" customWidth="1"/>
    <col min="18" max="18" width="16.5546875" bestFit="1" customWidth="1"/>
    <col min="24" max="24" width="24.77734375" bestFit="1" customWidth="1"/>
    <col min="25" max="25" width="25.21875" bestFit="1" customWidth="1"/>
    <col min="29" max="29" width="26.21875" bestFit="1" customWidth="1"/>
    <col min="30" max="30" width="21.6640625" bestFit="1" customWidth="1"/>
  </cols>
  <sheetData>
    <row r="1" spans="1:30" x14ac:dyDescent="0.3">
      <c r="A1" t="s">
        <v>0</v>
      </c>
      <c r="B1" t="s">
        <v>1</v>
      </c>
      <c r="C1" t="s">
        <v>2</v>
      </c>
      <c r="D1" t="s">
        <v>3</v>
      </c>
      <c r="E1" t="s">
        <v>4</v>
      </c>
      <c r="F1" t="s">
        <v>5</v>
      </c>
      <c r="G1" t="s">
        <v>6</v>
      </c>
      <c r="H1" t="s">
        <v>9</v>
      </c>
      <c r="I1" t="s">
        <v>0</v>
      </c>
      <c r="J1" t="s">
        <v>1</v>
      </c>
      <c r="K1" t="s">
        <v>2</v>
      </c>
      <c r="L1" t="s">
        <v>3</v>
      </c>
      <c r="M1" t="s">
        <v>4</v>
      </c>
      <c r="N1" t="s">
        <v>5</v>
      </c>
      <c r="O1" t="s">
        <v>6</v>
      </c>
      <c r="P1" t="s">
        <v>10</v>
      </c>
      <c r="R1" s="2"/>
      <c r="S1" s="3" t="s">
        <v>11</v>
      </c>
      <c r="T1" s="3" t="s">
        <v>12</v>
      </c>
    </row>
    <row r="2" spans="1:30" x14ac:dyDescent="0.3">
      <c r="A2" s="1">
        <v>32874</v>
      </c>
      <c r="B2">
        <v>0.60590299999999997</v>
      </c>
      <c r="C2">
        <v>0.66666700000000001</v>
      </c>
      <c r="D2">
        <v>0.58333299999999999</v>
      </c>
      <c r="E2">
        <v>0.64236099999999996</v>
      </c>
      <c r="F2">
        <v>0.39823999999999998</v>
      </c>
      <c r="G2">
        <v>2380968000</v>
      </c>
      <c r="I2" s="1">
        <v>32874</v>
      </c>
      <c r="J2">
        <v>5.59375</v>
      </c>
      <c r="K2">
        <v>5.921875</v>
      </c>
      <c r="L2">
        <v>5.140625</v>
      </c>
      <c r="M2">
        <v>5.328125</v>
      </c>
      <c r="N2">
        <v>3.2805209999999998</v>
      </c>
      <c r="O2">
        <v>116814400</v>
      </c>
      <c r="R2" s="4" t="s">
        <v>13</v>
      </c>
      <c r="S2" s="2">
        <f>AVERAGE(H211:H403)</f>
        <v>1.6643685036992945E-2</v>
      </c>
      <c r="T2" s="2">
        <f>AVERAGE(P211:P403)</f>
        <v>9.360907505723836E-3</v>
      </c>
      <c r="X2" s="3" t="s">
        <v>11</v>
      </c>
      <c r="AC2" s="3" t="s">
        <v>12</v>
      </c>
    </row>
    <row r="3" spans="1:30" x14ac:dyDescent="0.3">
      <c r="A3" s="1">
        <v>32905</v>
      </c>
      <c r="B3">
        <v>0.64236099999999996</v>
      </c>
      <c r="C3">
        <v>0.69791700000000001</v>
      </c>
      <c r="D3">
        <v>0.640625</v>
      </c>
      <c r="E3">
        <v>0.68576400000000004</v>
      </c>
      <c r="F3">
        <v>0.425149</v>
      </c>
      <c r="G3">
        <v>1429344000</v>
      </c>
      <c r="I3" s="1">
        <v>32905</v>
      </c>
      <c r="J3">
        <v>5.296875</v>
      </c>
      <c r="K3">
        <v>5.5625</v>
      </c>
      <c r="L3">
        <v>5.046875</v>
      </c>
      <c r="M3">
        <v>5.5</v>
      </c>
      <c r="N3">
        <v>3.3863449999999999</v>
      </c>
      <c r="O3">
        <v>78285600</v>
      </c>
      <c r="R3" s="4" t="s">
        <v>14</v>
      </c>
      <c r="S3" s="2" cm="1">
        <f t="array" ref="S3">GEOMEAN(H211:H403+1)-1</f>
        <v>1.437205934148289E-2</v>
      </c>
      <c r="T3" s="2" cm="1">
        <f t="array" ref="T3">GEOMEAN(P211:P403+1)-1</f>
        <v>8.0799793927537333E-3</v>
      </c>
    </row>
    <row r="4" spans="1:30" x14ac:dyDescent="0.3">
      <c r="A4" s="1">
        <v>32933</v>
      </c>
      <c r="B4">
        <v>0.68402799999999997</v>
      </c>
      <c r="C4">
        <v>0.8125</v>
      </c>
      <c r="D4">
        <v>0.68402799999999997</v>
      </c>
      <c r="E4">
        <v>0.76909700000000003</v>
      </c>
      <c r="F4">
        <v>0.47681200000000001</v>
      </c>
      <c r="G4">
        <v>1717819200</v>
      </c>
      <c r="I4" s="1">
        <v>32933</v>
      </c>
      <c r="J4">
        <v>5.5</v>
      </c>
      <c r="K4">
        <v>5.953125</v>
      </c>
      <c r="L4">
        <v>5.484375</v>
      </c>
      <c r="M4">
        <v>5.90625</v>
      </c>
      <c r="N4">
        <v>3.6364719999999999</v>
      </c>
      <c r="O4">
        <v>95044800</v>
      </c>
      <c r="R4" s="4" t="s">
        <v>15</v>
      </c>
      <c r="S4" s="2">
        <f>STDEV(H211:H403)</f>
        <v>6.8050274298009111E-2</v>
      </c>
      <c r="T4" s="2">
        <f>STDEV(P211:P403)</f>
        <v>5.0633310612865821E-2</v>
      </c>
      <c r="X4" s="6" t="s">
        <v>18</v>
      </c>
      <c r="Y4" t="s">
        <v>20</v>
      </c>
      <c r="AC4" s="6" t="s">
        <v>18</v>
      </c>
      <c r="AD4" t="s">
        <v>41</v>
      </c>
    </row>
    <row r="5" spans="1:30" x14ac:dyDescent="0.3">
      <c r="A5" s="1">
        <v>32964</v>
      </c>
      <c r="B5">
        <v>0.76215299999999997</v>
      </c>
      <c r="C5">
        <v>0.875</v>
      </c>
      <c r="D5">
        <v>0.75868100000000005</v>
      </c>
      <c r="E5">
        <v>0.80555600000000005</v>
      </c>
      <c r="F5">
        <v>0.499415</v>
      </c>
      <c r="G5">
        <v>1200837600</v>
      </c>
      <c r="I5" s="1">
        <v>32964</v>
      </c>
      <c r="J5">
        <v>5.875</v>
      </c>
      <c r="K5">
        <v>6.484375</v>
      </c>
      <c r="L5">
        <v>5.84375</v>
      </c>
      <c r="M5">
        <v>6.203125</v>
      </c>
      <c r="N5">
        <v>3.8249240000000002</v>
      </c>
      <c r="O5">
        <v>96115200</v>
      </c>
      <c r="R5" s="4" t="s">
        <v>16</v>
      </c>
      <c r="S5" s="2">
        <f>IF(COUNT(H211:H403)=COUNT(P211:P403),COVAR(H211:H403,P211:P403))</f>
        <v>8.6813160150667505E-4</v>
      </c>
      <c r="T5" s="2"/>
      <c r="X5" s="7" t="s">
        <v>21</v>
      </c>
      <c r="Y5" s="5">
        <v>3</v>
      </c>
      <c r="AC5" s="7" t="s">
        <v>42</v>
      </c>
      <c r="AD5" s="5">
        <v>3</v>
      </c>
    </row>
    <row r="6" spans="1:30" x14ac:dyDescent="0.3">
      <c r="A6" s="1">
        <v>32994</v>
      </c>
      <c r="B6">
        <v>0.81597200000000003</v>
      </c>
      <c r="C6">
        <v>1.09375</v>
      </c>
      <c r="D6">
        <v>0.78819399999999995</v>
      </c>
      <c r="E6">
        <v>1.013889</v>
      </c>
      <c r="F6">
        <v>0.62857399999999997</v>
      </c>
      <c r="G6">
        <v>1634767200</v>
      </c>
      <c r="I6" s="1">
        <v>32994</v>
      </c>
      <c r="J6">
        <v>6.25</v>
      </c>
      <c r="K6">
        <v>7.1875</v>
      </c>
      <c r="L6">
        <v>6.203125</v>
      </c>
      <c r="M6">
        <v>7.046875</v>
      </c>
      <c r="N6">
        <v>4.3451909999999998</v>
      </c>
      <c r="O6">
        <v>136082400</v>
      </c>
      <c r="R6" s="4" t="s">
        <v>17</v>
      </c>
      <c r="S6" s="2">
        <f>CORREL(H211:H403,P211:P403)</f>
        <v>0.25326515453066523</v>
      </c>
      <c r="T6" s="2"/>
      <c r="X6" s="7" t="s">
        <v>22</v>
      </c>
      <c r="Y6" s="5">
        <v>1</v>
      </c>
      <c r="AC6" s="7" t="s">
        <v>43</v>
      </c>
      <c r="AD6" s="5">
        <v>2</v>
      </c>
    </row>
    <row r="7" spans="1:30" x14ac:dyDescent="0.3">
      <c r="A7" s="1">
        <v>33025</v>
      </c>
      <c r="B7">
        <v>1.017361</v>
      </c>
      <c r="C7">
        <v>1.079861</v>
      </c>
      <c r="D7">
        <v>0.98611099999999996</v>
      </c>
      <c r="E7">
        <v>1.0555559999999999</v>
      </c>
      <c r="F7">
        <v>0.65440699999999996</v>
      </c>
      <c r="G7">
        <v>1165960800</v>
      </c>
      <c r="I7" s="1">
        <v>33025</v>
      </c>
      <c r="J7">
        <v>7.09375</v>
      </c>
      <c r="K7">
        <v>7.953125</v>
      </c>
      <c r="L7">
        <v>7.0625</v>
      </c>
      <c r="M7">
        <v>7.796875</v>
      </c>
      <c r="N7">
        <v>4.8076499999999998</v>
      </c>
      <c r="O7">
        <v>158752800</v>
      </c>
      <c r="X7" s="7" t="s">
        <v>23</v>
      </c>
      <c r="Y7" s="5">
        <v>1</v>
      </c>
      <c r="AC7" s="7" t="s">
        <v>44</v>
      </c>
      <c r="AD7" s="5">
        <v>6</v>
      </c>
    </row>
    <row r="8" spans="1:30" x14ac:dyDescent="0.3">
      <c r="A8" s="1">
        <v>33055</v>
      </c>
      <c r="B8">
        <v>1.0555559999999999</v>
      </c>
      <c r="C8">
        <v>1.1215280000000001</v>
      </c>
      <c r="D8">
        <v>0.91319399999999995</v>
      </c>
      <c r="E8">
        <v>0.92361099999999996</v>
      </c>
      <c r="F8">
        <v>0.57260500000000003</v>
      </c>
      <c r="G8">
        <v>1548979200</v>
      </c>
      <c r="I8" s="1">
        <v>33055</v>
      </c>
      <c r="J8">
        <v>7.828125</v>
      </c>
      <c r="K8">
        <v>9.1875</v>
      </c>
      <c r="L8">
        <v>7.5625</v>
      </c>
      <c r="M8">
        <v>7.84375</v>
      </c>
      <c r="N8">
        <v>4.8422530000000004</v>
      </c>
      <c r="O8">
        <v>207493200</v>
      </c>
      <c r="X8" s="7" t="s">
        <v>24</v>
      </c>
      <c r="Y8" s="5">
        <v>6</v>
      </c>
      <c r="AC8" s="7" t="s">
        <v>45</v>
      </c>
      <c r="AD8" s="5">
        <v>14</v>
      </c>
    </row>
    <row r="9" spans="1:30" x14ac:dyDescent="0.3">
      <c r="A9" s="1">
        <v>33086</v>
      </c>
      <c r="B9">
        <v>0.92013900000000004</v>
      </c>
      <c r="C9">
        <v>0.93402799999999997</v>
      </c>
      <c r="D9">
        <v>0.70486099999999996</v>
      </c>
      <c r="E9">
        <v>0.85416700000000001</v>
      </c>
      <c r="F9">
        <v>0.52955300000000005</v>
      </c>
      <c r="G9">
        <v>1983837600</v>
      </c>
      <c r="I9" s="1">
        <v>33086</v>
      </c>
      <c r="J9">
        <v>7.71875</v>
      </c>
      <c r="K9">
        <v>7.8125</v>
      </c>
      <c r="L9">
        <v>6.21875</v>
      </c>
      <c r="M9">
        <v>7.125</v>
      </c>
      <c r="N9">
        <v>4.3985380000000003</v>
      </c>
      <c r="O9">
        <v>217812400</v>
      </c>
      <c r="X9" s="7" t="s">
        <v>25</v>
      </c>
      <c r="Y9" s="5">
        <v>8</v>
      </c>
      <c r="AC9" s="7" t="s">
        <v>46</v>
      </c>
      <c r="AD9" s="5">
        <v>30</v>
      </c>
    </row>
    <row r="10" spans="1:30" x14ac:dyDescent="0.3">
      <c r="A10" s="1">
        <v>33117</v>
      </c>
      <c r="B10">
        <v>0.84722200000000003</v>
      </c>
      <c r="C10">
        <v>0.88194399999999995</v>
      </c>
      <c r="D10">
        <v>0.75694399999999995</v>
      </c>
      <c r="E10">
        <v>0.875</v>
      </c>
      <c r="F10">
        <v>0.54246799999999995</v>
      </c>
      <c r="G10">
        <v>1270843200</v>
      </c>
      <c r="I10" s="1">
        <v>33117</v>
      </c>
      <c r="J10">
        <v>7</v>
      </c>
      <c r="K10">
        <v>7.21875</v>
      </c>
      <c r="L10">
        <v>6.40625</v>
      </c>
      <c r="M10">
        <v>6.8125</v>
      </c>
      <c r="N10">
        <v>4.2111039999999997</v>
      </c>
      <c r="O10">
        <v>107956000</v>
      </c>
      <c r="X10" s="7" t="s">
        <v>26</v>
      </c>
      <c r="Y10" s="5">
        <v>15</v>
      </c>
      <c r="AC10" s="7" t="s">
        <v>47</v>
      </c>
      <c r="AD10" s="5">
        <v>28</v>
      </c>
    </row>
    <row r="11" spans="1:30" x14ac:dyDescent="0.3">
      <c r="A11" s="1">
        <v>33147</v>
      </c>
      <c r="B11">
        <v>0.89930600000000005</v>
      </c>
      <c r="C11">
        <v>0.95138900000000004</v>
      </c>
      <c r="D11">
        <v>0.74305600000000005</v>
      </c>
      <c r="E11">
        <v>0.88541700000000001</v>
      </c>
      <c r="F11">
        <v>0.54892700000000005</v>
      </c>
      <c r="G11">
        <v>2198116800</v>
      </c>
      <c r="I11" s="1">
        <v>33147</v>
      </c>
      <c r="J11">
        <v>6.9375</v>
      </c>
      <c r="K11">
        <v>7.5</v>
      </c>
      <c r="L11">
        <v>6.21875</v>
      </c>
      <c r="M11">
        <v>6.6875</v>
      </c>
      <c r="N11">
        <v>4.1338350000000004</v>
      </c>
      <c r="O11">
        <v>163780800</v>
      </c>
      <c r="X11" s="7" t="s">
        <v>27</v>
      </c>
      <c r="Y11" s="5">
        <v>11</v>
      </c>
      <c r="AC11" s="7" t="s">
        <v>48</v>
      </c>
      <c r="AD11" s="5">
        <v>35</v>
      </c>
    </row>
    <row r="12" spans="1:30" x14ac:dyDescent="0.3">
      <c r="A12" s="1">
        <v>33178</v>
      </c>
      <c r="B12">
        <v>0.875</v>
      </c>
      <c r="C12">
        <v>1.03125</v>
      </c>
      <c r="D12">
        <v>0.87152799999999997</v>
      </c>
      <c r="E12">
        <v>1.0034719999999999</v>
      </c>
      <c r="F12">
        <v>0.62211700000000003</v>
      </c>
      <c r="G12">
        <v>1253152800</v>
      </c>
      <c r="I12" s="1">
        <v>33178</v>
      </c>
      <c r="J12">
        <v>6.71875</v>
      </c>
      <c r="K12">
        <v>7.5625</v>
      </c>
      <c r="L12">
        <v>6.5625</v>
      </c>
      <c r="M12">
        <v>7.53125</v>
      </c>
      <c r="N12">
        <v>4.6553959999999996</v>
      </c>
      <c r="O12">
        <v>90453200</v>
      </c>
      <c r="X12" s="7" t="s">
        <v>28</v>
      </c>
      <c r="Y12" s="5">
        <v>16</v>
      </c>
      <c r="AC12" s="7" t="s">
        <v>49</v>
      </c>
      <c r="AD12" s="5">
        <v>24</v>
      </c>
    </row>
    <row r="13" spans="1:30" x14ac:dyDescent="0.3">
      <c r="A13" s="1">
        <v>33208</v>
      </c>
      <c r="B13">
        <v>1.017361</v>
      </c>
      <c r="C13">
        <v>1.0659719999999999</v>
      </c>
      <c r="D13">
        <v>0.97916700000000001</v>
      </c>
      <c r="E13">
        <v>1.045139</v>
      </c>
      <c r="F13">
        <v>0.64794799999999997</v>
      </c>
      <c r="G13">
        <v>960004800</v>
      </c>
      <c r="I13" s="1">
        <v>33208</v>
      </c>
      <c r="J13">
        <v>7.6875</v>
      </c>
      <c r="K13">
        <v>8.25</v>
      </c>
      <c r="L13">
        <v>7.34375</v>
      </c>
      <c r="M13">
        <v>7.5625</v>
      </c>
      <c r="N13">
        <v>4.674715</v>
      </c>
      <c r="O13">
        <v>91630000</v>
      </c>
      <c r="X13" s="7" t="s">
        <v>29</v>
      </c>
      <c r="Y13" s="5">
        <v>19</v>
      </c>
      <c r="AC13" s="7" t="s">
        <v>50</v>
      </c>
      <c r="AD13" s="5">
        <v>20</v>
      </c>
    </row>
    <row r="14" spans="1:30" x14ac:dyDescent="0.3">
      <c r="A14" s="1">
        <v>33239</v>
      </c>
      <c r="B14">
        <v>1.0416669999999999</v>
      </c>
      <c r="C14">
        <v>1.3819440000000001</v>
      </c>
      <c r="D14">
        <v>1.013889</v>
      </c>
      <c r="E14">
        <v>1.3628469999999999</v>
      </c>
      <c r="F14">
        <v>0.844916</v>
      </c>
      <c r="G14">
        <v>2219774400</v>
      </c>
      <c r="I14" s="1">
        <v>33239</v>
      </c>
      <c r="J14">
        <v>7.5</v>
      </c>
      <c r="K14">
        <v>8.25</v>
      </c>
      <c r="L14">
        <v>7.125</v>
      </c>
      <c r="M14">
        <v>8.25</v>
      </c>
      <c r="N14">
        <v>5.1054729999999999</v>
      </c>
      <c r="O14">
        <v>122999600</v>
      </c>
      <c r="X14" s="7" t="s">
        <v>30</v>
      </c>
      <c r="Y14" s="5">
        <v>32</v>
      </c>
      <c r="AC14" s="7" t="s">
        <v>51</v>
      </c>
      <c r="AD14" s="5">
        <v>16</v>
      </c>
    </row>
    <row r="15" spans="1:30" x14ac:dyDescent="0.3">
      <c r="A15" s="1">
        <v>33270</v>
      </c>
      <c r="B15">
        <v>1.375</v>
      </c>
      <c r="C15">
        <v>1.513889</v>
      </c>
      <c r="D15">
        <v>1.3506940000000001</v>
      </c>
      <c r="E15">
        <v>1.4409719999999999</v>
      </c>
      <c r="F15">
        <v>0.89334999999999998</v>
      </c>
      <c r="G15">
        <v>1781582400</v>
      </c>
      <c r="I15" s="1">
        <v>33270</v>
      </c>
      <c r="J15">
        <v>8.3125</v>
      </c>
      <c r="K15">
        <v>9.53125</v>
      </c>
      <c r="L15">
        <v>8.1875</v>
      </c>
      <c r="M15">
        <v>8.84375</v>
      </c>
      <c r="N15">
        <v>5.4729169999999998</v>
      </c>
      <c r="O15">
        <v>143195600</v>
      </c>
      <c r="X15" s="7" t="s">
        <v>31</v>
      </c>
      <c r="Y15" s="5">
        <v>26</v>
      </c>
      <c r="AC15" s="7" t="s">
        <v>52</v>
      </c>
      <c r="AD15" s="5">
        <v>8</v>
      </c>
    </row>
    <row r="16" spans="1:30" x14ac:dyDescent="0.3">
      <c r="A16" s="1">
        <v>33298</v>
      </c>
      <c r="B16">
        <v>1.4305559999999999</v>
      </c>
      <c r="C16">
        <v>1.5694440000000001</v>
      </c>
      <c r="D16">
        <v>1.2916669999999999</v>
      </c>
      <c r="E16">
        <v>1.4739580000000001</v>
      </c>
      <c r="F16">
        <v>0.91380099999999997</v>
      </c>
      <c r="G16">
        <v>1932552000</v>
      </c>
      <c r="I16" s="1">
        <v>33298</v>
      </c>
      <c r="J16">
        <v>8.8125</v>
      </c>
      <c r="K16">
        <v>9.96875</v>
      </c>
      <c r="L16">
        <v>8.6875</v>
      </c>
      <c r="M16">
        <v>9.6875</v>
      </c>
      <c r="N16">
        <v>5.995063</v>
      </c>
      <c r="O16">
        <v>103148400</v>
      </c>
      <c r="X16" s="7" t="s">
        <v>32</v>
      </c>
      <c r="Y16" s="5">
        <v>22</v>
      </c>
      <c r="AC16" s="7" t="s">
        <v>53</v>
      </c>
      <c r="AD16" s="5">
        <v>6</v>
      </c>
    </row>
    <row r="17" spans="1:30" x14ac:dyDescent="0.3">
      <c r="A17" s="1">
        <v>33329</v>
      </c>
      <c r="B17">
        <v>1.4722219999999999</v>
      </c>
      <c r="C17">
        <v>1.6319440000000001</v>
      </c>
      <c r="D17">
        <v>1.3333330000000001</v>
      </c>
      <c r="E17">
        <v>1.375</v>
      </c>
      <c r="F17">
        <v>0.85245000000000004</v>
      </c>
      <c r="G17">
        <v>1985781600</v>
      </c>
      <c r="I17" s="1">
        <v>33329</v>
      </c>
      <c r="J17">
        <v>9.71875</v>
      </c>
      <c r="K17">
        <v>11.0625</v>
      </c>
      <c r="L17">
        <v>9.625</v>
      </c>
      <c r="M17">
        <v>10.125</v>
      </c>
      <c r="N17">
        <v>6.2729280000000003</v>
      </c>
      <c r="O17">
        <v>112803600</v>
      </c>
      <c r="X17" s="7" t="s">
        <v>33</v>
      </c>
      <c r="Y17" s="5">
        <v>11</v>
      </c>
      <c r="AC17" s="7" t="s">
        <v>54</v>
      </c>
      <c r="AD17" s="5">
        <v>1</v>
      </c>
    </row>
    <row r="18" spans="1:30" x14ac:dyDescent="0.3">
      <c r="A18" s="1">
        <v>33359</v>
      </c>
      <c r="B18">
        <v>1.3680559999999999</v>
      </c>
      <c r="C18">
        <v>1.5625</v>
      </c>
      <c r="D18">
        <v>1.342014</v>
      </c>
      <c r="E18">
        <v>1.5243059999999999</v>
      </c>
      <c r="F18">
        <v>0.94501500000000005</v>
      </c>
      <c r="G18">
        <v>1462701600</v>
      </c>
      <c r="I18" s="1">
        <v>33359</v>
      </c>
      <c r="J18">
        <v>10.1875</v>
      </c>
      <c r="K18">
        <v>10.71875</v>
      </c>
      <c r="L18">
        <v>9.96875</v>
      </c>
      <c r="M18">
        <v>10.71875</v>
      </c>
      <c r="N18">
        <v>6.640784</v>
      </c>
      <c r="O18">
        <v>102512800</v>
      </c>
      <c r="X18" s="7" t="s">
        <v>34</v>
      </c>
      <c r="Y18" s="5">
        <v>7</v>
      </c>
      <c r="AC18" s="7" t="s">
        <v>19</v>
      </c>
      <c r="AD18" s="5">
        <v>193</v>
      </c>
    </row>
    <row r="19" spans="1:30" x14ac:dyDescent="0.3">
      <c r="A19" s="1">
        <v>33390</v>
      </c>
      <c r="B19">
        <v>1.5208330000000001</v>
      </c>
      <c r="C19">
        <v>1.59375</v>
      </c>
      <c r="D19">
        <v>1.3541669999999999</v>
      </c>
      <c r="E19">
        <v>1.4192709999999999</v>
      </c>
      <c r="F19">
        <v>0.87989700000000004</v>
      </c>
      <c r="G19">
        <v>1295402400</v>
      </c>
      <c r="I19" s="1">
        <v>33390</v>
      </c>
      <c r="J19">
        <v>10.6875</v>
      </c>
      <c r="K19">
        <v>10.96875</v>
      </c>
      <c r="L19">
        <v>10.28125</v>
      </c>
      <c r="M19">
        <v>10.6875</v>
      </c>
      <c r="N19">
        <v>6.6214250000000003</v>
      </c>
      <c r="O19">
        <v>83916000</v>
      </c>
      <c r="X19" s="7" t="s">
        <v>35</v>
      </c>
      <c r="Y19" s="5">
        <v>5</v>
      </c>
    </row>
    <row r="20" spans="1:30" x14ac:dyDescent="0.3">
      <c r="A20" s="1">
        <v>33420</v>
      </c>
      <c r="B20">
        <v>1.4322919999999999</v>
      </c>
      <c r="C20">
        <v>1.5416669999999999</v>
      </c>
      <c r="D20">
        <v>1.2604169999999999</v>
      </c>
      <c r="E20">
        <v>1.53125</v>
      </c>
      <c r="F20">
        <v>0.94931900000000002</v>
      </c>
      <c r="G20">
        <v>1587283200</v>
      </c>
      <c r="I20" s="1">
        <v>33420</v>
      </c>
      <c r="J20">
        <v>10.75</v>
      </c>
      <c r="K20">
        <v>11.9375</v>
      </c>
      <c r="L20">
        <v>10.75</v>
      </c>
      <c r="M20">
        <v>11.90625</v>
      </c>
      <c r="N20">
        <v>7.3838590000000002</v>
      </c>
      <c r="O20">
        <v>104608800</v>
      </c>
      <c r="X20" s="7" t="s">
        <v>36</v>
      </c>
      <c r="Y20" s="5">
        <v>4</v>
      </c>
    </row>
    <row r="21" spans="1:30" x14ac:dyDescent="0.3">
      <c r="A21" s="1">
        <v>33451</v>
      </c>
      <c r="B21">
        <v>1.5364580000000001</v>
      </c>
      <c r="C21">
        <v>1.8072919999999999</v>
      </c>
      <c r="D21">
        <v>1.4947919999999999</v>
      </c>
      <c r="E21">
        <v>1.7760419999999999</v>
      </c>
      <c r="F21">
        <v>1.101081</v>
      </c>
      <c r="G21">
        <v>1281158400</v>
      </c>
      <c r="I21" s="1">
        <v>33451</v>
      </c>
      <c r="J21">
        <v>11.84375</v>
      </c>
      <c r="K21">
        <v>12.96875</v>
      </c>
      <c r="L21">
        <v>11.125</v>
      </c>
      <c r="M21">
        <v>12.65625</v>
      </c>
      <c r="N21">
        <v>7.8489849999999999</v>
      </c>
      <c r="O21">
        <v>137896400</v>
      </c>
      <c r="X21" s="7" t="s">
        <v>37</v>
      </c>
      <c r="Y21" s="5">
        <v>2</v>
      </c>
    </row>
    <row r="22" spans="1:30" x14ac:dyDescent="0.3">
      <c r="A22" s="1">
        <v>33482</v>
      </c>
      <c r="B22">
        <v>1.7708330000000001</v>
      </c>
      <c r="C22">
        <v>1.875</v>
      </c>
      <c r="D22">
        <v>1.6666669999999999</v>
      </c>
      <c r="E22">
        <v>1.8541669999999999</v>
      </c>
      <c r="F22">
        <v>1.149516</v>
      </c>
      <c r="G22">
        <v>834076800</v>
      </c>
      <c r="I22" s="1">
        <v>33482</v>
      </c>
      <c r="J22">
        <v>12.65625</v>
      </c>
      <c r="K22">
        <v>12.75</v>
      </c>
      <c r="L22">
        <v>11.65625</v>
      </c>
      <c r="M22">
        <v>11.9375</v>
      </c>
      <c r="N22">
        <v>7.4095589999999998</v>
      </c>
      <c r="O22">
        <v>94159600</v>
      </c>
      <c r="X22" s="7" t="s">
        <v>38</v>
      </c>
      <c r="Y22" s="5">
        <v>2</v>
      </c>
    </row>
    <row r="23" spans="1:30" x14ac:dyDescent="0.3">
      <c r="A23" s="1">
        <v>33512</v>
      </c>
      <c r="B23">
        <v>1.8541669999999999</v>
      </c>
      <c r="C23">
        <v>1.984375</v>
      </c>
      <c r="D23">
        <v>1.796875</v>
      </c>
      <c r="E23">
        <v>1.9557290000000001</v>
      </c>
      <c r="F23">
        <v>1.2124809999999999</v>
      </c>
      <c r="G23">
        <v>1061928000</v>
      </c>
      <c r="I23" s="1">
        <v>33512</v>
      </c>
      <c r="J23">
        <v>12</v>
      </c>
      <c r="K23">
        <v>12.40625</v>
      </c>
      <c r="L23">
        <v>11.3125</v>
      </c>
      <c r="M23">
        <v>11.5625</v>
      </c>
      <c r="N23">
        <v>7.1768010000000002</v>
      </c>
      <c r="O23">
        <v>102027200</v>
      </c>
      <c r="X23" s="7" t="s">
        <v>39</v>
      </c>
      <c r="Y23" s="5">
        <v>1</v>
      </c>
    </row>
    <row r="24" spans="1:30" x14ac:dyDescent="0.3">
      <c r="A24" s="1">
        <v>33543</v>
      </c>
      <c r="B24">
        <v>1.9479169999999999</v>
      </c>
      <c r="C24">
        <v>2.1197919999999999</v>
      </c>
      <c r="D24">
        <v>1.890625</v>
      </c>
      <c r="E24">
        <v>2.0260419999999999</v>
      </c>
      <c r="F24">
        <v>1.256073</v>
      </c>
      <c r="G24">
        <v>887236800</v>
      </c>
      <c r="I24" s="1">
        <v>33543</v>
      </c>
      <c r="J24">
        <v>11.5625</v>
      </c>
      <c r="K24">
        <v>12.75</v>
      </c>
      <c r="L24">
        <v>11.34375</v>
      </c>
      <c r="M24">
        <v>12.21875</v>
      </c>
      <c r="N24">
        <v>7.5841279999999998</v>
      </c>
      <c r="O24">
        <v>100899600</v>
      </c>
      <c r="X24" s="7" t="s">
        <v>40</v>
      </c>
      <c r="Y24" s="5">
        <v>1</v>
      </c>
    </row>
    <row r="25" spans="1:30" x14ac:dyDescent="0.3">
      <c r="A25" s="1">
        <v>33573</v>
      </c>
      <c r="B25">
        <v>2.0052080000000001</v>
      </c>
      <c r="C25">
        <v>2.3333330000000001</v>
      </c>
      <c r="D25">
        <v>2</v>
      </c>
      <c r="E25">
        <v>2.3177080000000001</v>
      </c>
      <c r="F25">
        <v>1.436895</v>
      </c>
      <c r="G25">
        <v>808771200</v>
      </c>
      <c r="I25" s="1">
        <v>33573</v>
      </c>
      <c r="J25">
        <v>12.0625</v>
      </c>
      <c r="K25">
        <v>14.96875</v>
      </c>
      <c r="L25">
        <v>12.03125</v>
      </c>
      <c r="M25">
        <v>14.71875</v>
      </c>
      <c r="N25">
        <v>9.1358750000000004</v>
      </c>
      <c r="O25">
        <v>130064400</v>
      </c>
      <c r="X25" s="7" t="s">
        <v>19</v>
      </c>
      <c r="Y25" s="5">
        <v>193</v>
      </c>
    </row>
    <row r="26" spans="1:30" x14ac:dyDescent="0.3">
      <c r="A26" s="1">
        <v>33604</v>
      </c>
      <c r="B26">
        <v>2.3072919999999999</v>
      </c>
      <c r="C26">
        <v>2.7760419999999999</v>
      </c>
      <c r="D26">
        <v>2.28125</v>
      </c>
      <c r="E26">
        <v>2.5052080000000001</v>
      </c>
      <c r="F26">
        <v>1.5531379999999999</v>
      </c>
      <c r="G26">
        <v>1468929600</v>
      </c>
      <c r="I26" s="1">
        <v>33604</v>
      </c>
      <c r="J26">
        <v>14.625</v>
      </c>
      <c r="K26">
        <v>14.875</v>
      </c>
      <c r="L26">
        <v>13.34375</v>
      </c>
      <c r="M26">
        <v>13.46875</v>
      </c>
      <c r="N26">
        <v>8.3669790000000006</v>
      </c>
      <c r="O26">
        <v>152891200</v>
      </c>
    </row>
    <row r="27" spans="1:30" x14ac:dyDescent="0.3">
      <c r="A27" s="1">
        <v>33635</v>
      </c>
      <c r="B27">
        <v>2.4635419999999999</v>
      </c>
      <c r="C27">
        <v>2.6875</v>
      </c>
      <c r="D27">
        <v>2.3541669999999999</v>
      </c>
      <c r="E27">
        <v>2.5729169999999999</v>
      </c>
      <c r="F27">
        <v>1.5951150000000001</v>
      </c>
      <c r="G27">
        <v>1394030400</v>
      </c>
      <c r="I27" s="1">
        <v>33635</v>
      </c>
      <c r="J27">
        <v>13.46875</v>
      </c>
      <c r="K27">
        <v>14.125</v>
      </c>
      <c r="L27">
        <v>12.53125</v>
      </c>
      <c r="M27">
        <v>13.5</v>
      </c>
      <c r="N27">
        <v>8.3863950000000003</v>
      </c>
      <c r="O27">
        <v>111859200</v>
      </c>
    </row>
    <row r="28" spans="1:30" x14ac:dyDescent="0.3">
      <c r="A28" s="1">
        <v>33664</v>
      </c>
      <c r="B28">
        <v>2.578125</v>
      </c>
      <c r="C28">
        <v>2.7135419999999999</v>
      </c>
      <c r="D28">
        <v>2.4322919999999999</v>
      </c>
      <c r="E28">
        <v>2.46875</v>
      </c>
      <c r="F28">
        <v>1.530535</v>
      </c>
      <c r="G28">
        <v>1204272000</v>
      </c>
      <c r="I28" s="1">
        <v>33664</v>
      </c>
      <c r="J28">
        <v>13.5</v>
      </c>
      <c r="K28">
        <v>13.625</v>
      </c>
      <c r="L28">
        <v>13</v>
      </c>
      <c r="M28">
        <v>13.3125</v>
      </c>
      <c r="N28">
        <v>8.2699160000000003</v>
      </c>
      <c r="O28">
        <v>91186800</v>
      </c>
    </row>
    <row r="29" spans="1:30" x14ac:dyDescent="0.3">
      <c r="A29" s="1">
        <v>33695</v>
      </c>
      <c r="B29">
        <v>2.4427080000000001</v>
      </c>
      <c r="C29">
        <v>2.6927080000000001</v>
      </c>
      <c r="D29">
        <v>2.2291669999999999</v>
      </c>
      <c r="E29">
        <v>2.296875</v>
      </c>
      <c r="F29">
        <v>1.4239790000000001</v>
      </c>
      <c r="G29">
        <v>2138961600</v>
      </c>
      <c r="I29" s="1">
        <v>33695</v>
      </c>
      <c r="J29">
        <v>13.21875</v>
      </c>
      <c r="K29">
        <v>13.8125</v>
      </c>
      <c r="L29">
        <v>12.625</v>
      </c>
      <c r="M29">
        <v>13.0625</v>
      </c>
      <c r="N29">
        <v>8.12256</v>
      </c>
      <c r="O29">
        <v>118958800</v>
      </c>
    </row>
    <row r="30" spans="1:30" x14ac:dyDescent="0.3">
      <c r="A30" s="1">
        <v>33725</v>
      </c>
      <c r="B30">
        <v>2.3020830000000001</v>
      </c>
      <c r="C30">
        <v>2.546875</v>
      </c>
      <c r="D30">
        <v>2.2760419999999999</v>
      </c>
      <c r="E30">
        <v>2.5208330000000001</v>
      </c>
      <c r="F30">
        <v>1.5628249999999999</v>
      </c>
      <c r="G30">
        <v>1069233600</v>
      </c>
      <c r="I30" s="1">
        <v>33725</v>
      </c>
      <c r="J30">
        <v>13.0625</v>
      </c>
      <c r="K30">
        <v>13.5</v>
      </c>
      <c r="L30">
        <v>12.78125</v>
      </c>
      <c r="M30">
        <v>13.25</v>
      </c>
      <c r="N30">
        <v>8.2391500000000004</v>
      </c>
      <c r="O30">
        <v>86198400</v>
      </c>
    </row>
    <row r="31" spans="1:30" x14ac:dyDescent="0.3">
      <c r="A31" s="1">
        <v>33756</v>
      </c>
      <c r="B31">
        <v>2.5104169999999999</v>
      </c>
      <c r="C31">
        <v>2.59375</v>
      </c>
      <c r="D31">
        <v>2.0546880000000001</v>
      </c>
      <c r="E31">
        <v>2.1875</v>
      </c>
      <c r="F31">
        <v>1.356171</v>
      </c>
      <c r="G31">
        <v>1576800000</v>
      </c>
      <c r="I31" s="1">
        <v>33756</v>
      </c>
      <c r="J31">
        <v>13.25</v>
      </c>
      <c r="K31">
        <v>13.96875</v>
      </c>
      <c r="L31">
        <v>13.0625</v>
      </c>
      <c r="M31">
        <v>13.4375</v>
      </c>
      <c r="N31">
        <v>8.3557489999999994</v>
      </c>
      <c r="O31">
        <v>92739600</v>
      </c>
    </row>
    <row r="32" spans="1:30" x14ac:dyDescent="0.3">
      <c r="A32" s="1">
        <v>33786</v>
      </c>
      <c r="B32">
        <v>2.1953130000000001</v>
      </c>
      <c r="C32">
        <v>2.3359380000000001</v>
      </c>
      <c r="D32">
        <v>2.046875</v>
      </c>
      <c r="E32">
        <v>2.2734380000000001</v>
      </c>
      <c r="F32">
        <v>1.409449</v>
      </c>
      <c r="G32">
        <v>1245196800</v>
      </c>
      <c r="I32" s="1">
        <v>33786</v>
      </c>
      <c r="J32">
        <v>13.46875</v>
      </c>
      <c r="K32">
        <v>14.0625</v>
      </c>
      <c r="L32">
        <v>13.3125</v>
      </c>
      <c r="M32">
        <v>13.96875</v>
      </c>
      <c r="N32">
        <v>8.694445</v>
      </c>
      <c r="O32">
        <v>91216800</v>
      </c>
    </row>
    <row r="33" spans="1:15" x14ac:dyDescent="0.3">
      <c r="A33" s="1">
        <v>33817</v>
      </c>
      <c r="B33">
        <v>2.2734380000000001</v>
      </c>
      <c r="C33">
        <v>2.34375</v>
      </c>
      <c r="D33">
        <v>2.125</v>
      </c>
      <c r="E33">
        <v>2.328125</v>
      </c>
      <c r="F33">
        <v>1.4433530000000001</v>
      </c>
      <c r="G33">
        <v>889324800</v>
      </c>
      <c r="I33" s="1">
        <v>33817</v>
      </c>
      <c r="J33">
        <v>13.9375</v>
      </c>
      <c r="K33">
        <v>14.8125</v>
      </c>
      <c r="L33">
        <v>13.78125</v>
      </c>
      <c r="M33">
        <v>14.28125</v>
      </c>
      <c r="N33">
        <v>8.8889479999999992</v>
      </c>
      <c r="O33">
        <v>70438800</v>
      </c>
    </row>
    <row r="34" spans="1:15" x14ac:dyDescent="0.3">
      <c r="A34" s="1">
        <v>33848</v>
      </c>
      <c r="B34">
        <v>2.3125</v>
      </c>
      <c r="C34">
        <v>2.5625</v>
      </c>
      <c r="D34">
        <v>2.2890630000000001</v>
      </c>
      <c r="E34">
        <v>2.515625</v>
      </c>
      <c r="F34">
        <v>1.5595969999999999</v>
      </c>
      <c r="G34">
        <v>1002921600</v>
      </c>
      <c r="I34" s="1">
        <v>33848</v>
      </c>
      <c r="J34">
        <v>14.25</v>
      </c>
      <c r="K34">
        <v>14.875</v>
      </c>
      <c r="L34">
        <v>14.1875</v>
      </c>
      <c r="M34">
        <v>14.78125</v>
      </c>
      <c r="N34">
        <v>9.2001559999999998</v>
      </c>
      <c r="O34">
        <v>70282800</v>
      </c>
    </row>
    <row r="35" spans="1:15" x14ac:dyDescent="0.3">
      <c r="A35" s="1">
        <v>33878</v>
      </c>
      <c r="B35">
        <v>2.5</v>
      </c>
      <c r="C35">
        <v>2.8203130000000001</v>
      </c>
      <c r="D35">
        <v>2.3671880000000001</v>
      </c>
      <c r="E35">
        <v>2.7734380000000001</v>
      </c>
      <c r="F35">
        <v>1.7194320000000001</v>
      </c>
      <c r="G35">
        <v>1146720000</v>
      </c>
      <c r="I35" s="1">
        <v>33878</v>
      </c>
      <c r="J35">
        <v>14.75</v>
      </c>
      <c r="K35">
        <v>15.5625</v>
      </c>
      <c r="L35">
        <v>13.84375</v>
      </c>
      <c r="M35">
        <v>15.21875</v>
      </c>
      <c r="N35">
        <v>9.4810990000000004</v>
      </c>
      <c r="O35">
        <v>93315200</v>
      </c>
    </row>
    <row r="36" spans="1:15" x14ac:dyDescent="0.3">
      <c r="A36" s="1">
        <v>33909</v>
      </c>
      <c r="B36">
        <v>2.78125</v>
      </c>
      <c r="C36">
        <v>2.96875</v>
      </c>
      <c r="D36">
        <v>2.7265630000000001</v>
      </c>
      <c r="E36">
        <v>2.9101560000000002</v>
      </c>
      <c r="F36">
        <v>1.8041910000000001</v>
      </c>
      <c r="G36">
        <v>1227161600</v>
      </c>
      <c r="I36" s="1">
        <v>33909</v>
      </c>
      <c r="J36">
        <v>15.21875</v>
      </c>
      <c r="K36">
        <v>16.15625</v>
      </c>
      <c r="L36">
        <v>15.03125</v>
      </c>
      <c r="M36">
        <v>16.09375</v>
      </c>
      <c r="N36">
        <v>10.026214</v>
      </c>
      <c r="O36">
        <v>83831200</v>
      </c>
    </row>
    <row r="37" spans="1:15" x14ac:dyDescent="0.3">
      <c r="A37" s="1">
        <v>33939</v>
      </c>
      <c r="B37">
        <v>2.8984380000000001</v>
      </c>
      <c r="C37">
        <v>2.9375</v>
      </c>
      <c r="D37">
        <v>2.6640630000000001</v>
      </c>
      <c r="E37">
        <v>2.6679689999999998</v>
      </c>
      <c r="F37">
        <v>1.6540440000000001</v>
      </c>
      <c r="G37">
        <v>1133328000</v>
      </c>
      <c r="I37" s="1">
        <v>33939</v>
      </c>
      <c r="J37">
        <v>16.03125</v>
      </c>
      <c r="K37">
        <v>16.46875</v>
      </c>
      <c r="L37">
        <v>15.59375</v>
      </c>
      <c r="M37">
        <v>16</v>
      </c>
      <c r="N37">
        <v>9.9678050000000002</v>
      </c>
      <c r="O37">
        <v>100028400</v>
      </c>
    </row>
    <row r="38" spans="1:15" x14ac:dyDescent="0.3">
      <c r="A38" s="1">
        <v>33970</v>
      </c>
      <c r="B38">
        <v>2.65625</v>
      </c>
      <c r="C38">
        <v>2.9375</v>
      </c>
      <c r="D38">
        <v>2.640625</v>
      </c>
      <c r="E38">
        <v>2.703125</v>
      </c>
      <c r="F38">
        <v>1.6758390000000001</v>
      </c>
      <c r="G38">
        <v>1411331200</v>
      </c>
      <c r="I38" s="1">
        <v>33970</v>
      </c>
      <c r="J38">
        <v>16.03125</v>
      </c>
      <c r="K38">
        <v>16.34375</v>
      </c>
      <c r="L38">
        <v>14.625</v>
      </c>
      <c r="M38">
        <v>16.28125</v>
      </c>
      <c r="N38">
        <v>10.151367</v>
      </c>
      <c r="O38">
        <v>157607200</v>
      </c>
    </row>
    <row r="39" spans="1:15" x14ac:dyDescent="0.3">
      <c r="A39" s="1">
        <v>34001</v>
      </c>
      <c r="B39">
        <v>2.6953130000000001</v>
      </c>
      <c r="C39">
        <v>2.8203130000000001</v>
      </c>
      <c r="D39">
        <v>2.3984380000000001</v>
      </c>
      <c r="E39">
        <v>2.6054689999999998</v>
      </c>
      <c r="F39">
        <v>1.615297</v>
      </c>
      <c r="G39">
        <v>1548342400</v>
      </c>
      <c r="I39" s="1">
        <v>34001</v>
      </c>
      <c r="J39">
        <v>16.28125</v>
      </c>
      <c r="K39">
        <v>16.84375</v>
      </c>
      <c r="L39">
        <v>14.6875</v>
      </c>
      <c r="M39">
        <v>16.25</v>
      </c>
      <c r="N39">
        <v>10.131881999999999</v>
      </c>
      <c r="O39">
        <v>148545000</v>
      </c>
    </row>
    <row r="40" spans="1:15" x14ac:dyDescent="0.3">
      <c r="A40" s="1">
        <v>34029</v>
      </c>
      <c r="B40">
        <v>2.6171880000000001</v>
      </c>
      <c r="C40">
        <v>2.9453130000000001</v>
      </c>
      <c r="D40">
        <v>2.5390630000000001</v>
      </c>
      <c r="E40">
        <v>2.890625</v>
      </c>
      <c r="F40">
        <v>1.792082</v>
      </c>
      <c r="G40">
        <v>1197958400</v>
      </c>
      <c r="I40" s="1">
        <v>34029</v>
      </c>
      <c r="J40">
        <v>16.4375</v>
      </c>
      <c r="K40">
        <v>17.0625</v>
      </c>
      <c r="L40">
        <v>15</v>
      </c>
      <c r="M40">
        <v>15.875</v>
      </c>
      <c r="N40">
        <v>9.8980689999999996</v>
      </c>
      <c r="O40">
        <v>169356400</v>
      </c>
    </row>
    <row r="41" spans="1:15" x14ac:dyDescent="0.3">
      <c r="A41" s="1">
        <v>34060</v>
      </c>
      <c r="B41">
        <v>2.890625</v>
      </c>
      <c r="C41">
        <v>2.9609380000000001</v>
      </c>
      <c r="D41">
        <v>2.4921880000000001</v>
      </c>
      <c r="E41">
        <v>2.671875</v>
      </c>
      <c r="F41">
        <v>1.6564650000000001</v>
      </c>
      <c r="G41">
        <v>1298633600</v>
      </c>
      <c r="I41" s="1">
        <v>34060</v>
      </c>
      <c r="J41">
        <v>16</v>
      </c>
      <c r="K41">
        <v>16.125</v>
      </c>
      <c r="L41">
        <v>12.875</v>
      </c>
      <c r="M41">
        <v>13.375</v>
      </c>
      <c r="N41">
        <v>8.3472600000000003</v>
      </c>
      <c r="O41">
        <v>246302000</v>
      </c>
    </row>
    <row r="42" spans="1:15" x14ac:dyDescent="0.3">
      <c r="A42" s="1">
        <v>34090</v>
      </c>
      <c r="B42">
        <v>2.671875</v>
      </c>
      <c r="C42">
        <v>2.984375</v>
      </c>
      <c r="D42">
        <v>2.640625</v>
      </c>
      <c r="E42">
        <v>2.8945310000000002</v>
      </c>
      <c r="F42">
        <v>1.7945040000000001</v>
      </c>
      <c r="G42">
        <v>1304448000</v>
      </c>
      <c r="I42" s="1">
        <v>34090</v>
      </c>
      <c r="J42">
        <v>13.25</v>
      </c>
      <c r="K42">
        <v>14.25</v>
      </c>
      <c r="L42">
        <v>12.9375</v>
      </c>
      <c r="M42">
        <v>13.9375</v>
      </c>
      <c r="N42">
        <v>8.6983169999999994</v>
      </c>
      <c r="O42">
        <v>139323400</v>
      </c>
    </row>
    <row r="43" spans="1:15" x14ac:dyDescent="0.3">
      <c r="A43" s="1">
        <v>34121</v>
      </c>
      <c r="B43">
        <v>2.90625</v>
      </c>
      <c r="C43">
        <v>3.0625</v>
      </c>
      <c r="D43">
        <v>2.7109380000000001</v>
      </c>
      <c r="E43">
        <v>2.75</v>
      </c>
      <c r="F43">
        <v>1.704901</v>
      </c>
      <c r="G43">
        <v>1216211200</v>
      </c>
      <c r="I43" s="1">
        <v>34121</v>
      </c>
      <c r="J43">
        <v>13.875</v>
      </c>
      <c r="K43">
        <v>14.1875</v>
      </c>
      <c r="L43">
        <v>11.8125</v>
      </c>
      <c r="M43">
        <v>13.125</v>
      </c>
      <c r="N43">
        <v>8.191236</v>
      </c>
      <c r="O43">
        <v>163428400</v>
      </c>
    </row>
    <row r="44" spans="1:15" x14ac:dyDescent="0.3">
      <c r="A44" s="1">
        <v>34151</v>
      </c>
      <c r="B44">
        <v>2.7578130000000001</v>
      </c>
      <c r="C44">
        <v>2.765625</v>
      </c>
      <c r="D44">
        <v>2.25</v>
      </c>
      <c r="E44">
        <v>2.3125</v>
      </c>
      <c r="F44">
        <v>1.4336660000000001</v>
      </c>
      <c r="G44">
        <v>1953414400</v>
      </c>
      <c r="I44" s="1">
        <v>34151</v>
      </c>
      <c r="J44">
        <v>13.0625</v>
      </c>
      <c r="K44">
        <v>13.4375</v>
      </c>
      <c r="L44">
        <v>12.3125</v>
      </c>
      <c r="M44">
        <v>12.6875</v>
      </c>
      <c r="N44">
        <v>7.9277300000000004</v>
      </c>
      <c r="O44">
        <v>80628400</v>
      </c>
    </row>
    <row r="45" spans="1:15" x14ac:dyDescent="0.3">
      <c r="A45" s="1">
        <v>34182</v>
      </c>
      <c r="B45">
        <v>2.3359380000000001</v>
      </c>
      <c r="C45">
        <v>2.4765630000000001</v>
      </c>
      <c r="D45">
        <v>2.1992189999999998</v>
      </c>
      <c r="E45">
        <v>2.3476560000000002</v>
      </c>
      <c r="F45">
        <v>1.4554609999999999</v>
      </c>
      <c r="G45">
        <v>1871481600</v>
      </c>
      <c r="I45" s="1">
        <v>34182</v>
      </c>
      <c r="J45">
        <v>12.75</v>
      </c>
      <c r="K45">
        <v>13.25</v>
      </c>
      <c r="L45">
        <v>12.375</v>
      </c>
      <c r="M45">
        <v>12.875</v>
      </c>
      <c r="N45">
        <v>8.0448850000000007</v>
      </c>
      <c r="O45">
        <v>101939200</v>
      </c>
    </row>
    <row r="46" spans="1:15" x14ac:dyDescent="0.3">
      <c r="A46" s="1">
        <v>34213</v>
      </c>
      <c r="B46">
        <v>2.3515630000000001</v>
      </c>
      <c r="C46">
        <v>2.6328130000000001</v>
      </c>
      <c r="D46">
        <v>2.2890630000000001</v>
      </c>
      <c r="E46">
        <v>2.578125</v>
      </c>
      <c r="F46">
        <v>1.598344</v>
      </c>
      <c r="G46">
        <v>1162460800</v>
      </c>
      <c r="I46" s="1">
        <v>34213</v>
      </c>
      <c r="J46">
        <v>12.8125</v>
      </c>
      <c r="K46">
        <v>12.9375</v>
      </c>
      <c r="L46">
        <v>11.5</v>
      </c>
      <c r="M46">
        <v>12.3125</v>
      </c>
      <c r="N46">
        <v>7.7029339999999999</v>
      </c>
      <c r="O46">
        <v>130600200</v>
      </c>
    </row>
    <row r="47" spans="1:15" x14ac:dyDescent="0.3">
      <c r="A47" s="1">
        <v>34243</v>
      </c>
      <c r="B47">
        <v>2.578125</v>
      </c>
      <c r="C47">
        <v>2.6796880000000001</v>
      </c>
      <c r="D47">
        <v>2.4375</v>
      </c>
      <c r="E47">
        <v>2.5039060000000002</v>
      </c>
      <c r="F47">
        <v>1.5523309999999999</v>
      </c>
      <c r="G47">
        <v>1370752000</v>
      </c>
      <c r="I47" s="1">
        <v>34243</v>
      </c>
      <c r="J47">
        <v>12.25</v>
      </c>
      <c r="K47">
        <v>13.75</v>
      </c>
      <c r="L47">
        <v>12.0625</v>
      </c>
      <c r="M47">
        <v>13.1875</v>
      </c>
      <c r="N47">
        <v>8.2503519999999995</v>
      </c>
      <c r="O47">
        <v>110966800</v>
      </c>
    </row>
    <row r="48" spans="1:15" x14ac:dyDescent="0.3">
      <c r="A48" s="1">
        <v>34274</v>
      </c>
      <c r="B48">
        <v>2.5078130000000001</v>
      </c>
      <c r="C48">
        <v>2.59375</v>
      </c>
      <c r="D48">
        <v>2.375</v>
      </c>
      <c r="E48">
        <v>2.5</v>
      </c>
      <c r="F48">
        <v>1.549909</v>
      </c>
      <c r="G48">
        <v>966515200</v>
      </c>
      <c r="I48" s="1">
        <v>34274</v>
      </c>
      <c r="J48">
        <v>13.0625</v>
      </c>
      <c r="K48">
        <v>15.25</v>
      </c>
      <c r="L48">
        <v>13</v>
      </c>
      <c r="M48">
        <v>14.3125</v>
      </c>
      <c r="N48">
        <v>8.9541719999999998</v>
      </c>
      <c r="O48">
        <v>122660200</v>
      </c>
    </row>
    <row r="49" spans="1:15" x14ac:dyDescent="0.3">
      <c r="A49" s="1">
        <v>34304</v>
      </c>
      <c r="B49">
        <v>2.515625</v>
      </c>
      <c r="C49">
        <v>2.703125</v>
      </c>
      <c r="D49">
        <v>2.4765630000000001</v>
      </c>
      <c r="E49">
        <v>2.5195310000000002</v>
      </c>
      <c r="F49">
        <v>1.5620179999999999</v>
      </c>
      <c r="G49">
        <v>934784000</v>
      </c>
      <c r="I49" s="1">
        <v>34304</v>
      </c>
      <c r="J49">
        <v>14.3125</v>
      </c>
      <c r="K49">
        <v>14.4375</v>
      </c>
      <c r="L49">
        <v>12.5</v>
      </c>
      <c r="M49">
        <v>12.5</v>
      </c>
      <c r="N49">
        <v>7.8287300000000002</v>
      </c>
      <c r="O49">
        <v>95352000</v>
      </c>
    </row>
    <row r="50" spans="1:15" x14ac:dyDescent="0.3">
      <c r="A50" s="1">
        <v>34335</v>
      </c>
      <c r="B50">
        <v>2.515625</v>
      </c>
      <c r="C50">
        <v>2.71875</v>
      </c>
      <c r="D50">
        <v>2.4765630000000001</v>
      </c>
      <c r="E50">
        <v>2.6601560000000002</v>
      </c>
      <c r="F50">
        <v>1.6492</v>
      </c>
      <c r="G50">
        <v>1233651200</v>
      </c>
      <c r="I50" s="1">
        <v>34335</v>
      </c>
      <c r="J50">
        <v>12.6875</v>
      </c>
      <c r="K50">
        <v>13.5</v>
      </c>
      <c r="L50">
        <v>12.0625</v>
      </c>
      <c r="M50">
        <v>13.25</v>
      </c>
      <c r="N50">
        <v>8.2984570000000009</v>
      </c>
      <c r="O50">
        <v>112135800</v>
      </c>
    </row>
    <row r="51" spans="1:15" x14ac:dyDescent="0.3">
      <c r="A51" s="1">
        <v>34366</v>
      </c>
      <c r="B51">
        <v>2.65625</v>
      </c>
      <c r="C51">
        <v>2.6796880000000001</v>
      </c>
      <c r="D51">
        <v>2.4375</v>
      </c>
      <c r="E51">
        <v>2.578125</v>
      </c>
      <c r="F51">
        <v>1.598344</v>
      </c>
      <c r="G51">
        <v>1368720000</v>
      </c>
      <c r="I51" s="1">
        <v>34366</v>
      </c>
      <c r="J51">
        <v>13.5625</v>
      </c>
      <c r="K51">
        <v>14.5625</v>
      </c>
      <c r="L51">
        <v>13.3125</v>
      </c>
      <c r="M51">
        <v>14.1875</v>
      </c>
      <c r="N51">
        <v>8.8856110000000008</v>
      </c>
      <c r="O51">
        <v>101791600</v>
      </c>
    </row>
    <row r="52" spans="1:15" x14ac:dyDescent="0.3">
      <c r="A52" s="1">
        <v>34394</v>
      </c>
      <c r="B52">
        <v>2.59375</v>
      </c>
      <c r="C52">
        <v>2.7890630000000001</v>
      </c>
      <c r="D52">
        <v>2.4921880000000001</v>
      </c>
      <c r="E52">
        <v>2.6484380000000001</v>
      </c>
      <c r="F52">
        <v>1.6419349999999999</v>
      </c>
      <c r="G52">
        <v>1377510400</v>
      </c>
      <c r="I52" s="1">
        <v>34394</v>
      </c>
      <c r="J52">
        <v>14.1875</v>
      </c>
      <c r="K52">
        <v>14.625</v>
      </c>
      <c r="L52">
        <v>12.1875</v>
      </c>
      <c r="M52">
        <v>12.9375</v>
      </c>
      <c r="N52">
        <v>8.1027389999999997</v>
      </c>
      <c r="O52">
        <v>111439000</v>
      </c>
    </row>
    <row r="53" spans="1:15" x14ac:dyDescent="0.3">
      <c r="A53" s="1">
        <v>34425</v>
      </c>
      <c r="B53">
        <v>2.578125</v>
      </c>
      <c r="C53">
        <v>2.9765630000000001</v>
      </c>
      <c r="D53">
        <v>2.5625</v>
      </c>
      <c r="E53">
        <v>2.890625</v>
      </c>
      <c r="F53">
        <v>1.792082</v>
      </c>
      <c r="G53">
        <v>1871520000</v>
      </c>
      <c r="I53" s="1">
        <v>34425</v>
      </c>
      <c r="J53">
        <v>12.5625</v>
      </c>
      <c r="K53">
        <v>13.5</v>
      </c>
      <c r="L53">
        <v>11.75</v>
      </c>
      <c r="M53">
        <v>12.625</v>
      </c>
      <c r="N53">
        <v>7.9188919999999996</v>
      </c>
      <c r="O53">
        <v>101115800</v>
      </c>
    </row>
    <row r="54" spans="1:15" x14ac:dyDescent="0.3">
      <c r="A54" s="1">
        <v>34455</v>
      </c>
      <c r="B54">
        <v>2.8984380000000001</v>
      </c>
      <c r="C54">
        <v>3.3603519999999998</v>
      </c>
      <c r="D54">
        <v>2.8398439999999998</v>
      </c>
      <c r="E54">
        <v>3.359375</v>
      </c>
      <c r="F54">
        <v>2.0826899999999999</v>
      </c>
      <c r="G54">
        <v>1629892800</v>
      </c>
      <c r="I54" s="1">
        <v>34455</v>
      </c>
      <c r="J54">
        <v>12.625</v>
      </c>
      <c r="K54">
        <v>12.8125</v>
      </c>
      <c r="L54">
        <v>11.1875</v>
      </c>
      <c r="M54">
        <v>11.75</v>
      </c>
      <c r="N54">
        <v>7.370063</v>
      </c>
      <c r="O54">
        <v>117105400</v>
      </c>
    </row>
    <row r="55" spans="1:15" x14ac:dyDescent="0.3">
      <c r="A55" s="1">
        <v>34486</v>
      </c>
      <c r="B55">
        <v>3.34375</v>
      </c>
      <c r="C55">
        <v>3.4140630000000001</v>
      </c>
      <c r="D55">
        <v>3.078125</v>
      </c>
      <c r="E55">
        <v>3.2265630000000001</v>
      </c>
      <c r="F55">
        <v>2.0003519999999999</v>
      </c>
      <c r="G55">
        <v>2439195200</v>
      </c>
      <c r="I55" s="1">
        <v>34486</v>
      </c>
      <c r="J55">
        <v>11.8125</v>
      </c>
      <c r="K55">
        <v>12.8125</v>
      </c>
      <c r="L55">
        <v>11.1875</v>
      </c>
      <c r="M55">
        <v>12.125</v>
      </c>
      <c r="N55">
        <v>7.6052759999999999</v>
      </c>
      <c r="O55">
        <v>109167800</v>
      </c>
    </row>
    <row r="56" spans="1:15" x14ac:dyDescent="0.3">
      <c r="A56" s="1">
        <v>34516</v>
      </c>
      <c r="B56">
        <v>3.2265630000000001</v>
      </c>
      <c r="C56">
        <v>3.234375</v>
      </c>
      <c r="D56">
        <v>2.9296880000000001</v>
      </c>
      <c r="E56">
        <v>3.21875</v>
      </c>
      <c r="F56">
        <v>1.995509</v>
      </c>
      <c r="G56">
        <v>1527966400</v>
      </c>
      <c r="I56" s="1">
        <v>34516</v>
      </c>
      <c r="J56">
        <v>12.375</v>
      </c>
      <c r="K56">
        <v>13.125</v>
      </c>
      <c r="L56">
        <v>11.9375</v>
      </c>
      <c r="M56">
        <v>12.5</v>
      </c>
      <c r="N56">
        <v>7.8543820000000002</v>
      </c>
      <c r="O56">
        <v>79164200</v>
      </c>
    </row>
    <row r="57" spans="1:15" x14ac:dyDescent="0.3">
      <c r="A57" s="1">
        <v>34547</v>
      </c>
      <c r="B57">
        <v>3.2265630000000001</v>
      </c>
      <c r="C57">
        <v>3.703125</v>
      </c>
      <c r="D57">
        <v>3.21875</v>
      </c>
      <c r="E57">
        <v>3.6328130000000001</v>
      </c>
      <c r="F57">
        <v>2.2522120000000001</v>
      </c>
      <c r="G57">
        <v>1290998400</v>
      </c>
      <c r="I57" s="1">
        <v>34547</v>
      </c>
      <c r="J57">
        <v>12.5</v>
      </c>
      <c r="K57">
        <v>12.75</v>
      </c>
      <c r="L57">
        <v>11.8125</v>
      </c>
      <c r="M57">
        <v>12.3125</v>
      </c>
      <c r="N57">
        <v>7.7365659999999998</v>
      </c>
      <c r="O57">
        <v>102976600</v>
      </c>
    </row>
    <row r="58" spans="1:15" x14ac:dyDescent="0.3">
      <c r="A58" s="1">
        <v>34578</v>
      </c>
      <c r="B58">
        <v>3.5625</v>
      </c>
      <c r="C58">
        <v>3.640625</v>
      </c>
      <c r="D58">
        <v>3.4296880000000001</v>
      </c>
      <c r="E58">
        <v>3.5078130000000001</v>
      </c>
      <c r="F58">
        <v>2.1747160000000001</v>
      </c>
      <c r="G58">
        <v>964849600</v>
      </c>
      <c r="I58" s="1">
        <v>34578</v>
      </c>
      <c r="J58">
        <v>12.375</v>
      </c>
      <c r="K58">
        <v>13</v>
      </c>
      <c r="L58">
        <v>11.5</v>
      </c>
      <c r="M58">
        <v>11.6875</v>
      </c>
      <c r="N58">
        <v>7.3564619999999996</v>
      </c>
      <c r="O58">
        <v>122978800</v>
      </c>
    </row>
    <row r="59" spans="1:15" x14ac:dyDescent="0.3">
      <c r="A59" s="1">
        <v>34608</v>
      </c>
      <c r="B59">
        <v>3.5078130000000001</v>
      </c>
      <c r="C59">
        <v>3.984375</v>
      </c>
      <c r="D59">
        <v>3.3671880000000001</v>
      </c>
      <c r="E59">
        <v>3.9375</v>
      </c>
      <c r="F59">
        <v>2.4411079999999998</v>
      </c>
      <c r="G59">
        <v>1207155200</v>
      </c>
      <c r="I59" s="1">
        <v>34608</v>
      </c>
      <c r="J59">
        <v>11.8125</v>
      </c>
      <c r="K59">
        <v>12.1875</v>
      </c>
      <c r="L59">
        <v>11.25</v>
      </c>
      <c r="M59">
        <v>11.75</v>
      </c>
      <c r="N59">
        <v>7.3957959999999998</v>
      </c>
      <c r="O59">
        <v>87277000</v>
      </c>
    </row>
    <row r="60" spans="1:15" x14ac:dyDescent="0.3">
      <c r="A60" s="1">
        <v>34639</v>
      </c>
      <c r="B60">
        <v>3.921875</v>
      </c>
      <c r="C60">
        <v>4.0703129999999996</v>
      </c>
      <c r="D60">
        <v>3.796875</v>
      </c>
      <c r="E60">
        <v>3.9296880000000001</v>
      </c>
      <c r="F60">
        <v>2.436264</v>
      </c>
      <c r="G60">
        <v>1024286400</v>
      </c>
      <c r="I60" s="1">
        <v>34639</v>
      </c>
      <c r="J60">
        <v>11.75</v>
      </c>
      <c r="K60">
        <v>12.25</v>
      </c>
      <c r="L60">
        <v>11.25</v>
      </c>
      <c r="M60">
        <v>11.625</v>
      </c>
      <c r="N60">
        <v>7.3171200000000001</v>
      </c>
      <c r="O60">
        <v>123955600</v>
      </c>
    </row>
    <row r="61" spans="1:15" x14ac:dyDescent="0.3">
      <c r="A61" s="1">
        <v>34669</v>
      </c>
      <c r="B61">
        <v>3.9140630000000001</v>
      </c>
      <c r="C61">
        <v>4.015625</v>
      </c>
      <c r="D61">
        <v>3.671875</v>
      </c>
      <c r="E61">
        <v>3.8203130000000001</v>
      </c>
      <c r="F61">
        <v>2.3684560000000001</v>
      </c>
      <c r="G61">
        <v>1059353600</v>
      </c>
      <c r="I61" s="1">
        <v>34669</v>
      </c>
      <c r="J61">
        <v>11.5625</v>
      </c>
      <c r="K61">
        <v>11.625</v>
      </c>
      <c r="L61">
        <v>10.5</v>
      </c>
      <c r="M61">
        <v>10.625</v>
      </c>
      <c r="N61">
        <v>6.6995360000000002</v>
      </c>
      <c r="O61">
        <v>153246600</v>
      </c>
    </row>
    <row r="62" spans="1:15" x14ac:dyDescent="0.3">
      <c r="A62" s="1">
        <v>34700</v>
      </c>
      <c r="B62">
        <v>3.84375</v>
      </c>
      <c r="C62">
        <v>4.078125</v>
      </c>
      <c r="D62">
        <v>3.640625</v>
      </c>
      <c r="E62">
        <v>3.7109380000000001</v>
      </c>
      <c r="F62">
        <v>2.300646</v>
      </c>
      <c r="G62">
        <v>1111609600</v>
      </c>
      <c r="I62" s="1">
        <v>34700</v>
      </c>
      <c r="J62">
        <v>10.6875</v>
      </c>
      <c r="K62">
        <v>11.625</v>
      </c>
      <c r="L62">
        <v>10.25</v>
      </c>
      <c r="M62">
        <v>11.4375</v>
      </c>
      <c r="N62">
        <v>7.2118539999999998</v>
      </c>
      <c r="O62">
        <v>136212000</v>
      </c>
    </row>
    <row r="63" spans="1:15" x14ac:dyDescent="0.3">
      <c r="A63" s="1">
        <v>34731</v>
      </c>
      <c r="B63">
        <v>3.7109380000000001</v>
      </c>
      <c r="C63">
        <v>3.953125</v>
      </c>
      <c r="D63">
        <v>3.6484380000000001</v>
      </c>
      <c r="E63">
        <v>3.9375</v>
      </c>
      <c r="F63">
        <v>2.4411079999999998</v>
      </c>
      <c r="G63">
        <v>998657600</v>
      </c>
      <c r="I63" s="1">
        <v>34731</v>
      </c>
      <c r="J63">
        <v>11.5625</v>
      </c>
      <c r="K63">
        <v>12.125</v>
      </c>
      <c r="L63">
        <v>11.4375</v>
      </c>
      <c r="M63">
        <v>11.875</v>
      </c>
      <c r="N63">
        <v>7.4877190000000002</v>
      </c>
      <c r="O63">
        <v>106559600</v>
      </c>
    </row>
    <row r="64" spans="1:15" x14ac:dyDescent="0.3">
      <c r="A64" s="1">
        <v>34759</v>
      </c>
      <c r="B64">
        <v>3.9453130000000001</v>
      </c>
      <c r="C64">
        <v>4.6328129999999996</v>
      </c>
      <c r="D64">
        <v>3.921875</v>
      </c>
      <c r="E64">
        <v>4.4453129999999996</v>
      </c>
      <c r="F64">
        <v>2.7559330000000002</v>
      </c>
      <c r="G64">
        <v>1415724800</v>
      </c>
      <c r="I64" s="1">
        <v>34759</v>
      </c>
      <c r="J64">
        <v>11.9375</v>
      </c>
      <c r="K64">
        <v>12.9375</v>
      </c>
      <c r="L64">
        <v>11.875</v>
      </c>
      <c r="M64">
        <v>12.8125</v>
      </c>
      <c r="N64">
        <v>8.078856</v>
      </c>
      <c r="O64">
        <v>134599200</v>
      </c>
    </row>
    <row r="65" spans="1:15" x14ac:dyDescent="0.3">
      <c r="A65" s="1">
        <v>34790</v>
      </c>
      <c r="B65">
        <v>4.4375</v>
      </c>
      <c r="C65">
        <v>5.1328129999999996</v>
      </c>
      <c r="D65">
        <v>4.296875</v>
      </c>
      <c r="E65">
        <v>5.109375</v>
      </c>
      <c r="F65">
        <v>3.1676280000000001</v>
      </c>
      <c r="G65">
        <v>1299571200</v>
      </c>
      <c r="I65" s="1">
        <v>34790</v>
      </c>
      <c r="J65">
        <v>12.8125</v>
      </c>
      <c r="K65">
        <v>13.0625</v>
      </c>
      <c r="L65">
        <v>11.6875</v>
      </c>
      <c r="M65">
        <v>11.875</v>
      </c>
      <c r="N65">
        <v>7.5027999999999997</v>
      </c>
      <c r="O65">
        <v>116585600</v>
      </c>
    </row>
    <row r="66" spans="1:15" x14ac:dyDescent="0.3">
      <c r="A66" s="1">
        <v>34820</v>
      </c>
      <c r="B66">
        <v>5.1171879999999996</v>
      </c>
      <c r="C66">
        <v>5.59375</v>
      </c>
      <c r="D66">
        <v>4.9296879999999996</v>
      </c>
      <c r="E66">
        <v>5.2929690000000003</v>
      </c>
      <c r="F66">
        <v>3.2814480000000001</v>
      </c>
      <c r="G66">
        <v>1333040000</v>
      </c>
      <c r="I66" s="1">
        <v>34820</v>
      </c>
      <c r="J66">
        <v>11.75</v>
      </c>
      <c r="K66">
        <v>12.8125</v>
      </c>
      <c r="L66">
        <v>11.375</v>
      </c>
      <c r="M66">
        <v>12.4375</v>
      </c>
      <c r="N66">
        <v>7.8581960000000004</v>
      </c>
      <c r="O66">
        <v>146709400</v>
      </c>
    </row>
    <row r="67" spans="1:15" x14ac:dyDescent="0.3">
      <c r="A67" s="1">
        <v>34851</v>
      </c>
      <c r="B67">
        <v>5.3125</v>
      </c>
      <c r="C67">
        <v>5.7734379999999996</v>
      </c>
      <c r="D67">
        <v>5.109375</v>
      </c>
      <c r="E67">
        <v>5.6484379999999996</v>
      </c>
      <c r="F67">
        <v>3.501827</v>
      </c>
      <c r="G67">
        <v>1270388800</v>
      </c>
      <c r="I67" s="1">
        <v>34851</v>
      </c>
      <c r="J67">
        <v>12.5</v>
      </c>
      <c r="K67">
        <v>13.5</v>
      </c>
      <c r="L67">
        <v>12.25</v>
      </c>
      <c r="M67">
        <v>13.375</v>
      </c>
      <c r="N67">
        <v>8.4505210000000002</v>
      </c>
      <c r="O67">
        <v>142376000</v>
      </c>
    </row>
    <row r="68" spans="1:15" x14ac:dyDescent="0.3">
      <c r="A68" s="1">
        <v>34881</v>
      </c>
      <c r="B68">
        <v>5.6796879999999996</v>
      </c>
      <c r="C68">
        <v>6.828125</v>
      </c>
      <c r="D68">
        <v>5.53125</v>
      </c>
      <c r="E68">
        <v>5.65625</v>
      </c>
      <c r="F68">
        <v>3.506669</v>
      </c>
      <c r="G68">
        <v>2330859200</v>
      </c>
      <c r="I68" s="1">
        <v>34881</v>
      </c>
      <c r="J68">
        <v>13.375</v>
      </c>
      <c r="K68">
        <v>13.8125</v>
      </c>
      <c r="L68">
        <v>12.8125</v>
      </c>
      <c r="M68">
        <v>13.3125</v>
      </c>
      <c r="N68">
        <v>8.4276420000000005</v>
      </c>
      <c r="O68">
        <v>109302400</v>
      </c>
    </row>
    <row r="69" spans="1:15" x14ac:dyDescent="0.3">
      <c r="A69" s="1">
        <v>34912</v>
      </c>
      <c r="B69">
        <v>5.671875</v>
      </c>
      <c r="C69">
        <v>6.296875</v>
      </c>
      <c r="D69">
        <v>5.4375</v>
      </c>
      <c r="E69">
        <v>5.78125</v>
      </c>
      <c r="F69">
        <v>3.584165</v>
      </c>
      <c r="G69">
        <v>2130745600</v>
      </c>
      <c r="I69" s="1">
        <v>34912</v>
      </c>
      <c r="J69">
        <v>13.3125</v>
      </c>
      <c r="K69">
        <v>13.3125</v>
      </c>
      <c r="L69">
        <v>12.125</v>
      </c>
      <c r="M69">
        <v>12.25</v>
      </c>
      <c r="N69">
        <v>7.7550109999999997</v>
      </c>
      <c r="O69">
        <v>132467800</v>
      </c>
    </row>
    <row r="70" spans="1:15" x14ac:dyDescent="0.3">
      <c r="A70" s="1">
        <v>34943</v>
      </c>
      <c r="B70">
        <v>5.734375</v>
      </c>
      <c r="C70">
        <v>6.1171879999999996</v>
      </c>
      <c r="D70">
        <v>5.2109379999999996</v>
      </c>
      <c r="E70">
        <v>5.65625</v>
      </c>
      <c r="F70">
        <v>3.506669</v>
      </c>
      <c r="G70">
        <v>1622329600</v>
      </c>
      <c r="I70" s="1">
        <v>34943</v>
      </c>
      <c r="J70">
        <v>12.3125</v>
      </c>
      <c r="K70">
        <v>12.9375</v>
      </c>
      <c r="L70">
        <v>12.3125</v>
      </c>
      <c r="M70">
        <v>12.375</v>
      </c>
      <c r="N70">
        <v>7.849844</v>
      </c>
      <c r="O70">
        <v>121403800</v>
      </c>
    </row>
    <row r="71" spans="1:15" x14ac:dyDescent="0.3">
      <c r="A71" s="1">
        <v>34973</v>
      </c>
      <c r="B71">
        <v>5.65625</v>
      </c>
      <c r="C71">
        <v>6.4609379999999996</v>
      </c>
      <c r="D71">
        <v>5.0234379999999996</v>
      </c>
      <c r="E71">
        <v>6.25</v>
      </c>
      <c r="F71">
        <v>3.8747750000000001</v>
      </c>
      <c r="G71">
        <v>2228136000</v>
      </c>
      <c r="I71" s="1">
        <v>34973</v>
      </c>
      <c r="J71">
        <v>12.3125</v>
      </c>
      <c r="K71">
        <v>12.4375</v>
      </c>
      <c r="L71">
        <v>10.75</v>
      </c>
      <c r="M71">
        <v>10.8125</v>
      </c>
      <c r="N71">
        <v>6.8587009999999999</v>
      </c>
      <c r="O71">
        <v>195144800</v>
      </c>
    </row>
    <row r="72" spans="1:15" x14ac:dyDescent="0.3">
      <c r="A72" s="1">
        <v>35004</v>
      </c>
      <c r="B72">
        <v>6.2578129999999996</v>
      </c>
      <c r="C72">
        <v>6.3125</v>
      </c>
      <c r="D72">
        <v>5.265625</v>
      </c>
      <c r="E72">
        <v>5.4453129999999996</v>
      </c>
      <c r="F72">
        <v>3.3758979999999998</v>
      </c>
      <c r="G72">
        <v>1870920000</v>
      </c>
      <c r="I72" s="1">
        <v>35004</v>
      </c>
      <c r="J72">
        <v>10.8125</v>
      </c>
      <c r="K72">
        <v>12.5</v>
      </c>
      <c r="L72">
        <v>10.8125</v>
      </c>
      <c r="M72">
        <v>12</v>
      </c>
      <c r="N72">
        <v>7.6119680000000001</v>
      </c>
      <c r="O72">
        <v>134228200</v>
      </c>
    </row>
    <row r="73" spans="1:15" x14ac:dyDescent="0.3">
      <c r="A73" s="1">
        <v>35034</v>
      </c>
      <c r="B73">
        <v>5.4453129999999996</v>
      </c>
      <c r="C73">
        <v>5.921875</v>
      </c>
      <c r="D73">
        <v>5.3203129999999996</v>
      </c>
      <c r="E73">
        <v>5.484375</v>
      </c>
      <c r="F73">
        <v>3.4001139999999999</v>
      </c>
      <c r="G73">
        <v>1653614400</v>
      </c>
      <c r="I73" s="1">
        <v>35034</v>
      </c>
      <c r="J73">
        <v>12.0625</v>
      </c>
      <c r="K73">
        <v>12.25</v>
      </c>
      <c r="L73">
        <v>11.0625</v>
      </c>
      <c r="M73">
        <v>11.125</v>
      </c>
      <c r="N73">
        <v>7.0713569999999999</v>
      </c>
      <c r="O73">
        <v>127829800</v>
      </c>
    </row>
    <row r="74" spans="1:15" x14ac:dyDescent="0.3">
      <c r="A74" s="1">
        <v>35065</v>
      </c>
      <c r="B74">
        <v>5.4921879999999996</v>
      </c>
      <c r="C74">
        <v>5.828125</v>
      </c>
      <c r="D74">
        <v>4.9921879999999996</v>
      </c>
      <c r="E74">
        <v>5.78125</v>
      </c>
      <c r="F74">
        <v>3.584165</v>
      </c>
      <c r="G74">
        <v>2056616000</v>
      </c>
      <c r="I74" s="1">
        <v>35065</v>
      </c>
      <c r="J74">
        <v>11.125</v>
      </c>
      <c r="K74">
        <v>12.0625</v>
      </c>
      <c r="L74">
        <v>9.546875</v>
      </c>
      <c r="M74">
        <v>10.1875</v>
      </c>
      <c r="N74">
        <v>6.4754569999999996</v>
      </c>
      <c r="O74">
        <v>241488400</v>
      </c>
    </row>
    <row r="75" spans="1:15" x14ac:dyDescent="0.3">
      <c r="A75" s="1">
        <v>35096</v>
      </c>
      <c r="B75">
        <v>5.765625</v>
      </c>
      <c r="C75">
        <v>6.4765629999999996</v>
      </c>
      <c r="D75">
        <v>5.75</v>
      </c>
      <c r="E75">
        <v>6.1679690000000003</v>
      </c>
      <c r="F75">
        <v>3.8239179999999999</v>
      </c>
      <c r="G75">
        <v>1636929600</v>
      </c>
      <c r="I75" s="1">
        <v>35096</v>
      </c>
      <c r="J75">
        <v>10.125</v>
      </c>
      <c r="K75">
        <v>11.4375</v>
      </c>
      <c r="L75">
        <v>10.0625</v>
      </c>
      <c r="M75">
        <v>10.625</v>
      </c>
      <c r="N75">
        <v>6.7535410000000002</v>
      </c>
      <c r="O75">
        <v>181546000</v>
      </c>
    </row>
    <row r="76" spans="1:15" x14ac:dyDescent="0.3">
      <c r="A76" s="1">
        <v>35125</v>
      </c>
      <c r="B76">
        <v>6.1484379999999996</v>
      </c>
      <c r="C76">
        <v>6.6914059999999997</v>
      </c>
      <c r="D76">
        <v>5.9140629999999996</v>
      </c>
      <c r="E76">
        <v>6.4453129999999996</v>
      </c>
      <c r="F76">
        <v>3.9958589999999998</v>
      </c>
      <c r="G76">
        <v>1698950400</v>
      </c>
      <c r="I76" s="1">
        <v>35125</v>
      </c>
      <c r="J76">
        <v>10.75</v>
      </c>
      <c r="K76">
        <v>12.375</v>
      </c>
      <c r="L76">
        <v>10.5</v>
      </c>
      <c r="M76">
        <v>11.5</v>
      </c>
      <c r="N76">
        <v>7.3097200000000004</v>
      </c>
      <c r="O76">
        <v>190733400</v>
      </c>
    </row>
    <row r="77" spans="1:15" x14ac:dyDescent="0.3">
      <c r="A77" s="1">
        <v>35156</v>
      </c>
      <c r="B77">
        <v>6.4462890000000002</v>
      </c>
      <c r="C77">
        <v>7.1171879999999996</v>
      </c>
      <c r="D77">
        <v>6.2265629999999996</v>
      </c>
      <c r="E77">
        <v>7.078125</v>
      </c>
      <c r="F77">
        <v>4.3881819999999996</v>
      </c>
      <c r="G77">
        <v>1346283200</v>
      </c>
      <c r="I77" s="1">
        <v>35156</v>
      </c>
      <c r="J77">
        <v>11.625</v>
      </c>
      <c r="K77">
        <v>11.9375</v>
      </c>
      <c r="L77">
        <v>10.75</v>
      </c>
      <c r="M77">
        <v>11.9375</v>
      </c>
      <c r="N77">
        <v>7.6045470000000002</v>
      </c>
      <c r="O77">
        <v>145831800</v>
      </c>
    </row>
    <row r="78" spans="1:15" x14ac:dyDescent="0.3">
      <c r="A78" s="1">
        <v>35186</v>
      </c>
      <c r="B78">
        <v>7.0546879999999996</v>
      </c>
      <c r="C78">
        <v>7.5</v>
      </c>
      <c r="D78">
        <v>6.8515629999999996</v>
      </c>
      <c r="E78">
        <v>7.421875</v>
      </c>
      <c r="F78">
        <v>4.6012919999999999</v>
      </c>
      <c r="G78">
        <v>1207328000</v>
      </c>
      <c r="I78" s="1">
        <v>35186</v>
      </c>
      <c r="J78">
        <v>11.9375</v>
      </c>
      <c r="K78">
        <v>13.1875</v>
      </c>
      <c r="L78">
        <v>11.625</v>
      </c>
      <c r="M78">
        <v>12.9375</v>
      </c>
      <c r="N78">
        <v>8.2415719999999997</v>
      </c>
      <c r="O78">
        <v>179406600</v>
      </c>
    </row>
    <row r="79" spans="1:15" x14ac:dyDescent="0.3">
      <c r="A79" s="1">
        <v>35217</v>
      </c>
      <c r="B79">
        <v>7.421875</v>
      </c>
      <c r="C79">
        <v>7.8671879999999996</v>
      </c>
      <c r="D79">
        <v>7.265625</v>
      </c>
      <c r="E79">
        <v>7.5078129999999996</v>
      </c>
      <c r="F79">
        <v>4.6545709999999998</v>
      </c>
      <c r="G79">
        <v>1280102400</v>
      </c>
      <c r="I79" s="1">
        <v>35217</v>
      </c>
      <c r="J79">
        <v>13</v>
      </c>
      <c r="K79">
        <v>13.25</v>
      </c>
      <c r="L79">
        <v>12.3125</v>
      </c>
      <c r="M79">
        <v>12.6875</v>
      </c>
      <c r="N79">
        <v>8.0823140000000002</v>
      </c>
      <c r="O79">
        <v>139950200</v>
      </c>
    </row>
    <row r="80" spans="1:15" x14ac:dyDescent="0.3">
      <c r="A80" s="1">
        <v>35247</v>
      </c>
      <c r="B80">
        <v>7.515625</v>
      </c>
      <c r="C80">
        <v>7.6796879999999996</v>
      </c>
      <c r="D80">
        <v>6.71875</v>
      </c>
      <c r="E80">
        <v>7.3671879999999996</v>
      </c>
      <c r="F80">
        <v>4.5673899999999996</v>
      </c>
      <c r="G80">
        <v>2176897600</v>
      </c>
      <c r="I80" s="1">
        <v>35247</v>
      </c>
      <c r="J80">
        <v>12.6875</v>
      </c>
      <c r="K80">
        <v>12.6875</v>
      </c>
      <c r="L80">
        <v>10.875</v>
      </c>
      <c r="M80">
        <v>12</v>
      </c>
      <c r="N80">
        <v>7.6596780000000004</v>
      </c>
      <c r="O80">
        <v>111353200</v>
      </c>
    </row>
    <row r="81" spans="1:15" x14ac:dyDescent="0.3">
      <c r="A81" s="1">
        <v>35278</v>
      </c>
      <c r="B81">
        <v>7.3671879999999996</v>
      </c>
      <c r="C81">
        <v>7.8828129999999996</v>
      </c>
      <c r="D81">
        <v>7.3359379999999996</v>
      </c>
      <c r="E81">
        <v>7.65625</v>
      </c>
      <c r="F81">
        <v>4.7465970000000004</v>
      </c>
      <c r="G81">
        <v>1143864000</v>
      </c>
      <c r="I81" s="1">
        <v>35278</v>
      </c>
      <c r="J81">
        <v>12</v>
      </c>
      <c r="K81">
        <v>14</v>
      </c>
      <c r="L81">
        <v>12</v>
      </c>
      <c r="M81">
        <v>13.1875</v>
      </c>
      <c r="N81">
        <v>8.4176660000000005</v>
      </c>
      <c r="O81">
        <v>155163000</v>
      </c>
    </row>
    <row r="82" spans="1:15" x14ac:dyDescent="0.3">
      <c r="A82" s="1">
        <v>35309</v>
      </c>
      <c r="B82">
        <v>7.625</v>
      </c>
      <c r="C82">
        <v>8.6640630000000005</v>
      </c>
      <c r="D82">
        <v>7.5390629999999996</v>
      </c>
      <c r="E82">
        <v>8.2421880000000005</v>
      </c>
      <c r="F82">
        <v>5.1098590000000002</v>
      </c>
      <c r="G82">
        <v>1299435200</v>
      </c>
      <c r="I82" s="1">
        <v>35309</v>
      </c>
      <c r="J82">
        <v>13</v>
      </c>
      <c r="K82">
        <v>14</v>
      </c>
      <c r="L82">
        <v>12.8125</v>
      </c>
      <c r="M82">
        <v>13.1875</v>
      </c>
      <c r="N82">
        <v>8.4339849999999998</v>
      </c>
      <c r="O82">
        <v>107892000</v>
      </c>
    </row>
    <row r="83" spans="1:15" x14ac:dyDescent="0.3">
      <c r="A83" s="1">
        <v>35339</v>
      </c>
      <c r="B83">
        <v>8.234375</v>
      </c>
      <c r="C83">
        <v>8.6953130000000005</v>
      </c>
      <c r="D83">
        <v>8.1796880000000005</v>
      </c>
      <c r="E83">
        <v>8.578125</v>
      </c>
      <c r="F83">
        <v>5.3181269999999996</v>
      </c>
      <c r="G83">
        <v>1340635200</v>
      </c>
      <c r="I83" s="1">
        <v>35339</v>
      </c>
      <c r="J83">
        <v>13</v>
      </c>
      <c r="K83">
        <v>14.125</v>
      </c>
      <c r="L83">
        <v>12.75</v>
      </c>
      <c r="M83">
        <v>13.25</v>
      </c>
      <c r="N83">
        <v>8.4739579999999997</v>
      </c>
      <c r="O83">
        <v>122870400</v>
      </c>
    </row>
    <row r="84" spans="1:15" x14ac:dyDescent="0.3">
      <c r="A84" s="1">
        <v>35370</v>
      </c>
      <c r="B84">
        <v>8.578125</v>
      </c>
      <c r="C84">
        <v>9.875</v>
      </c>
      <c r="D84">
        <v>8.53125</v>
      </c>
      <c r="E84">
        <v>9.8046880000000005</v>
      </c>
      <c r="F84">
        <v>6.0785520000000002</v>
      </c>
      <c r="G84">
        <v>1620968000</v>
      </c>
      <c r="I84" s="1">
        <v>35370</v>
      </c>
      <c r="J84">
        <v>13.375</v>
      </c>
      <c r="K84">
        <v>13.5625</v>
      </c>
      <c r="L84">
        <v>12</v>
      </c>
      <c r="M84">
        <v>12.75</v>
      </c>
      <c r="N84">
        <v>8.1541920000000001</v>
      </c>
      <c r="O84">
        <v>163109200</v>
      </c>
    </row>
    <row r="85" spans="1:15" x14ac:dyDescent="0.3">
      <c r="A85" s="1">
        <v>35400</v>
      </c>
      <c r="B85">
        <v>9.84375</v>
      </c>
      <c r="C85">
        <v>10.765625</v>
      </c>
      <c r="D85">
        <v>9.2666020000000007</v>
      </c>
      <c r="E85">
        <v>10.328125</v>
      </c>
      <c r="F85">
        <v>6.4030639999999996</v>
      </c>
      <c r="G85">
        <v>1459023200</v>
      </c>
      <c r="I85" s="1">
        <v>35400</v>
      </c>
      <c r="J85">
        <v>12.8125</v>
      </c>
      <c r="K85">
        <v>13.0625</v>
      </c>
      <c r="L85">
        <v>11.375</v>
      </c>
      <c r="M85">
        <v>11.375</v>
      </c>
      <c r="N85">
        <v>7.2748150000000003</v>
      </c>
      <c r="O85">
        <v>141203000</v>
      </c>
    </row>
    <row r="86" spans="1:15" x14ac:dyDescent="0.3">
      <c r="A86" s="1">
        <v>35431</v>
      </c>
      <c r="B86">
        <v>10.390625</v>
      </c>
      <c r="C86">
        <v>12.90625</v>
      </c>
      <c r="D86">
        <v>10.09375</v>
      </c>
      <c r="E86">
        <v>12.75</v>
      </c>
      <c r="F86">
        <v>7.904541</v>
      </c>
      <c r="G86">
        <v>1565781600</v>
      </c>
      <c r="I86" s="1">
        <v>35431</v>
      </c>
      <c r="J86">
        <v>11.5</v>
      </c>
      <c r="K86">
        <v>12.125</v>
      </c>
      <c r="L86">
        <v>11</v>
      </c>
      <c r="M86">
        <v>11.875</v>
      </c>
      <c r="N86">
        <v>7.6106569999999998</v>
      </c>
      <c r="O86">
        <v>191456000</v>
      </c>
    </row>
    <row r="87" spans="1:15" x14ac:dyDescent="0.3">
      <c r="A87" s="1">
        <v>35462</v>
      </c>
      <c r="B87">
        <v>12.828125</v>
      </c>
      <c r="C87">
        <v>12.9375</v>
      </c>
      <c r="D87">
        <v>11.75</v>
      </c>
      <c r="E87">
        <v>12.1875</v>
      </c>
      <c r="F87">
        <v>7.555809</v>
      </c>
      <c r="G87">
        <v>1297152800</v>
      </c>
      <c r="I87" s="1">
        <v>35462</v>
      </c>
      <c r="J87">
        <v>11.875</v>
      </c>
      <c r="K87">
        <v>13.5</v>
      </c>
      <c r="L87">
        <v>11.5</v>
      </c>
      <c r="M87">
        <v>13.1875</v>
      </c>
      <c r="N87">
        <v>8.4518350000000009</v>
      </c>
      <c r="O87">
        <v>172880800</v>
      </c>
    </row>
    <row r="88" spans="1:15" x14ac:dyDescent="0.3">
      <c r="A88" s="1">
        <v>35490</v>
      </c>
      <c r="B88">
        <v>12.125</v>
      </c>
      <c r="C88">
        <v>12.625</v>
      </c>
      <c r="D88">
        <v>10.953125</v>
      </c>
      <c r="E88">
        <v>11.460938000000001</v>
      </c>
      <c r="F88">
        <v>7.1053660000000001</v>
      </c>
      <c r="G88">
        <v>1477638400</v>
      </c>
      <c r="I88" s="1">
        <v>35490</v>
      </c>
      <c r="J88">
        <v>13.125</v>
      </c>
      <c r="K88">
        <v>14.9375</v>
      </c>
      <c r="L88">
        <v>13.125</v>
      </c>
      <c r="M88">
        <v>13.9375</v>
      </c>
      <c r="N88">
        <v>8.9325080000000003</v>
      </c>
      <c r="O88">
        <v>228633600</v>
      </c>
    </row>
    <row r="89" spans="1:15" x14ac:dyDescent="0.3">
      <c r="A89" s="1">
        <v>35521</v>
      </c>
      <c r="B89">
        <v>11.265625</v>
      </c>
      <c r="C89">
        <v>15.328125</v>
      </c>
      <c r="D89">
        <v>11.21875</v>
      </c>
      <c r="E89">
        <v>15.1875</v>
      </c>
      <c r="F89">
        <v>9.4156999999999993</v>
      </c>
      <c r="G89">
        <v>1907452000</v>
      </c>
      <c r="I89" s="1">
        <v>35521</v>
      </c>
      <c r="J89">
        <v>13.8125</v>
      </c>
      <c r="K89">
        <v>14.4375</v>
      </c>
      <c r="L89">
        <v>13.5</v>
      </c>
      <c r="M89">
        <v>14.0625</v>
      </c>
      <c r="N89">
        <v>9.0339869999999998</v>
      </c>
      <c r="O89">
        <v>137624200</v>
      </c>
    </row>
    <row r="90" spans="1:15" x14ac:dyDescent="0.3">
      <c r="A90" s="1">
        <v>35551</v>
      </c>
      <c r="B90">
        <v>15.25</v>
      </c>
      <c r="C90">
        <v>16.132812999999999</v>
      </c>
      <c r="D90">
        <v>14.359375</v>
      </c>
      <c r="E90">
        <v>15.5</v>
      </c>
      <c r="F90">
        <v>9.6094390000000001</v>
      </c>
      <c r="G90">
        <v>1297835200</v>
      </c>
      <c r="I90" s="1">
        <v>35551</v>
      </c>
      <c r="J90">
        <v>14</v>
      </c>
      <c r="K90">
        <v>15.3125</v>
      </c>
      <c r="L90">
        <v>13.9375</v>
      </c>
      <c r="M90">
        <v>14.9375</v>
      </c>
      <c r="N90">
        <v>9.5960990000000006</v>
      </c>
      <c r="O90">
        <v>141164600</v>
      </c>
    </row>
    <row r="91" spans="1:15" x14ac:dyDescent="0.3">
      <c r="A91" s="1">
        <v>35582</v>
      </c>
      <c r="B91">
        <v>15.625</v>
      </c>
      <c r="C91">
        <v>16.867187999999999</v>
      </c>
      <c r="D91">
        <v>14.78125</v>
      </c>
      <c r="E91">
        <v>15.796875</v>
      </c>
      <c r="F91">
        <v>9.7934870000000007</v>
      </c>
      <c r="G91">
        <v>970189600</v>
      </c>
      <c r="I91" s="1">
        <v>35582</v>
      </c>
      <c r="J91">
        <v>15</v>
      </c>
      <c r="K91">
        <v>16.96875</v>
      </c>
      <c r="L91">
        <v>14.9375</v>
      </c>
      <c r="M91">
        <v>16.90625</v>
      </c>
      <c r="N91">
        <v>10.860855000000001</v>
      </c>
      <c r="O91">
        <v>144739800</v>
      </c>
    </row>
    <row r="92" spans="1:15" x14ac:dyDescent="0.3">
      <c r="A92" s="1">
        <v>35612</v>
      </c>
      <c r="B92">
        <v>15.804688000000001</v>
      </c>
      <c r="C92">
        <v>18.84375</v>
      </c>
      <c r="D92">
        <v>15.40625</v>
      </c>
      <c r="E92">
        <v>17.671875</v>
      </c>
      <c r="F92">
        <v>10.955924</v>
      </c>
      <c r="G92">
        <v>1693945600</v>
      </c>
      <c r="I92" s="1">
        <v>35612</v>
      </c>
      <c r="J92">
        <v>16.96875</v>
      </c>
      <c r="K92">
        <v>19.5625</v>
      </c>
      <c r="L92">
        <v>16.59375</v>
      </c>
      <c r="M92">
        <v>18.75</v>
      </c>
      <c r="N92">
        <v>12.069912</v>
      </c>
      <c r="O92">
        <v>168500800</v>
      </c>
    </row>
    <row r="93" spans="1:15" x14ac:dyDescent="0.3">
      <c r="A93" s="1">
        <v>35643</v>
      </c>
      <c r="B93">
        <v>17.671875</v>
      </c>
      <c r="C93">
        <v>18.078125</v>
      </c>
      <c r="D93">
        <v>16.375</v>
      </c>
      <c r="E93">
        <v>16.523437999999999</v>
      </c>
      <c r="F93">
        <v>10.243933999999999</v>
      </c>
      <c r="G93">
        <v>1169070400</v>
      </c>
      <c r="I93" s="1">
        <v>35643</v>
      </c>
      <c r="J93">
        <v>18.75</v>
      </c>
      <c r="K93">
        <v>19.5</v>
      </c>
      <c r="L93">
        <v>17.375</v>
      </c>
      <c r="M93">
        <v>17.75</v>
      </c>
      <c r="N93">
        <v>11.426176999999999</v>
      </c>
      <c r="O93">
        <v>130566000</v>
      </c>
    </row>
    <row r="94" spans="1:15" x14ac:dyDescent="0.3">
      <c r="A94" s="1">
        <v>35674</v>
      </c>
      <c r="B94">
        <v>16.640625</v>
      </c>
      <c r="C94">
        <v>17.53125</v>
      </c>
      <c r="D94">
        <v>16.328125</v>
      </c>
      <c r="E94">
        <v>16.539062999999999</v>
      </c>
      <c r="F94">
        <v>10.253619</v>
      </c>
      <c r="G94">
        <v>1153615200</v>
      </c>
      <c r="I94" s="1">
        <v>35674</v>
      </c>
      <c r="J94">
        <v>17.96875</v>
      </c>
      <c r="K94">
        <v>19.78125</v>
      </c>
      <c r="L94">
        <v>17.90625</v>
      </c>
      <c r="M94">
        <v>18.3125</v>
      </c>
      <c r="N94">
        <v>11.788278</v>
      </c>
      <c r="O94">
        <v>122852200</v>
      </c>
    </row>
    <row r="95" spans="1:15" x14ac:dyDescent="0.3">
      <c r="A95" s="1">
        <v>35704</v>
      </c>
      <c r="B95">
        <v>16.5625</v>
      </c>
      <c r="C95">
        <v>17.453125</v>
      </c>
      <c r="D95">
        <v>15.4375</v>
      </c>
      <c r="E95">
        <v>16.25</v>
      </c>
      <c r="F95">
        <v>10.074412000000001</v>
      </c>
      <c r="G95">
        <v>1533380800</v>
      </c>
      <c r="I95" s="1">
        <v>35704</v>
      </c>
      <c r="J95">
        <v>18.46875</v>
      </c>
      <c r="K95">
        <v>18.625</v>
      </c>
      <c r="L95">
        <v>15.125</v>
      </c>
      <c r="M95">
        <v>17.5</v>
      </c>
      <c r="N95">
        <v>11.285313</v>
      </c>
      <c r="O95">
        <v>138812600</v>
      </c>
    </row>
    <row r="96" spans="1:15" x14ac:dyDescent="0.3">
      <c r="A96" s="1">
        <v>35735</v>
      </c>
      <c r="B96">
        <v>16.453125</v>
      </c>
      <c r="C96">
        <v>17.78125</v>
      </c>
      <c r="D96">
        <v>16.125</v>
      </c>
      <c r="E96">
        <v>17.6875</v>
      </c>
      <c r="F96">
        <v>10.965609000000001</v>
      </c>
      <c r="G96">
        <v>915970400</v>
      </c>
      <c r="I96" s="1">
        <v>35735</v>
      </c>
      <c r="J96">
        <v>18.3125</v>
      </c>
      <c r="K96">
        <v>20.4375</v>
      </c>
      <c r="L96">
        <v>17.875</v>
      </c>
      <c r="M96">
        <v>20.03125</v>
      </c>
      <c r="N96">
        <v>12.917646</v>
      </c>
      <c r="O96">
        <v>108122600</v>
      </c>
    </row>
    <row r="97" spans="1:15" x14ac:dyDescent="0.3">
      <c r="A97" s="1">
        <v>35765</v>
      </c>
      <c r="B97">
        <v>17.742187999999999</v>
      </c>
      <c r="C97">
        <v>18.328125</v>
      </c>
      <c r="D97">
        <v>14.75</v>
      </c>
      <c r="E97">
        <v>16.15625</v>
      </c>
      <c r="F97">
        <v>10.01629</v>
      </c>
      <c r="G97">
        <v>1437224000</v>
      </c>
      <c r="I97" s="1">
        <v>35765</v>
      </c>
      <c r="J97">
        <v>20.125</v>
      </c>
      <c r="K97">
        <v>20.96875</v>
      </c>
      <c r="L97">
        <v>18.375</v>
      </c>
      <c r="M97">
        <v>19.71875</v>
      </c>
      <c r="N97">
        <v>12.716125999999999</v>
      </c>
      <c r="O97">
        <v>105818400</v>
      </c>
    </row>
    <row r="98" spans="1:15" x14ac:dyDescent="0.3">
      <c r="A98" s="1">
        <v>35796</v>
      </c>
      <c r="B98">
        <v>16.203125</v>
      </c>
      <c r="C98">
        <v>18.765625</v>
      </c>
      <c r="D98">
        <v>15.546875</v>
      </c>
      <c r="E98">
        <v>18.648437999999999</v>
      </c>
      <c r="F98">
        <v>11.561360000000001</v>
      </c>
      <c r="G98">
        <v>1486108000</v>
      </c>
      <c r="I98" s="1">
        <v>35796</v>
      </c>
      <c r="J98">
        <v>19.71875</v>
      </c>
      <c r="K98">
        <v>20.96875</v>
      </c>
      <c r="L98">
        <v>18.78125</v>
      </c>
      <c r="M98">
        <v>19.90625</v>
      </c>
      <c r="N98">
        <v>12.858496000000001</v>
      </c>
      <c r="O98">
        <v>113176600</v>
      </c>
    </row>
    <row r="99" spans="1:15" x14ac:dyDescent="0.3">
      <c r="A99" s="1">
        <v>35827</v>
      </c>
      <c r="B99">
        <v>18.96875</v>
      </c>
      <c r="C99">
        <v>21.5</v>
      </c>
      <c r="D99">
        <v>18.8125</v>
      </c>
      <c r="E99">
        <v>21.1875</v>
      </c>
      <c r="F99">
        <v>13.135482</v>
      </c>
      <c r="G99">
        <v>1402018400</v>
      </c>
      <c r="I99" s="1">
        <v>35827</v>
      </c>
      <c r="J99">
        <v>20.46875</v>
      </c>
      <c r="K99">
        <v>23.96875</v>
      </c>
      <c r="L99">
        <v>20.09375</v>
      </c>
      <c r="M99">
        <v>23.15625</v>
      </c>
      <c r="N99">
        <v>14.957838000000001</v>
      </c>
      <c r="O99">
        <v>109165400</v>
      </c>
    </row>
    <row r="100" spans="1:15" x14ac:dyDescent="0.3">
      <c r="A100" s="1">
        <v>35855</v>
      </c>
      <c r="B100">
        <v>21.46875</v>
      </c>
      <c r="C100">
        <v>22.734375</v>
      </c>
      <c r="D100">
        <v>19.8125</v>
      </c>
      <c r="E100">
        <v>22.375</v>
      </c>
      <c r="F100">
        <v>13.871689</v>
      </c>
      <c r="G100">
        <v>1099927600</v>
      </c>
      <c r="I100" s="1">
        <v>35855</v>
      </c>
      <c r="J100">
        <v>23.34375</v>
      </c>
      <c r="K100">
        <v>26.125</v>
      </c>
      <c r="L100">
        <v>23.25</v>
      </c>
      <c r="M100">
        <v>25.40625</v>
      </c>
      <c r="N100">
        <v>16.411225999999999</v>
      </c>
      <c r="O100">
        <v>136236400</v>
      </c>
    </row>
    <row r="101" spans="1:15" x14ac:dyDescent="0.3">
      <c r="A101" s="1">
        <v>35886</v>
      </c>
      <c r="B101">
        <v>22.453125</v>
      </c>
      <c r="C101">
        <v>24.78125</v>
      </c>
      <c r="D101">
        <v>21.65625</v>
      </c>
      <c r="E101">
        <v>22.53125</v>
      </c>
      <c r="F101">
        <v>13.968557000000001</v>
      </c>
      <c r="G101">
        <v>1018977200</v>
      </c>
      <c r="I101" s="1">
        <v>35886</v>
      </c>
      <c r="J101">
        <v>25.40625</v>
      </c>
      <c r="K101">
        <v>26.96875</v>
      </c>
      <c r="L101">
        <v>24.09375</v>
      </c>
      <c r="M101">
        <v>25.28125</v>
      </c>
      <c r="N101">
        <v>16.355293</v>
      </c>
      <c r="O101">
        <v>119430600</v>
      </c>
    </row>
    <row r="102" spans="1:15" x14ac:dyDescent="0.3">
      <c r="A102" s="1">
        <v>35916</v>
      </c>
      <c r="B102">
        <v>22.546875</v>
      </c>
      <c r="C102">
        <v>22.75</v>
      </c>
      <c r="D102">
        <v>20.46875</v>
      </c>
      <c r="E102">
        <v>21.203125</v>
      </c>
      <c r="F102">
        <v>13.145168999999999</v>
      </c>
      <c r="G102">
        <v>1095382400</v>
      </c>
      <c r="I102" s="1">
        <v>35916</v>
      </c>
      <c r="J102">
        <v>25.625</v>
      </c>
      <c r="K102">
        <v>28.1875</v>
      </c>
      <c r="L102">
        <v>24.875</v>
      </c>
      <c r="M102">
        <v>27.5625</v>
      </c>
      <c r="N102">
        <v>17.831112000000001</v>
      </c>
      <c r="O102">
        <v>102331600</v>
      </c>
    </row>
    <row r="103" spans="1:15" x14ac:dyDescent="0.3">
      <c r="A103" s="1">
        <v>35947</v>
      </c>
      <c r="B103">
        <v>20.96875</v>
      </c>
      <c r="C103">
        <v>27.140625</v>
      </c>
      <c r="D103">
        <v>20.78125</v>
      </c>
      <c r="E103">
        <v>27.09375</v>
      </c>
      <c r="F103">
        <v>16.797142000000001</v>
      </c>
      <c r="G103">
        <v>1233152400</v>
      </c>
      <c r="I103" s="1">
        <v>35947</v>
      </c>
      <c r="J103">
        <v>27.84375</v>
      </c>
      <c r="K103">
        <v>31.4375</v>
      </c>
      <c r="L103">
        <v>27.6875</v>
      </c>
      <c r="M103">
        <v>30.375</v>
      </c>
      <c r="N103">
        <v>19.650611999999999</v>
      </c>
      <c r="O103">
        <v>129212400</v>
      </c>
    </row>
    <row r="104" spans="1:15" x14ac:dyDescent="0.3">
      <c r="A104" s="1">
        <v>35977</v>
      </c>
      <c r="B104">
        <v>27.28125</v>
      </c>
      <c r="C104">
        <v>29.90625</v>
      </c>
      <c r="D104">
        <v>26.34375</v>
      </c>
      <c r="E104">
        <v>27.484375</v>
      </c>
      <c r="F104">
        <v>17.039307000000001</v>
      </c>
      <c r="G104">
        <v>1229298000</v>
      </c>
      <c r="I104" s="1">
        <v>35977</v>
      </c>
      <c r="J104">
        <v>30.78125</v>
      </c>
      <c r="K104">
        <v>34.84375</v>
      </c>
      <c r="L104">
        <v>29.875</v>
      </c>
      <c r="M104">
        <v>31.5625</v>
      </c>
      <c r="N104">
        <v>20.446643999999999</v>
      </c>
      <c r="O104">
        <v>133845800</v>
      </c>
    </row>
    <row r="105" spans="1:15" x14ac:dyDescent="0.3">
      <c r="A105" s="1">
        <v>36008</v>
      </c>
      <c r="B105">
        <v>27.28125</v>
      </c>
      <c r="C105">
        <v>28.4375</v>
      </c>
      <c r="D105">
        <v>23.9375</v>
      </c>
      <c r="E105">
        <v>23.984375</v>
      </c>
      <c r="F105">
        <v>14.869443</v>
      </c>
      <c r="G105">
        <v>1350039600</v>
      </c>
      <c r="I105" s="1">
        <v>36008</v>
      </c>
      <c r="J105">
        <v>31.34375</v>
      </c>
      <c r="K105">
        <v>34.90625</v>
      </c>
      <c r="L105">
        <v>28.625</v>
      </c>
      <c r="M105">
        <v>29.5</v>
      </c>
      <c r="N105">
        <v>19.110531000000002</v>
      </c>
      <c r="O105">
        <v>166958400</v>
      </c>
    </row>
    <row r="106" spans="1:15" x14ac:dyDescent="0.3">
      <c r="A106" s="1">
        <v>36039</v>
      </c>
      <c r="B106">
        <v>23.8125</v>
      </c>
      <c r="C106">
        <v>28.65625</v>
      </c>
      <c r="D106">
        <v>23.625</v>
      </c>
      <c r="E106">
        <v>27.515625</v>
      </c>
      <c r="F106">
        <v>17.058686999999999</v>
      </c>
      <c r="G106">
        <v>1192324400</v>
      </c>
      <c r="I106" s="1">
        <v>36039</v>
      </c>
      <c r="J106">
        <v>29.75</v>
      </c>
      <c r="K106">
        <v>32.375</v>
      </c>
      <c r="L106">
        <v>26.9375</v>
      </c>
      <c r="M106">
        <v>27.3125</v>
      </c>
      <c r="N106">
        <v>17.693429999999999</v>
      </c>
      <c r="O106">
        <v>199474200</v>
      </c>
    </row>
    <row r="107" spans="1:15" x14ac:dyDescent="0.3">
      <c r="A107" s="1">
        <v>36069</v>
      </c>
      <c r="B107">
        <v>27.015625</v>
      </c>
      <c r="C107">
        <v>27.53125</v>
      </c>
      <c r="D107">
        <v>21.9375</v>
      </c>
      <c r="E107">
        <v>26.46875</v>
      </c>
      <c r="F107">
        <v>16.409668</v>
      </c>
      <c r="G107">
        <v>1643049200</v>
      </c>
      <c r="I107" s="1">
        <v>36069</v>
      </c>
      <c r="J107">
        <v>27</v>
      </c>
      <c r="K107">
        <v>34.71875</v>
      </c>
      <c r="L107">
        <v>26.21875</v>
      </c>
      <c r="M107">
        <v>34.53125</v>
      </c>
      <c r="N107">
        <v>22.397787000000001</v>
      </c>
      <c r="O107">
        <v>193481400</v>
      </c>
    </row>
    <row r="108" spans="1:15" x14ac:dyDescent="0.3">
      <c r="A108" s="1">
        <v>36100</v>
      </c>
      <c r="B108">
        <v>26.59375</v>
      </c>
      <c r="C108">
        <v>32.566406000000001</v>
      </c>
      <c r="D108">
        <v>26.1875</v>
      </c>
      <c r="E108">
        <v>30.5</v>
      </c>
      <c r="F108">
        <v>18.908888000000001</v>
      </c>
      <c r="G108">
        <v>1162706800</v>
      </c>
      <c r="I108" s="1">
        <v>36100</v>
      </c>
      <c r="J108">
        <v>34.65625</v>
      </c>
      <c r="K108">
        <v>38.625</v>
      </c>
      <c r="L108">
        <v>33.40625</v>
      </c>
      <c r="M108">
        <v>37.65625</v>
      </c>
      <c r="N108">
        <v>24.424752999999999</v>
      </c>
      <c r="O108">
        <v>130600000</v>
      </c>
    </row>
    <row r="109" spans="1:15" x14ac:dyDescent="0.3">
      <c r="A109" s="1">
        <v>36130</v>
      </c>
      <c r="B109">
        <v>30.0625</v>
      </c>
      <c r="C109">
        <v>36</v>
      </c>
      <c r="D109">
        <v>30.03125</v>
      </c>
      <c r="E109">
        <v>34.671875</v>
      </c>
      <c r="F109">
        <v>21.49531</v>
      </c>
      <c r="G109">
        <v>1101522000</v>
      </c>
      <c r="I109" s="1">
        <v>36130</v>
      </c>
      <c r="J109">
        <v>37.125</v>
      </c>
      <c r="K109">
        <v>41.375</v>
      </c>
      <c r="L109">
        <v>35.71875</v>
      </c>
      <c r="M109">
        <v>40.71875</v>
      </c>
      <c r="N109">
        <v>26.411152000000001</v>
      </c>
      <c r="O109">
        <v>120595400</v>
      </c>
    </row>
    <row r="110" spans="1:15" x14ac:dyDescent="0.3">
      <c r="A110" s="1">
        <v>36161</v>
      </c>
      <c r="B110">
        <v>34.902343999999999</v>
      </c>
      <c r="C110">
        <v>43.78125</v>
      </c>
      <c r="D110">
        <v>34</v>
      </c>
      <c r="E110">
        <v>43.75</v>
      </c>
      <c r="F110">
        <v>27.123421</v>
      </c>
      <c r="G110">
        <v>1472518800</v>
      </c>
      <c r="I110" s="1">
        <v>36161</v>
      </c>
      <c r="J110">
        <v>40.8125</v>
      </c>
      <c r="K110">
        <v>43.21875</v>
      </c>
      <c r="L110">
        <v>38.6875</v>
      </c>
      <c r="M110">
        <v>43</v>
      </c>
      <c r="N110">
        <v>27.919471999999999</v>
      </c>
      <c r="O110">
        <v>131455400</v>
      </c>
    </row>
    <row r="111" spans="1:15" x14ac:dyDescent="0.3">
      <c r="A111" s="1">
        <v>36192</v>
      </c>
      <c r="B111">
        <v>43.859375</v>
      </c>
      <c r="C111">
        <v>43.984375</v>
      </c>
      <c r="D111">
        <v>35.996093999999999</v>
      </c>
      <c r="E111">
        <v>37.53125</v>
      </c>
      <c r="F111">
        <v>23.268021000000001</v>
      </c>
      <c r="G111">
        <v>1599103200</v>
      </c>
      <c r="I111" s="1">
        <v>36192</v>
      </c>
      <c r="J111">
        <v>42.875</v>
      </c>
      <c r="K111">
        <v>44.75</v>
      </c>
      <c r="L111">
        <v>40.25</v>
      </c>
      <c r="M111">
        <v>43.0625</v>
      </c>
      <c r="N111">
        <v>27.960063999999999</v>
      </c>
      <c r="O111">
        <v>130111800</v>
      </c>
    </row>
    <row r="112" spans="1:15" x14ac:dyDescent="0.3">
      <c r="A112" s="1">
        <v>36220</v>
      </c>
      <c r="B112">
        <v>37.390625</v>
      </c>
      <c r="C112">
        <v>47.3125</v>
      </c>
      <c r="D112">
        <v>36.765625</v>
      </c>
      <c r="E112">
        <v>44.8125</v>
      </c>
      <c r="F112">
        <v>27.782126999999999</v>
      </c>
      <c r="G112">
        <v>1569410000</v>
      </c>
      <c r="I112" s="1">
        <v>36220</v>
      </c>
      <c r="J112">
        <v>43.5625</v>
      </c>
      <c r="K112">
        <v>49.1875</v>
      </c>
      <c r="L112">
        <v>41.8125</v>
      </c>
      <c r="M112">
        <v>46.09375</v>
      </c>
      <c r="N112">
        <v>29.928246999999999</v>
      </c>
      <c r="O112">
        <v>178599600</v>
      </c>
    </row>
    <row r="113" spans="1:15" x14ac:dyDescent="0.3">
      <c r="A113" s="1">
        <v>36251</v>
      </c>
      <c r="B113">
        <v>45.625</v>
      </c>
      <c r="C113">
        <v>47.8125</v>
      </c>
      <c r="D113">
        <v>39.9375</v>
      </c>
      <c r="E113">
        <v>40.65625</v>
      </c>
      <c r="F113">
        <v>25.205399</v>
      </c>
      <c r="G113">
        <v>1163599400</v>
      </c>
      <c r="I113" s="1">
        <v>36251</v>
      </c>
      <c r="J113">
        <v>46.71875</v>
      </c>
      <c r="K113">
        <v>53.40625</v>
      </c>
      <c r="L113">
        <v>43.1875</v>
      </c>
      <c r="M113">
        <v>46</v>
      </c>
      <c r="N113">
        <v>29.898508</v>
      </c>
      <c r="O113">
        <v>201200800</v>
      </c>
    </row>
    <row r="114" spans="1:15" x14ac:dyDescent="0.3">
      <c r="A114" s="1">
        <v>36281</v>
      </c>
      <c r="B114">
        <v>40.71875</v>
      </c>
      <c r="C114">
        <v>40.90625</v>
      </c>
      <c r="D114">
        <v>37.75</v>
      </c>
      <c r="E114">
        <v>40.34375</v>
      </c>
      <c r="F114">
        <v>25.011662000000001</v>
      </c>
      <c r="G114">
        <v>1124257000</v>
      </c>
      <c r="I114" s="1">
        <v>36281</v>
      </c>
      <c r="J114">
        <v>45.875</v>
      </c>
      <c r="K114">
        <v>47.625</v>
      </c>
      <c r="L114">
        <v>41</v>
      </c>
      <c r="M114">
        <v>42.625</v>
      </c>
      <c r="N114">
        <v>27.704874</v>
      </c>
      <c r="O114">
        <v>163092500</v>
      </c>
    </row>
    <row r="115" spans="1:15" x14ac:dyDescent="0.3">
      <c r="A115" s="1">
        <v>36312</v>
      </c>
      <c r="B115">
        <v>40.3125</v>
      </c>
      <c r="C115">
        <v>45.125</v>
      </c>
      <c r="D115">
        <v>38.0625</v>
      </c>
      <c r="E115">
        <v>45.09375</v>
      </c>
      <c r="F115">
        <v>27.956484</v>
      </c>
      <c r="G115">
        <v>887432600</v>
      </c>
      <c r="I115" s="1">
        <v>36312</v>
      </c>
      <c r="J115">
        <v>42.6875</v>
      </c>
      <c r="K115">
        <v>48.5</v>
      </c>
      <c r="L115">
        <v>42.1875</v>
      </c>
      <c r="M115">
        <v>48.25</v>
      </c>
      <c r="N115">
        <v>31.360938999999998</v>
      </c>
      <c r="O115">
        <v>130989500</v>
      </c>
    </row>
    <row r="116" spans="1:15" x14ac:dyDescent="0.3">
      <c r="A116" s="1">
        <v>36342</v>
      </c>
      <c r="B116">
        <v>44.9375</v>
      </c>
      <c r="C116">
        <v>50.375</v>
      </c>
      <c r="D116">
        <v>42.75</v>
      </c>
      <c r="E116">
        <v>42.90625</v>
      </c>
      <c r="F116">
        <v>26.600325000000002</v>
      </c>
      <c r="G116">
        <v>1144701200</v>
      </c>
      <c r="I116" s="1">
        <v>36342</v>
      </c>
      <c r="J116">
        <v>47.9375</v>
      </c>
      <c r="K116">
        <v>51</v>
      </c>
      <c r="L116">
        <v>42.25</v>
      </c>
      <c r="M116">
        <v>42.25</v>
      </c>
      <c r="N116">
        <v>27.493462000000001</v>
      </c>
      <c r="O116">
        <v>105348500</v>
      </c>
    </row>
    <row r="117" spans="1:15" x14ac:dyDescent="0.3">
      <c r="A117" s="1">
        <v>36373</v>
      </c>
      <c r="B117">
        <v>42.84375</v>
      </c>
      <c r="C117">
        <v>48.1875</v>
      </c>
      <c r="D117">
        <v>40.8125</v>
      </c>
      <c r="E117">
        <v>46.28125</v>
      </c>
      <c r="F117">
        <v>28.692706999999999</v>
      </c>
      <c r="G117">
        <v>1347994200</v>
      </c>
      <c r="I117" s="1">
        <v>36373</v>
      </c>
      <c r="J117">
        <v>42.3125</v>
      </c>
      <c r="K117">
        <v>48.4375</v>
      </c>
      <c r="L117">
        <v>38.875</v>
      </c>
      <c r="M117">
        <v>44.3125</v>
      </c>
      <c r="N117">
        <v>28.835611</v>
      </c>
      <c r="O117">
        <v>127936900</v>
      </c>
    </row>
    <row r="118" spans="1:15" x14ac:dyDescent="0.3">
      <c r="A118" s="1">
        <v>36404</v>
      </c>
      <c r="B118">
        <v>46.15625</v>
      </c>
      <c r="C118">
        <v>48.9375</v>
      </c>
      <c r="D118">
        <v>44.40625</v>
      </c>
      <c r="E118">
        <v>45.28125</v>
      </c>
      <c r="F118">
        <v>28.072737</v>
      </c>
      <c r="G118">
        <v>977273600</v>
      </c>
      <c r="I118" s="1">
        <v>36404</v>
      </c>
      <c r="J118">
        <v>44.3125</v>
      </c>
      <c r="K118">
        <v>48</v>
      </c>
      <c r="L118">
        <v>43.5625</v>
      </c>
      <c r="M118">
        <v>47.5625</v>
      </c>
      <c r="N118">
        <v>30.950468000000001</v>
      </c>
      <c r="O118">
        <v>106449500</v>
      </c>
    </row>
    <row r="119" spans="1:15" x14ac:dyDescent="0.3">
      <c r="A119" s="1">
        <v>36434</v>
      </c>
      <c r="B119">
        <v>45.09375</v>
      </c>
      <c r="C119">
        <v>47.625</v>
      </c>
      <c r="D119">
        <v>42.53125</v>
      </c>
      <c r="E119">
        <v>46.28125</v>
      </c>
      <c r="F119">
        <v>28.692706999999999</v>
      </c>
      <c r="G119">
        <v>1062304400</v>
      </c>
      <c r="I119" s="1">
        <v>36434</v>
      </c>
      <c r="J119">
        <v>48</v>
      </c>
      <c r="K119">
        <v>58.5</v>
      </c>
      <c r="L119">
        <v>47.5625</v>
      </c>
      <c r="M119">
        <v>56.3125</v>
      </c>
      <c r="N119">
        <v>36.683475000000001</v>
      </c>
      <c r="O119">
        <v>152005100</v>
      </c>
    </row>
    <row r="120" spans="1:15" x14ac:dyDescent="0.3">
      <c r="A120" s="1">
        <v>36465</v>
      </c>
      <c r="B120">
        <v>46.625</v>
      </c>
      <c r="C120">
        <v>47.25</v>
      </c>
      <c r="D120">
        <v>42.1875</v>
      </c>
      <c r="E120">
        <v>45.523437999999999</v>
      </c>
      <c r="F120">
        <v>28.222878999999999</v>
      </c>
      <c r="G120">
        <v>1465256000</v>
      </c>
      <c r="I120" s="1">
        <v>36465</v>
      </c>
      <c r="J120">
        <v>57.25</v>
      </c>
      <c r="K120">
        <v>60.6875</v>
      </c>
      <c r="L120">
        <v>55</v>
      </c>
      <c r="M120">
        <v>57.625</v>
      </c>
      <c r="N120">
        <v>37.538479000000002</v>
      </c>
      <c r="O120">
        <v>119991500</v>
      </c>
    </row>
    <row r="121" spans="1:15" x14ac:dyDescent="0.3">
      <c r="A121" s="1">
        <v>36495</v>
      </c>
      <c r="B121">
        <v>45.53125</v>
      </c>
      <c r="C121">
        <v>59.96875</v>
      </c>
      <c r="D121">
        <v>45.4375</v>
      </c>
      <c r="E121">
        <v>58.375</v>
      </c>
      <c r="F121">
        <v>36.190387999999999</v>
      </c>
      <c r="G121">
        <v>1260977800</v>
      </c>
      <c r="I121" s="1">
        <v>36495</v>
      </c>
      <c r="J121">
        <v>57.6875</v>
      </c>
      <c r="K121">
        <v>70.25</v>
      </c>
      <c r="L121">
        <v>57</v>
      </c>
      <c r="M121">
        <v>69.125</v>
      </c>
      <c r="N121">
        <v>45.029884000000003</v>
      </c>
      <c r="O121">
        <v>137085100</v>
      </c>
    </row>
    <row r="122" spans="1:15" x14ac:dyDescent="0.3">
      <c r="A122" s="1">
        <v>36526</v>
      </c>
      <c r="B122">
        <v>58.6875</v>
      </c>
      <c r="C122">
        <v>59.3125</v>
      </c>
      <c r="D122">
        <v>47.4375</v>
      </c>
      <c r="E122">
        <v>48.9375</v>
      </c>
      <c r="F122">
        <v>30.339458</v>
      </c>
      <c r="G122">
        <v>1274875200</v>
      </c>
      <c r="I122" s="1">
        <v>36526</v>
      </c>
      <c r="J122">
        <v>68.375</v>
      </c>
      <c r="K122">
        <v>69</v>
      </c>
      <c r="L122">
        <v>53.5</v>
      </c>
      <c r="M122">
        <v>54.75</v>
      </c>
      <c r="N122">
        <v>35.692222999999998</v>
      </c>
      <c r="O122">
        <v>135751100</v>
      </c>
    </row>
    <row r="123" spans="1:15" x14ac:dyDescent="0.3">
      <c r="A123" s="1">
        <v>36557</v>
      </c>
      <c r="B123">
        <v>49.25</v>
      </c>
      <c r="C123">
        <v>55</v>
      </c>
      <c r="D123">
        <v>44.0625</v>
      </c>
      <c r="E123">
        <v>44.6875</v>
      </c>
      <c r="F123">
        <v>27.704626000000001</v>
      </c>
      <c r="G123">
        <v>1334487600</v>
      </c>
      <c r="I123" s="1">
        <v>36557</v>
      </c>
      <c r="J123">
        <v>55</v>
      </c>
      <c r="K123">
        <v>60.125</v>
      </c>
      <c r="L123">
        <v>43.4375</v>
      </c>
      <c r="M123">
        <v>48.75</v>
      </c>
      <c r="N123">
        <v>31.780756</v>
      </c>
      <c r="O123">
        <v>230040300</v>
      </c>
    </row>
    <row r="124" spans="1:15" x14ac:dyDescent="0.3">
      <c r="A124" s="1">
        <v>36586</v>
      </c>
      <c r="B124">
        <v>44.8125</v>
      </c>
      <c r="C124">
        <v>57.5</v>
      </c>
      <c r="D124">
        <v>44.46875</v>
      </c>
      <c r="E124">
        <v>53.125</v>
      </c>
      <c r="F124">
        <v>32.935566000000001</v>
      </c>
      <c r="G124">
        <v>2028187600</v>
      </c>
      <c r="I124" s="1">
        <v>36586</v>
      </c>
      <c r="J124">
        <v>49.875</v>
      </c>
      <c r="K124">
        <v>60.75</v>
      </c>
      <c r="L124">
        <v>45.625</v>
      </c>
      <c r="M124">
        <v>56.5</v>
      </c>
      <c r="N124">
        <v>36.833072999999999</v>
      </c>
      <c r="O124">
        <v>231782500</v>
      </c>
    </row>
    <row r="125" spans="1:15" x14ac:dyDescent="0.3">
      <c r="A125" s="1">
        <v>36617</v>
      </c>
      <c r="B125">
        <v>47.21875</v>
      </c>
      <c r="C125">
        <v>48.25</v>
      </c>
      <c r="D125">
        <v>32.5</v>
      </c>
      <c r="E125">
        <v>34.875</v>
      </c>
      <c r="F125">
        <v>21.621238999999999</v>
      </c>
      <c r="G125">
        <v>2258146600</v>
      </c>
      <c r="I125" s="1">
        <v>36617</v>
      </c>
      <c r="J125">
        <v>56.625</v>
      </c>
      <c r="K125">
        <v>64.9375</v>
      </c>
      <c r="L125">
        <v>51.75</v>
      </c>
      <c r="M125">
        <v>55.375</v>
      </c>
      <c r="N125">
        <v>36.145080999999998</v>
      </c>
      <c r="O125">
        <v>136390700</v>
      </c>
    </row>
    <row r="126" spans="1:15" x14ac:dyDescent="0.3">
      <c r="A126" s="1">
        <v>36647</v>
      </c>
      <c r="B126">
        <v>36.4375</v>
      </c>
      <c r="C126">
        <v>37</v>
      </c>
      <c r="D126">
        <v>30.1875</v>
      </c>
      <c r="E126">
        <v>31.28125</v>
      </c>
      <c r="F126">
        <v>19.393243999999999</v>
      </c>
      <c r="G126">
        <v>1344430800</v>
      </c>
      <c r="I126" s="1">
        <v>36647</v>
      </c>
      <c r="J126">
        <v>56.375</v>
      </c>
      <c r="K126">
        <v>60</v>
      </c>
      <c r="L126">
        <v>49.5</v>
      </c>
      <c r="M126">
        <v>57.625</v>
      </c>
      <c r="N126">
        <v>37.613734999999998</v>
      </c>
      <c r="O126">
        <v>144407300</v>
      </c>
    </row>
    <row r="127" spans="1:15" x14ac:dyDescent="0.3">
      <c r="A127" s="1">
        <v>36678</v>
      </c>
      <c r="B127">
        <v>32.1875</v>
      </c>
      <c r="C127">
        <v>41.09375</v>
      </c>
      <c r="D127">
        <v>31.90625</v>
      </c>
      <c r="E127">
        <v>40</v>
      </c>
      <c r="F127">
        <v>24.798549999999999</v>
      </c>
      <c r="G127">
        <v>1467050200</v>
      </c>
      <c r="I127" s="1">
        <v>36678</v>
      </c>
      <c r="J127">
        <v>57.125</v>
      </c>
      <c r="K127">
        <v>60.0625</v>
      </c>
      <c r="L127">
        <v>51.625</v>
      </c>
      <c r="M127">
        <v>57.625</v>
      </c>
      <c r="N127">
        <v>37.613734999999998</v>
      </c>
      <c r="O127">
        <v>129622000</v>
      </c>
    </row>
    <row r="128" spans="1:15" x14ac:dyDescent="0.3">
      <c r="A128" s="1">
        <v>36708</v>
      </c>
      <c r="B128">
        <v>39.84375</v>
      </c>
      <c r="C128">
        <v>41.4375</v>
      </c>
      <c r="D128">
        <v>33.625</v>
      </c>
      <c r="E128">
        <v>34.90625</v>
      </c>
      <c r="F128">
        <v>21.640613999999999</v>
      </c>
      <c r="G128">
        <v>1234185800</v>
      </c>
      <c r="I128" s="1">
        <v>36708</v>
      </c>
      <c r="J128">
        <v>57.25</v>
      </c>
      <c r="K128">
        <v>62.9375</v>
      </c>
      <c r="L128">
        <v>54.25</v>
      </c>
      <c r="M128">
        <v>55.25</v>
      </c>
      <c r="N128">
        <v>36.102890000000002</v>
      </c>
      <c r="O128">
        <v>107293500</v>
      </c>
    </row>
    <row r="129" spans="1:15" x14ac:dyDescent="0.3">
      <c r="A129" s="1">
        <v>36739</v>
      </c>
      <c r="B129">
        <v>34.96875</v>
      </c>
      <c r="C129">
        <v>37.4375</v>
      </c>
      <c r="D129">
        <v>34.0625</v>
      </c>
      <c r="E129">
        <v>34.90625</v>
      </c>
      <c r="F129">
        <v>21.640613999999999</v>
      </c>
      <c r="G129">
        <v>1219399800</v>
      </c>
      <c r="I129" s="1">
        <v>36739</v>
      </c>
      <c r="J129">
        <v>54</v>
      </c>
      <c r="K129">
        <v>57.625</v>
      </c>
      <c r="L129">
        <v>47.125</v>
      </c>
      <c r="M129">
        <v>47.625</v>
      </c>
      <c r="N129">
        <v>31.120365</v>
      </c>
      <c r="O129">
        <v>192477600</v>
      </c>
    </row>
    <row r="130" spans="1:15" x14ac:dyDescent="0.3">
      <c r="A130" s="1">
        <v>36770</v>
      </c>
      <c r="B130">
        <v>35</v>
      </c>
      <c r="C130">
        <v>36.03125</v>
      </c>
      <c r="D130">
        <v>29.3125</v>
      </c>
      <c r="E130">
        <v>30.15625</v>
      </c>
      <c r="F130">
        <v>18.695796999999999</v>
      </c>
      <c r="G130">
        <v>1425533800</v>
      </c>
      <c r="I130" s="1">
        <v>36770</v>
      </c>
      <c r="J130">
        <v>47.5625</v>
      </c>
      <c r="K130">
        <v>54.75</v>
      </c>
      <c r="L130">
        <v>46.875</v>
      </c>
      <c r="M130">
        <v>48.125</v>
      </c>
      <c r="N130">
        <v>31.447098</v>
      </c>
      <c r="O130">
        <v>150950500</v>
      </c>
    </row>
    <row r="131" spans="1:15" x14ac:dyDescent="0.3">
      <c r="A131" s="1">
        <v>36800</v>
      </c>
      <c r="B131">
        <v>30.25</v>
      </c>
      <c r="C131">
        <v>35.0625</v>
      </c>
      <c r="D131">
        <v>24.21875</v>
      </c>
      <c r="E131">
        <v>34.4375</v>
      </c>
      <c r="F131">
        <v>21.350012</v>
      </c>
      <c r="G131">
        <v>2469415600</v>
      </c>
      <c r="I131" s="1">
        <v>36800</v>
      </c>
      <c r="J131">
        <v>48.1875</v>
      </c>
      <c r="K131">
        <v>48.625</v>
      </c>
      <c r="L131">
        <v>41.4375</v>
      </c>
      <c r="M131">
        <v>45.375</v>
      </c>
      <c r="N131">
        <v>29.683088000000001</v>
      </c>
      <c r="O131">
        <v>217333800</v>
      </c>
    </row>
    <row r="132" spans="1:15" x14ac:dyDescent="0.3">
      <c r="A132" s="1">
        <v>36831</v>
      </c>
      <c r="B132">
        <v>34.25</v>
      </c>
      <c r="C132">
        <v>36.1875</v>
      </c>
      <c r="D132">
        <v>28.5</v>
      </c>
      <c r="E132">
        <v>28.6875</v>
      </c>
      <c r="F132">
        <v>17.785208000000001</v>
      </c>
      <c r="G132">
        <v>1983462600</v>
      </c>
      <c r="I132" s="1">
        <v>36831</v>
      </c>
      <c r="J132">
        <v>46.5</v>
      </c>
      <c r="K132">
        <v>52.1875</v>
      </c>
      <c r="L132">
        <v>42.5625</v>
      </c>
      <c r="M132">
        <v>52.1875</v>
      </c>
      <c r="N132">
        <v>34.139651999999998</v>
      </c>
      <c r="O132">
        <v>196379900</v>
      </c>
    </row>
    <row r="133" spans="1:15" x14ac:dyDescent="0.3">
      <c r="A133" s="1">
        <v>36861</v>
      </c>
      <c r="B133">
        <v>29.03125</v>
      </c>
      <c r="C133">
        <v>30.3125</v>
      </c>
      <c r="D133">
        <v>20.15625</v>
      </c>
      <c r="E133">
        <v>21.6875</v>
      </c>
      <c r="F133">
        <v>13.445468999999999</v>
      </c>
      <c r="G133">
        <v>2056668200</v>
      </c>
      <c r="I133" s="1">
        <v>36861</v>
      </c>
      <c r="J133">
        <v>52.625</v>
      </c>
      <c r="K133">
        <v>55.9375</v>
      </c>
      <c r="L133">
        <v>46.9375</v>
      </c>
      <c r="M133">
        <v>53.125</v>
      </c>
      <c r="N133">
        <v>34.752926000000002</v>
      </c>
      <c r="O133">
        <v>172787800</v>
      </c>
    </row>
    <row r="134" spans="1:15" x14ac:dyDescent="0.3">
      <c r="A134" s="1">
        <v>36892</v>
      </c>
      <c r="B134">
        <v>22.0625</v>
      </c>
      <c r="C134">
        <v>32.375</v>
      </c>
      <c r="D134">
        <v>21.4375</v>
      </c>
      <c r="E134">
        <v>30.53125</v>
      </c>
      <c r="F134">
        <v>18.928276</v>
      </c>
      <c r="G134">
        <v>2005531200</v>
      </c>
      <c r="I134" s="1">
        <v>36892</v>
      </c>
      <c r="J134">
        <v>53.125</v>
      </c>
      <c r="K134">
        <v>58.75</v>
      </c>
      <c r="L134">
        <v>50.4375</v>
      </c>
      <c r="M134">
        <v>56.799999</v>
      </c>
      <c r="N134">
        <v>37.203518000000003</v>
      </c>
      <c r="O134">
        <v>179925700</v>
      </c>
    </row>
    <row r="135" spans="1:15" x14ac:dyDescent="0.3">
      <c r="A135" s="1">
        <v>36923</v>
      </c>
      <c r="B135">
        <v>30.40625</v>
      </c>
      <c r="C135">
        <v>32.53125</v>
      </c>
      <c r="D135">
        <v>26.9375</v>
      </c>
      <c r="E135">
        <v>29.5</v>
      </c>
      <c r="F135">
        <v>18.288934999999999</v>
      </c>
      <c r="G135">
        <v>1536895600</v>
      </c>
      <c r="I135" s="1">
        <v>36923</v>
      </c>
      <c r="J135">
        <v>56.799999</v>
      </c>
      <c r="K135">
        <v>56.799999</v>
      </c>
      <c r="L135">
        <v>48.049999</v>
      </c>
      <c r="M135">
        <v>50.09</v>
      </c>
      <c r="N135">
        <v>32.808529</v>
      </c>
      <c r="O135">
        <v>136950200</v>
      </c>
    </row>
    <row r="136" spans="1:15" x14ac:dyDescent="0.3">
      <c r="A136" s="1">
        <v>36951</v>
      </c>
      <c r="B136">
        <v>29.28125</v>
      </c>
      <c r="C136">
        <v>30.5625</v>
      </c>
      <c r="D136">
        <v>24.875</v>
      </c>
      <c r="E136">
        <v>27.34375</v>
      </c>
      <c r="F136">
        <v>16.952133</v>
      </c>
      <c r="G136">
        <v>1895349800</v>
      </c>
      <c r="I136" s="1">
        <v>36951</v>
      </c>
      <c r="J136">
        <v>49.25</v>
      </c>
      <c r="K136">
        <v>51.900002000000001</v>
      </c>
      <c r="L136">
        <v>45.200001</v>
      </c>
      <c r="M136">
        <v>50.5</v>
      </c>
      <c r="N136">
        <v>33.077067999999997</v>
      </c>
      <c r="O136">
        <v>169447700</v>
      </c>
    </row>
    <row r="137" spans="1:15" x14ac:dyDescent="0.3">
      <c r="A137" s="1">
        <v>36982</v>
      </c>
      <c r="B137">
        <v>27.40625</v>
      </c>
      <c r="C137">
        <v>35.549999</v>
      </c>
      <c r="D137">
        <v>25.53125</v>
      </c>
      <c r="E137">
        <v>33.875</v>
      </c>
      <c r="F137">
        <v>21.001266000000001</v>
      </c>
      <c r="G137">
        <v>2075807000</v>
      </c>
      <c r="I137" s="1">
        <v>36982</v>
      </c>
      <c r="J137">
        <v>50</v>
      </c>
      <c r="K137">
        <v>53.299999</v>
      </c>
      <c r="L137">
        <v>47.41</v>
      </c>
      <c r="M137">
        <v>51.740001999999997</v>
      </c>
      <c r="N137">
        <v>33.938884999999999</v>
      </c>
      <c r="O137">
        <v>149743600</v>
      </c>
    </row>
    <row r="138" spans="1:15" x14ac:dyDescent="0.3">
      <c r="A138" s="1">
        <v>37012</v>
      </c>
      <c r="B138">
        <v>33.830002</v>
      </c>
      <c r="C138">
        <v>36.075001</v>
      </c>
      <c r="D138">
        <v>33.625</v>
      </c>
      <c r="E138">
        <v>34.590000000000003</v>
      </c>
      <c r="F138">
        <v>21.44455</v>
      </c>
      <c r="G138">
        <v>1777305800</v>
      </c>
      <c r="I138" s="1">
        <v>37012</v>
      </c>
      <c r="J138">
        <v>51.720001000000003</v>
      </c>
      <c r="K138">
        <v>54.75</v>
      </c>
      <c r="L138">
        <v>51</v>
      </c>
      <c r="M138">
        <v>51.75</v>
      </c>
      <c r="N138">
        <v>33.945438000000003</v>
      </c>
      <c r="O138">
        <v>146569900</v>
      </c>
    </row>
    <row r="139" spans="1:15" x14ac:dyDescent="0.3">
      <c r="A139" s="1">
        <v>37043</v>
      </c>
      <c r="B139">
        <v>34.799999</v>
      </c>
      <c r="C139">
        <v>38.075001</v>
      </c>
      <c r="D139">
        <v>33.005001</v>
      </c>
      <c r="E139">
        <v>36.5</v>
      </c>
      <c r="F139">
        <v>22.628675000000001</v>
      </c>
      <c r="G139">
        <v>1449177800</v>
      </c>
      <c r="I139" s="1">
        <v>37043</v>
      </c>
      <c r="J139">
        <v>51.540000999999997</v>
      </c>
      <c r="K139">
        <v>52.450001</v>
      </c>
      <c r="L139">
        <v>48</v>
      </c>
      <c r="M139">
        <v>48.799999</v>
      </c>
      <c r="N139">
        <v>32.010365</v>
      </c>
      <c r="O139">
        <v>122370700</v>
      </c>
    </row>
    <row r="140" spans="1:15" x14ac:dyDescent="0.3">
      <c r="A140" s="1">
        <v>37073</v>
      </c>
      <c r="B140">
        <v>36.025002000000001</v>
      </c>
      <c r="C140">
        <v>36.575001</v>
      </c>
      <c r="D140">
        <v>32.099997999999999</v>
      </c>
      <c r="E140">
        <v>33.095001000000003</v>
      </c>
      <c r="F140">
        <v>20.517710000000001</v>
      </c>
      <c r="G140">
        <v>1455201000</v>
      </c>
      <c r="I140" s="1">
        <v>37073</v>
      </c>
      <c r="J140">
        <v>48.950001</v>
      </c>
      <c r="K140">
        <v>56.5</v>
      </c>
      <c r="L140">
        <v>46.709999000000003</v>
      </c>
      <c r="M140">
        <v>55.900002000000001</v>
      </c>
      <c r="N140">
        <v>36.720244999999998</v>
      </c>
      <c r="O140">
        <v>154027100</v>
      </c>
    </row>
    <row r="141" spans="1:15" x14ac:dyDescent="0.3">
      <c r="A141" s="1">
        <v>37104</v>
      </c>
      <c r="B141">
        <v>33.400002000000001</v>
      </c>
      <c r="C141">
        <v>33.770000000000003</v>
      </c>
      <c r="D141">
        <v>28.15</v>
      </c>
      <c r="E141">
        <v>28.524999999999999</v>
      </c>
      <c r="F141">
        <v>17.684473000000001</v>
      </c>
      <c r="G141">
        <v>1153896400</v>
      </c>
      <c r="I141" s="1">
        <v>37104</v>
      </c>
      <c r="J141">
        <v>55.400002000000001</v>
      </c>
      <c r="K141">
        <v>56.77</v>
      </c>
      <c r="L141">
        <v>47.240001999999997</v>
      </c>
      <c r="M141">
        <v>48.049999</v>
      </c>
      <c r="N141">
        <v>31.563644</v>
      </c>
      <c r="O141">
        <v>151455300</v>
      </c>
    </row>
    <row r="142" spans="1:15" x14ac:dyDescent="0.3">
      <c r="A142" s="1">
        <v>37135</v>
      </c>
      <c r="B142">
        <v>28.594999000000001</v>
      </c>
      <c r="C142">
        <v>29.540001</v>
      </c>
      <c r="D142">
        <v>23.75</v>
      </c>
      <c r="E142">
        <v>25.584999</v>
      </c>
      <c r="F142">
        <v>15.861781000000001</v>
      </c>
      <c r="G142">
        <v>1510824400</v>
      </c>
      <c r="I142" s="1">
        <v>37135</v>
      </c>
      <c r="J142">
        <v>48.23</v>
      </c>
      <c r="K142">
        <v>49.950001</v>
      </c>
      <c r="L142">
        <v>42</v>
      </c>
      <c r="M142">
        <v>49.5</v>
      </c>
      <c r="N142">
        <v>32.51614</v>
      </c>
      <c r="O142">
        <v>174327700</v>
      </c>
    </row>
    <row r="143" spans="1:15" x14ac:dyDescent="0.3">
      <c r="A143" s="1">
        <v>37165</v>
      </c>
      <c r="B143">
        <v>25.469999000000001</v>
      </c>
      <c r="C143">
        <v>31.815000999999999</v>
      </c>
      <c r="D143">
        <v>25.204999999999998</v>
      </c>
      <c r="E143">
        <v>29.075001</v>
      </c>
      <c r="F143">
        <v>18.025448000000001</v>
      </c>
      <c r="G143">
        <v>1750891000</v>
      </c>
      <c r="I143" s="1">
        <v>37165</v>
      </c>
      <c r="J143">
        <v>49.5</v>
      </c>
      <c r="K143">
        <v>54.75</v>
      </c>
      <c r="L143">
        <v>48.139999000000003</v>
      </c>
      <c r="M143">
        <v>51.400002000000001</v>
      </c>
      <c r="N143">
        <v>33.816433000000004</v>
      </c>
      <c r="O143">
        <v>187933400</v>
      </c>
    </row>
    <row r="144" spans="1:15" x14ac:dyDescent="0.3">
      <c r="A144" s="1">
        <v>37196</v>
      </c>
      <c r="B144">
        <v>30.040001</v>
      </c>
      <c r="C144">
        <v>34.169998</v>
      </c>
      <c r="D144">
        <v>29.799999</v>
      </c>
      <c r="E144">
        <v>32.104999999999997</v>
      </c>
      <c r="F144">
        <v>19.903936000000002</v>
      </c>
      <c r="G144">
        <v>1330968600</v>
      </c>
      <c r="I144" s="1">
        <v>37196</v>
      </c>
      <c r="J144">
        <v>51.200001</v>
      </c>
      <c r="K144">
        <v>56.240001999999997</v>
      </c>
      <c r="L144">
        <v>50.860000999999997</v>
      </c>
      <c r="M144">
        <v>55.150002000000001</v>
      </c>
      <c r="N144">
        <v>36.283580999999998</v>
      </c>
      <c r="O144">
        <v>158067900</v>
      </c>
    </row>
    <row r="145" spans="1:15" x14ac:dyDescent="0.3">
      <c r="A145" s="1">
        <v>37226</v>
      </c>
      <c r="B145">
        <v>31.915001</v>
      </c>
      <c r="C145">
        <v>34.945</v>
      </c>
      <c r="D145">
        <v>31.9</v>
      </c>
      <c r="E145">
        <v>33.125</v>
      </c>
      <c r="F145">
        <v>20.536289</v>
      </c>
      <c r="G145">
        <v>977089000</v>
      </c>
      <c r="I145" s="1">
        <v>37226</v>
      </c>
      <c r="J145">
        <v>55.060001</v>
      </c>
      <c r="K145">
        <v>58.740001999999997</v>
      </c>
      <c r="L145">
        <v>53.029998999999997</v>
      </c>
      <c r="M145">
        <v>57.549999</v>
      </c>
      <c r="N145">
        <v>37.862544999999997</v>
      </c>
      <c r="O145">
        <v>135601900</v>
      </c>
    </row>
    <row r="146" spans="1:15" x14ac:dyDescent="0.3">
      <c r="A146" s="1">
        <v>37257</v>
      </c>
      <c r="B146">
        <v>33.325001</v>
      </c>
      <c r="C146">
        <v>35.310001</v>
      </c>
      <c r="D146">
        <v>30.665001</v>
      </c>
      <c r="E146">
        <v>31.855</v>
      </c>
      <c r="F146">
        <v>19.748937999999999</v>
      </c>
      <c r="G146">
        <v>1360115800</v>
      </c>
      <c r="I146" s="1">
        <v>37257</v>
      </c>
      <c r="J146">
        <v>57.650002000000001</v>
      </c>
      <c r="K146">
        <v>59.98</v>
      </c>
      <c r="L146">
        <v>55.310001</v>
      </c>
      <c r="M146">
        <v>59.98</v>
      </c>
      <c r="N146">
        <v>39.510857000000001</v>
      </c>
      <c r="O146">
        <v>150831500</v>
      </c>
    </row>
    <row r="147" spans="1:15" x14ac:dyDescent="0.3">
      <c r="A147" s="1">
        <v>37288</v>
      </c>
      <c r="B147">
        <v>32.075001</v>
      </c>
      <c r="C147">
        <v>32.25</v>
      </c>
      <c r="D147">
        <v>28.575001</v>
      </c>
      <c r="E147">
        <v>29.17</v>
      </c>
      <c r="F147">
        <v>18.084340999999998</v>
      </c>
      <c r="G147">
        <v>1131159200</v>
      </c>
      <c r="I147" s="1">
        <v>37288</v>
      </c>
      <c r="J147">
        <v>59.700001</v>
      </c>
      <c r="K147">
        <v>62.880001</v>
      </c>
      <c r="L147">
        <v>58.099997999999999</v>
      </c>
      <c r="M147">
        <v>62.009998000000003</v>
      </c>
      <c r="N147">
        <v>40.848095000000001</v>
      </c>
      <c r="O147">
        <v>151688900</v>
      </c>
    </row>
    <row r="148" spans="1:15" x14ac:dyDescent="0.3">
      <c r="A148" s="1">
        <v>37316</v>
      </c>
      <c r="B148">
        <v>29.524999999999999</v>
      </c>
      <c r="C148">
        <v>32.5</v>
      </c>
      <c r="D148">
        <v>29.155000999999999</v>
      </c>
      <c r="E148">
        <v>30.155000999999999</v>
      </c>
      <c r="F148">
        <v>18.695011000000001</v>
      </c>
      <c r="G148">
        <v>1073244200</v>
      </c>
      <c r="I148" s="1">
        <v>37316</v>
      </c>
      <c r="J148">
        <v>62.200001</v>
      </c>
      <c r="K148">
        <v>63.939999</v>
      </c>
      <c r="L148">
        <v>60.299999</v>
      </c>
      <c r="M148">
        <v>61.299999</v>
      </c>
      <c r="N148">
        <v>40.380370999999997</v>
      </c>
      <c r="O148">
        <v>151343400</v>
      </c>
    </row>
    <row r="149" spans="1:15" x14ac:dyDescent="0.3">
      <c r="A149" s="1">
        <v>37347</v>
      </c>
      <c r="B149">
        <v>29.915001</v>
      </c>
      <c r="C149">
        <v>30.200001</v>
      </c>
      <c r="D149">
        <v>25.719999000000001</v>
      </c>
      <c r="E149">
        <v>26.129999000000002</v>
      </c>
      <c r="F149">
        <v>16.199652</v>
      </c>
      <c r="G149">
        <v>1417479400</v>
      </c>
      <c r="I149" s="1">
        <v>37347</v>
      </c>
      <c r="J149">
        <v>60.349997999999999</v>
      </c>
      <c r="K149">
        <v>61.849997999999999</v>
      </c>
      <c r="L149">
        <v>55.459999000000003</v>
      </c>
      <c r="M149">
        <v>55.860000999999997</v>
      </c>
      <c r="N149">
        <v>36.840407999999996</v>
      </c>
      <c r="O149">
        <v>173902500</v>
      </c>
    </row>
    <row r="150" spans="1:15" x14ac:dyDescent="0.3">
      <c r="A150" s="1">
        <v>37377</v>
      </c>
      <c r="B150">
        <v>26.08</v>
      </c>
      <c r="C150">
        <v>28.219999000000001</v>
      </c>
      <c r="D150">
        <v>24.174999</v>
      </c>
      <c r="E150">
        <v>25.454999999999998</v>
      </c>
      <c r="F150">
        <v>15.781185000000001</v>
      </c>
      <c r="G150">
        <v>1420266200</v>
      </c>
      <c r="I150" s="1">
        <v>37377</v>
      </c>
      <c r="J150">
        <v>55.599997999999999</v>
      </c>
      <c r="K150">
        <v>59.299999</v>
      </c>
      <c r="L150">
        <v>53.610000999999997</v>
      </c>
      <c r="M150">
        <v>54.099997999999999</v>
      </c>
      <c r="N150">
        <v>35.679648999999998</v>
      </c>
      <c r="O150">
        <v>174180400</v>
      </c>
    </row>
    <row r="151" spans="1:15" x14ac:dyDescent="0.3">
      <c r="A151" s="1">
        <v>37408</v>
      </c>
      <c r="B151">
        <v>25.495000999999998</v>
      </c>
      <c r="C151">
        <v>28.219999000000001</v>
      </c>
      <c r="D151">
        <v>24.584999</v>
      </c>
      <c r="E151">
        <v>27.35</v>
      </c>
      <c r="F151">
        <v>16.956009000000002</v>
      </c>
      <c r="G151">
        <v>1834073000</v>
      </c>
      <c r="I151" s="1">
        <v>37408</v>
      </c>
      <c r="J151">
        <v>54.18</v>
      </c>
      <c r="K151">
        <v>58.880001</v>
      </c>
      <c r="L151">
        <v>52</v>
      </c>
      <c r="M151">
        <v>55.009998000000003</v>
      </c>
      <c r="N151">
        <v>36.279819000000003</v>
      </c>
      <c r="O151">
        <v>198082500</v>
      </c>
    </row>
    <row r="152" spans="1:15" x14ac:dyDescent="0.3">
      <c r="A152" s="1">
        <v>37438</v>
      </c>
      <c r="B152">
        <v>27.059999000000001</v>
      </c>
      <c r="C152">
        <v>27.465</v>
      </c>
      <c r="D152">
        <v>20.704999999999998</v>
      </c>
      <c r="E152">
        <v>23.99</v>
      </c>
      <c r="F152">
        <v>14.872927000000001</v>
      </c>
      <c r="G152">
        <v>2432188000</v>
      </c>
      <c r="I152" s="1">
        <v>37438</v>
      </c>
      <c r="J152">
        <v>55.299999</v>
      </c>
      <c r="K152">
        <v>56.700001</v>
      </c>
      <c r="L152">
        <v>43.720001000000003</v>
      </c>
      <c r="M152">
        <v>49.18</v>
      </c>
      <c r="N152">
        <v>32.476463000000003</v>
      </c>
      <c r="O152">
        <v>256873400</v>
      </c>
    </row>
    <row r="153" spans="1:15" x14ac:dyDescent="0.3">
      <c r="A153" s="1">
        <v>37469</v>
      </c>
      <c r="B153">
        <v>23.790001</v>
      </c>
      <c r="C153">
        <v>26.725000000000001</v>
      </c>
      <c r="D153">
        <v>21.9</v>
      </c>
      <c r="E153">
        <v>24.540001</v>
      </c>
      <c r="F153">
        <v>15.213907000000001</v>
      </c>
      <c r="G153">
        <v>1715757200</v>
      </c>
      <c r="I153" s="1">
        <v>37469</v>
      </c>
      <c r="J153">
        <v>49</v>
      </c>
      <c r="K153">
        <v>54.790000999999997</v>
      </c>
      <c r="L153">
        <v>45.189999</v>
      </c>
      <c r="M153">
        <v>53.48</v>
      </c>
      <c r="N153">
        <v>35.316012999999998</v>
      </c>
      <c r="O153">
        <v>216148600</v>
      </c>
    </row>
    <row r="154" spans="1:15" x14ac:dyDescent="0.3">
      <c r="A154" s="1">
        <v>37500</v>
      </c>
      <c r="B154">
        <v>24.26</v>
      </c>
      <c r="C154">
        <v>25.549999</v>
      </c>
      <c r="D154">
        <v>21.555</v>
      </c>
      <c r="E154">
        <v>21.870000999999998</v>
      </c>
      <c r="F154">
        <v>13.558604000000001</v>
      </c>
      <c r="G154">
        <v>1695705800</v>
      </c>
      <c r="I154" s="1">
        <v>37500</v>
      </c>
      <c r="J154">
        <v>52.849997999999999</v>
      </c>
      <c r="K154">
        <v>57</v>
      </c>
      <c r="L154">
        <v>48.099997999999999</v>
      </c>
      <c r="M154">
        <v>49.240001999999997</v>
      </c>
      <c r="N154">
        <v>32.516086999999999</v>
      </c>
      <c r="O154">
        <v>189286100</v>
      </c>
    </row>
    <row r="155" spans="1:15" x14ac:dyDescent="0.3">
      <c r="A155" s="1">
        <v>37530</v>
      </c>
      <c r="B155">
        <v>22.16</v>
      </c>
      <c r="C155">
        <v>27.035</v>
      </c>
      <c r="D155">
        <v>21.594999000000001</v>
      </c>
      <c r="E155">
        <v>26.735001</v>
      </c>
      <c r="F155">
        <v>16.574733999999999</v>
      </c>
      <c r="G155">
        <v>2475370600</v>
      </c>
      <c r="I155" s="1">
        <v>37530</v>
      </c>
      <c r="J155">
        <v>49.240001999999997</v>
      </c>
      <c r="K155">
        <v>58.02</v>
      </c>
      <c r="L155">
        <v>48.549999</v>
      </c>
      <c r="M155">
        <v>53.549999</v>
      </c>
      <c r="N155">
        <v>35.411186000000001</v>
      </c>
      <c r="O155">
        <v>281372000</v>
      </c>
    </row>
    <row r="156" spans="1:15" x14ac:dyDescent="0.3">
      <c r="A156" s="1">
        <v>37561</v>
      </c>
      <c r="B156">
        <v>26.215</v>
      </c>
      <c r="C156">
        <v>29.32</v>
      </c>
      <c r="D156">
        <v>25.950001</v>
      </c>
      <c r="E156">
        <v>28.84</v>
      </c>
      <c r="F156">
        <v>17.879760999999998</v>
      </c>
      <c r="G156">
        <v>1555997200</v>
      </c>
      <c r="I156" s="1">
        <v>37561</v>
      </c>
      <c r="J156">
        <v>53.59</v>
      </c>
      <c r="K156">
        <v>56.200001</v>
      </c>
      <c r="L156">
        <v>52.57</v>
      </c>
      <c r="M156">
        <v>53.900002000000001</v>
      </c>
      <c r="N156">
        <v>35.642623999999998</v>
      </c>
      <c r="O156">
        <v>172707800</v>
      </c>
    </row>
    <row r="157" spans="1:15" x14ac:dyDescent="0.3">
      <c r="A157" s="1">
        <v>37591</v>
      </c>
      <c r="B157">
        <v>29.325001</v>
      </c>
      <c r="C157">
        <v>29.48</v>
      </c>
      <c r="D157">
        <v>25.629999000000002</v>
      </c>
      <c r="E157">
        <v>25.85</v>
      </c>
      <c r="F157">
        <v>16.026057999999999</v>
      </c>
      <c r="G157">
        <v>1268370200</v>
      </c>
      <c r="I157" s="1">
        <v>37591</v>
      </c>
      <c r="J157">
        <v>55.959999000000003</v>
      </c>
      <c r="K157">
        <v>56.740001999999997</v>
      </c>
      <c r="L157">
        <v>48.950001</v>
      </c>
      <c r="M157">
        <v>50.509998000000003</v>
      </c>
      <c r="N157">
        <v>33.400920999999997</v>
      </c>
      <c r="O157">
        <v>172622000</v>
      </c>
    </row>
    <row r="158" spans="1:15" x14ac:dyDescent="0.3">
      <c r="A158" s="1">
        <v>37622</v>
      </c>
      <c r="B158">
        <v>26.15</v>
      </c>
      <c r="C158">
        <v>28.66</v>
      </c>
      <c r="D158">
        <v>23.514999</v>
      </c>
      <c r="E158">
        <v>23.73</v>
      </c>
      <c r="F158">
        <v>14.711734999999999</v>
      </c>
      <c r="G158">
        <v>1718662200</v>
      </c>
      <c r="I158" s="1">
        <v>37622</v>
      </c>
      <c r="J158">
        <v>50.650002000000001</v>
      </c>
      <c r="K158">
        <v>52.18</v>
      </c>
      <c r="L158">
        <v>46.919998</v>
      </c>
      <c r="M158">
        <v>47.799999</v>
      </c>
      <c r="N158">
        <v>31.655457999999999</v>
      </c>
      <c r="O158">
        <v>177204400</v>
      </c>
    </row>
    <row r="159" spans="1:15" x14ac:dyDescent="0.3">
      <c r="A159" s="1">
        <v>37653</v>
      </c>
      <c r="B159">
        <v>23.965</v>
      </c>
      <c r="C159">
        <v>24.99</v>
      </c>
      <c r="D159">
        <v>23</v>
      </c>
      <c r="E159">
        <v>23.700001</v>
      </c>
      <c r="F159">
        <v>14.693141000000001</v>
      </c>
      <c r="G159">
        <v>1346970800</v>
      </c>
      <c r="I159" s="1">
        <v>37653</v>
      </c>
      <c r="J159">
        <v>47.77</v>
      </c>
      <c r="K159">
        <v>49.790000999999997</v>
      </c>
      <c r="L159">
        <v>46.25</v>
      </c>
      <c r="M159">
        <v>48.060001</v>
      </c>
      <c r="N159">
        <v>31.827656000000001</v>
      </c>
      <c r="O159">
        <v>147045300</v>
      </c>
    </row>
    <row r="160" spans="1:15" x14ac:dyDescent="0.3">
      <c r="A160" s="1">
        <v>37681</v>
      </c>
      <c r="B160">
        <v>24.02</v>
      </c>
      <c r="C160">
        <v>26.799999</v>
      </c>
      <c r="D160">
        <v>22.549999</v>
      </c>
      <c r="E160">
        <v>24.209999</v>
      </c>
      <c r="F160">
        <v>15.057582</v>
      </c>
      <c r="G160">
        <v>1371902600</v>
      </c>
      <c r="I160" s="1">
        <v>37681</v>
      </c>
      <c r="J160">
        <v>48.599997999999999</v>
      </c>
      <c r="K160">
        <v>54.860000999999997</v>
      </c>
      <c r="L160">
        <v>46.5</v>
      </c>
      <c r="M160">
        <v>52.029998999999997</v>
      </c>
      <c r="N160">
        <v>34.456767999999997</v>
      </c>
      <c r="O160">
        <v>177796800</v>
      </c>
    </row>
    <row r="161" spans="1:15" x14ac:dyDescent="0.3">
      <c r="A161" s="1">
        <v>37712</v>
      </c>
      <c r="B161">
        <v>24.459999</v>
      </c>
      <c r="C161">
        <v>26.43</v>
      </c>
      <c r="D161">
        <v>23.950001</v>
      </c>
      <c r="E161">
        <v>25.57</v>
      </c>
      <c r="F161">
        <v>15.903445</v>
      </c>
      <c r="G161">
        <v>1249617700</v>
      </c>
      <c r="I161" s="1">
        <v>37712</v>
      </c>
      <c r="J161">
        <v>52.099997999999999</v>
      </c>
      <c r="K161">
        <v>57.509998000000003</v>
      </c>
      <c r="L161">
        <v>51.52</v>
      </c>
      <c r="M161">
        <v>56.32</v>
      </c>
      <c r="N161">
        <v>37.362155999999999</v>
      </c>
      <c r="O161">
        <v>169673200</v>
      </c>
    </row>
    <row r="162" spans="1:15" x14ac:dyDescent="0.3">
      <c r="A162" s="1">
        <v>37742</v>
      </c>
      <c r="B162">
        <v>25.540001</v>
      </c>
      <c r="C162">
        <v>26.5</v>
      </c>
      <c r="D162">
        <v>23.889999</v>
      </c>
      <c r="E162">
        <v>24.610001</v>
      </c>
      <c r="F162">
        <v>15.306371</v>
      </c>
      <c r="G162">
        <v>1311003700</v>
      </c>
      <c r="I162" s="1">
        <v>37742</v>
      </c>
      <c r="J162">
        <v>56.32</v>
      </c>
      <c r="K162">
        <v>56.950001</v>
      </c>
      <c r="L162">
        <v>51.630001</v>
      </c>
      <c r="M162">
        <v>52.610000999999997</v>
      </c>
      <c r="N162">
        <v>34.900986000000003</v>
      </c>
      <c r="O162">
        <v>190744000</v>
      </c>
    </row>
    <row r="163" spans="1:15" x14ac:dyDescent="0.3">
      <c r="A163" s="1">
        <v>37773</v>
      </c>
      <c r="B163">
        <v>24.98</v>
      </c>
      <c r="C163">
        <v>26.51</v>
      </c>
      <c r="D163">
        <v>23.6</v>
      </c>
      <c r="E163">
        <v>25.639999</v>
      </c>
      <c r="F163">
        <v>15.946984</v>
      </c>
      <c r="G163">
        <v>1569995800</v>
      </c>
      <c r="I163" s="1">
        <v>37773</v>
      </c>
      <c r="J163">
        <v>52.959999000000003</v>
      </c>
      <c r="K163">
        <v>55.59</v>
      </c>
      <c r="L163">
        <v>52.119999</v>
      </c>
      <c r="M163">
        <v>53.669998</v>
      </c>
      <c r="N163">
        <v>35.604197999999997</v>
      </c>
      <c r="O163">
        <v>166620900</v>
      </c>
    </row>
    <row r="164" spans="1:15" x14ac:dyDescent="0.3">
      <c r="A164" s="1">
        <v>37803</v>
      </c>
      <c r="B164">
        <v>25.59</v>
      </c>
      <c r="C164">
        <v>27.809999000000001</v>
      </c>
      <c r="D164">
        <v>25.389999</v>
      </c>
      <c r="E164">
        <v>26.41</v>
      </c>
      <c r="F164">
        <v>16.425892000000001</v>
      </c>
      <c r="G164">
        <v>1292011000</v>
      </c>
      <c r="I164" s="1">
        <v>37803</v>
      </c>
      <c r="J164">
        <v>53.5</v>
      </c>
      <c r="K164">
        <v>57.700001</v>
      </c>
      <c r="L164">
        <v>53</v>
      </c>
      <c r="M164">
        <v>55.91</v>
      </c>
      <c r="N164">
        <v>37.150908999999999</v>
      </c>
      <c r="O164">
        <v>157989300</v>
      </c>
    </row>
    <row r="165" spans="1:15" x14ac:dyDescent="0.3">
      <c r="A165" s="1">
        <v>37834</v>
      </c>
      <c r="B165">
        <v>26.33</v>
      </c>
      <c r="C165">
        <v>26.950001</v>
      </c>
      <c r="D165">
        <v>25.43</v>
      </c>
      <c r="E165">
        <v>26.52</v>
      </c>
      <c r="F165">
        <v>16.494305000000001</v>
      </c>
      <c r="G165">
        <v>966506900</v>
      </c>
      <c r="I165" s="1">
        <v>37834</v>
      </c>
      <c r="J165">
        <v>55.720001000000003</v>
      </c>
      <c r="K165">
        <v>59.48</v>
      </c>
      <c r="L165">
        <v>54.779998999999997</v>
      </c>
      <c r="M165">
        <v>59.169998</v>
      </c>
      <c r="N165">
        <v>39.317123000000002</v>
      </c>
      <c r="O165">
        <v>136669300</v>
      </c>
    </row>
    <row r="166" spans="1:15" x14ac:dyDescent="0.3">
      <c r="A166" s="1">
        <v>37865</v>
      </c>
      <c r="B166">
        <v>26.700001</v>
      </c>
      <c r="C166">
        <v>30</v>
      </c>
      <c r="D166">
        <v>26.469999000000001</v>
      </c>
      <c r="E166">
        <v>27.799999</v>
      </c>
      <c r="F166">
        <v>17.290413000000001</v>
      </c>
      <c r="G166">
        <v>1253309100</v>
      </c>
      <c r="I166" s="1">
        <v>37865</v>
      </c>
      <c r="J166">
        <v>58.959999000000003</v>
      </c>
      <c r="K166">
        <v>60.200001</v>
      </c>
      <c r="L166">
        <v>55.799999</v>
      </c>
      <c r="M166">
        <v>55.849997999999999</v>
      </c>
      <c r="N166">
        <v>37.111057000000002</v>
      </c>
      <c r="O166">
        <v>175100700</v>
      </c>
    </row>
    <row r="167" spans="1:15" x14ac:dyDescent="0.3">
      <c r="A167" s="1">
        <v>37895</v>
      </c>
      <c r="B167">
        <v>28.030000999999999</v>
      </c>
      <c r="C167">
        <v>29.459999</v>
      </c>
      <c r="D167">
        <v>25.91</v>
      </c>
      <c r="E167">
        <v>26.139999</v>
      </c>
      <c r="F167">
        <v>16.257963</v>
      </c>
      <c r="G167">
        <v>1400032500</v>
      </c>
      <c r="I167" s="1">
        <v>37895</v>
      </c>
      <c r="J167">
        <v>56.02</v>
      </c>
      <c r="K167">
        <v>59.639999000000003</v>
      </c>
      <c r="L167">
        <v>56.009998000000003</v>
      </c>
      <c r="M167">
        <v>58.950001</v>
      </c>
      <c r="N167">
        <v>39.170918</v>
      </c>
      <c r="O167">
        <v>152140600</v>
      </c>
    </row>
    <row r="168" spans="1:15" x14ac:dyDescent="0.3">
      <c r="A168" s="1">
        <v>37926</v>
      </c>
      <c r="B168">
        <v>26.35</v>
      </c>
      <c r="C168">
        <v>26.75</v>
      </c>
      <c r="D168">
        <v>24.84</v>
      </c>
      <c r="E168">
        <v>25.709999</v>
      </c>
      <c r="F168">
        <v>16.080233</v>
      </c>
      <c r="G168">
        <v>1442336700</v>
      </c>
      <c r="I168" s="1">
        <v>37926</v>
      </c>
      <c r="J168">
        <v>58.77</v>
      </c>
      <c r="K168">
        <v>59.93</v>
      </c>
      <c r="L168">
        <v>54.360000999999997</v>
      </c>
      <c r="M168">
        <v>55.639999000000003</v>
      </c>
      <c r="N168">
        <v>37.029919</v>
      </c>
      <c r="O168">
        <v>172384700</v>
      </c>
    </row>
    <row r="169" spans="1:15" x14ac:dyDescent="0.3">
      <c r="A169" s="1">
        <v>37956</v>
      </c>
      <c r="B169">
        <v>25.9</v>
      </c>
      <c r="C169">
        <v>27.549999</v>
      </c>
      <c r="D169">
        <v>25.5</v>
      </c>
      <c r="E169">
        <v>27.370000999999998</v>
      </c>
      <c r="F169">
        <v>17.118473000000002</v>
      </c>
      <c r="G169">
        <v>1476461300</v>
      </c>
      <c r="I169" s="1">
        <v>37956</v>
      </c>
      <c r="J169">
        <v>55.639999000000003</v>
      </c>
      <c r="K169">
        <v>55.66</v>
      </c>
      <c r="L169">
        <v>50.5</v>
      </c>
      <c r="M169">
        <v>53.049999</v>
      </c>
      <c r="N169">
        <v>35.306198000000002</v>
      </c>
      <c r="O169">
        <v>280065600</v>
      </c>
    </row>
    <row r="170" spans="1:15" x14ac:dyDescent="0.3">
      <c r="A170" s="1">
        <v>37987</v>
      </c>
      <c r="B170">
        <v>27.58</v>
      </c>
      <c r="C170">
        <v>28.83</v>
      </c>
      <c r="D170">
        <v>27.26</v>
      </c>
      <c r="E170">
        <v>27.65</v>
      </c>
      <c r="F170">
        <v>17.293597999999999</v>
      </c>
      <c r="G170">
        <v>1232189000</v>
      </c>
      <c r="I170" s="1">
        <v>37987</v>
      </c>
      <c r="J170">
        <v>53.349997999999999</v>
      </c>
      <c r="K170">
        <v>54.950001</v>
      </c>
      <c r="L170">
        <v>51.580002</v>
      </c>
      <c r="M170">
        <v>53.849997999999999</v>
      </c>
      <c r="N170">
        <v>35.901496999999999</v>
      </c>
      <c r="O170">
        <v>201663800</v>
      </c>
    </row>
    <row r="171" spans="1:15" x14ac:dyDescent="0.3">
      <c r="A171" s="1">
        <v>38018</v>
      </c>
      <c r="B171">
        <v>27.610001</v>
      </c>
      <c r="C171">
        <v>27.799999</v>
      </c>
      <c r="D171">
        <v>26.35</v>
      </c>
      <c r="E171">
        <v>26.530000999999999</v>
      </c>
      <c r="F171">
        <v>16.593086</v>
      </c>
      <c r="G171">
        <v>1032065600</v>
      </c>
      <c r="I171" s="1">
        <v>38018</v>
      </c>
      <c r="J171">
        <v>54.200001</v>
      </c>
      <c r="K171">
        <v>60.150002000000001</v>
      </c>
      <c r="L171">
        <v>54.150002000000001</v>
      </c>
      <c r="M171">
        <v>59.560001</v>
      </c>
      <c r="N171">
        <v>39.708320999999998</v>
      </c>
      <c r="O171">
        <v>225419200</v>
      </c>
    </row>
    <row r="172" spans="1:15" x14ac:dyDescent="0.3">
      <c r="A172" s="1">
        <v>38047</v>
      </c>
      <c r="B172">
        <v>26.629999000000002</v>
      </c>
      <c r="C172">
        <v>26.719999000000001</v>
      </c>
      <c r="D172">
        <v>24.01</v>
      </c>
      <c r="E172">
        <v>24.93</v>
      </c>
      <c r="F172">
        <v>15.592381</v>
      </c>
      <c r="G172">
        <v>1703041000</v>
      </c>
      <c r="I172" s="1">
        <v>38047</v>
      </c>
      <c r="J172">
        <v>59.669998</v>
      </c>
      <c r="K172">
        <v>61.310001</v>
      </c>
      <c r="L172">
        <v>57.27</v>
      </c>
      <c r="M172">
        <v>59.689999</v>
      </c>
      <c r="N172">
        <v>39.794991000000003</v>
      </c>
      <c r="O172">
        <v>222337300</v>
      </c>
    </row>
    <row r="173" spans="1:15" x14ac:dyDescent="0.3">
      <c r="A173" s="1">
        <v>38078</v>
      </c>
      <c r="B173">
        <v>24.950001</v>
      </c>
      <c r="C173">
        <v>27.719999000000001</v>
      </c>
      <c r="D173">
        <v>24.85</v>
      </c>
      <c r="E173">
        <v>26.129999000000002</v>
      </c>
      <c r="F173">
        <v>16.342918000000001</v>
      </c>
      <c r="G173">
        <v>1558947800</v>
      </c>
      <c r="I173" s="1">
        <v>38078</v>
      </c>
      <c r="J173">
        <v>58.75</v>
      </c>
      <c r="K173">
        <v>60.139999000000003</v>
      </c>
      <c r="L173">
        <v>56.150002000000001</v>
      </c>
      <c r="M173">
        <v>57</v>
      </c>
      <c r="N173">
        <v>38.086993999999997</v>
      </c>
      <c r="O173">
        <v>193281000</v>
      </c>
    </row>
    <row r="174" spans="1:15" x14ac:dyDescent="0.3">
      <c r="A174" s="1">
        <v>38108</v>
      </c>
      <c r="B174">
        <v>26.190000999999999</v>
      </c>
      <c r="C174">
        <v>26.6</v>
      </c>
      <c r="D174">
        <v>25.42</v>
      </c>
      <c r="E174">
        <v>26.23</v>
      </c>
      <c r="F174">
        <v>16.405467999999999</v>
      </c>
      <c r="G174">
        <v>1141456900</v>
      </c>
      <c r="I174" s="1">
        <v>38108</v>
      </c>
      <c r="J174">
        <v>57</v>
      </c>
      <c r="K174">
        <v>57.52</v>
      </c>
      <c r="L174">
        <v>53.450001</v>
      </c>
      <c r="M174">
        <v>55.73</v>
      </c>
      <c r="N174">
        <v>37.238396000000002</v>
      </c>
      <c r="O174">
        <v>205337100</v>
      </c>
    </row>
    <row r="175" spans="1:15" x14ac:dyDescent="0.3">
      <c r="A175" s="1">
        <v>38139</v>
      </c>
      <c r="B175">
        <v>26.129999000000002</v>
      </c>
      <c r="C175">
        <v>28.799999</v>
      </c>
      <c r="D175">
        <v>25.860001</v>
      </c>
      <c r="E175">
        <v>28.559999000000001</v>
      </c>
      <c r="F175">
        <v>17.862750999999999</v>
      </c>
      <c r="G175">
        <v>1534889700</v>
      </c>
      <c r="I175" s="1">
        <v>38139</v>
      </c>
      <c r="J175">
        <v>55.450001</v>
      </c>
      <c r="K175">
        <v>57.830002</v>
      </c>
      <c r="L175">
        <v>51.93</v>
      </c>
      <c r="M175">
        <v>52.5</v>
      </c>
      <c r="N175">
        <v>35.162914000000001</v>
      </c>
      <c r="O175">
        <v>214484500</v>
      </c>
    </row>
    <row r="176" spans="1:15" x14ac:dyDescent="0.3">
      <c r="A176" s="1">
        <v>38169</v>
      </c>
      <c r="B176">
        <v>28.700001</v>
      </c>
      <c r="C176">
        <v>29.889999</v>
      </c>
      <c r="D176">
        <v>27.25</v>
      </c>
      <c r="E176">
        <v>28.49</v>
      </c>
      <c r="F176">
        <v>17.81897</v>
      </c>
      <c r="G176">
        <v>1550446900</v>
      </c>
      <c r="I176" s="1">
        <v>38169</v>
      </c>
      <c r="J176">
        <v>53.099997999999999</v>
      </c>
      <c r="K176">
        <v>54.189999</v>
      </c>
      <c r="L176">
        <v>51.5</v>
      </c>
      <c r="M176">
        <v>53.009998000000003</v>
      </c>
      <c r="N176">
        <v>35.504486</v>
      </c>
      <c r="O176">
        <v>210007000</v>
      </c>
    </row>
    <row r="177" spans="1:15" x14ac:dyDescent="0.3">
      <c r="A177" s="1">
        <v>38200</v>
      </c>
      <c r="B177">
        <v>28.27</v>
      </c>
      <c r="C177">
        <v>28.549999</v>
      </c>
      <c r="D177">
        <v>26.85</v>
      </c>
      <c r="E177">
        <v>27.299999</v>
      </c>
      <c r="F177">
        <v>17.074686</v>
      </c>
      <c r="G177">
        <v>1094195300</v>
      </c>
      <c r="I177" s="1">
        <v>38200</v>
      </c>
      <c r="J177">
        <v>53.02</v>
      </c>
      <c r="K177">
        <v>54.970001000000003</v>
      </c>
      <c r="L177">
        <v>51.080002</v>
      </c>
      <c r="M177">
        <v>52.669998</v>
      </c>
      <c r="N177">
        <v>35.276778999999998</v>
      </c>
      <c r="O177">
        <v>186258300</v>
      </c>
    </row>
    <row r="178" spans="1:15" x14ac:dyDescent="0.3">
      <c r="A178" s="1">
        <v>38231</v>
      </c>
      <c r="B178">
        <v>27.23</v>
      </c>
      <c r="C178">
        <v>27.790001</v>
      </c>
      <c r="D178">
        <v>26.74</v>
      </c>
      <c r="E178">
        <v>27.65</v>
      </c>
      <c r="F178">
        <v>17.344614</v>
      </c>
      <c r="G178">
        <v>1141012300</v>
      </c>
      <c r="I178" s="1">
        <v>38231</v>
      </c>
      <c r="J178">
        <v>52.459999000000003</v>
      </c>
      <c r="K178">
        <v>53.959999000000003</v>
      </c>
      <c r="L178">
        <v>51.099997999999999</v>
      </c>
      <c r="M178">
        <v>53.200001</v>
      </c>
      <c r="N178">
        <v>35.716220999999997</v>
      </c>
      <c r="O178">
        <v>206640300</v>
      </c>
    </row>
    <row r="179" spans="1:15" x14ac:dyDescent="0.3">
      <c r="A179" s="1">
        <v>38261</v>
      </c>
      <c r="B179">
        <v>27.82</v>
      </c>
      <c r="C179">
        <v>28.889999</v>
      </c>
      <c r="D179">
        <v>27.549999</v>
      </c>
      <c r="E179">
        <v>27.969999000000001</v>
      </c>
      <c r="F179">
        <v>17.545345000000001</v>
      </c>
      <c r="G179">
        <v>1300591200</v>
      </c>
      <c r="I179" s="1">
        <v>38261</v>
      </c>
      <c r="J179">
        <v>53.5</v>
      </c>
      <c r="K179">
        <v>54.380001</v>
      </c>
      <c r="L179">
        <v>51.91</v>
      </c>
      <c r="M179">
        <v>53.919998</v>
      </c>
      <c r="N179">
        <v>36.199599999999997</v>
      </c>
      <c r="O179">
        <v>185838900</v>
      </c>
    </row>
    <row r="180" spans="1:15" x14ac:dyDescent="0.3">
      <c r="A180" s="1">
        <v>38292</v>
      </c>
      <c r="B180">
        <v>28.16</v>
      </c>
      <c r="C180">
        <v>30.200001</v>
      </c>
      <c r="D180">
        <v>26.1</v>
      </c>
      <c r="E180">
        <v>26.809999000000001</v>
      </c>
      <c r="F180">
        <v>16.817682000000001</v>
      </c>
      <c r="G180">
        <v>1739407300</v>
      </c>
      <c r="I180" s="1">
        <v>38292</v>
      </c>
      <c r="J180">
        <v>53.919998</v>
      </c>
      <c r="K180">
        <v>57.889999000000003</v>
      </c>
      <c r="L180">
        <v>52.060001</v>
      </c>
      <c r="M180">
        <v>52.060001</v>
      </c>
      <c r="N180">
        <v>34.950870999999999</v>
      </c>
      <c r="O180">
        <v>238267700</v>
      </c>
    </row>
    <row r="181" spans="1:15" x14ac:dyDescent="0.3">
      <c r="A181" s="1">
        <v>38322</v>
      </c>
      <c r="B181">
        <v>26.950001</v>
      </c>
      <c r="C181">
        <v>27.440000999999999</v>
      </c>
      <c r="D181">
        <v>26.68</v>
      </c>
      <c r="E181">
        <v>26.719999000000001</v>
      </c>
      <c r="F181">
        <v>18.681072</v>
      </c>
      <c r="G181">
        <v>1803777700</v>
      </c>
      <c r="I181" s="1">
        <v>38322</v>
      </c>
      <c r="J181">
        <v>52.5</v>
      </c>
      <c r="K181">
        <v>53.650002000000001</v>
      </c>
      <c r="L181">
        <v>52</v>
      </c>
      <c r="M181">
        <v>52.82</v>
      </c>
      <c r="N181">
        <v>35.461112999999997</v>
      </c>
      <c r="O181">
        <v>231643800</v>
      </c>
    </row>
    <row r="182" spans="1:15" x14ac:dyDescent="0.3">
      <c r="A182" s="1">
        <v>38353</v>
      </c>
      <c r="B182">
        <v>26.799999</v>
      </c>
      <c r="C182">
        <v>27.1</v>
      </c>
      <c r="D182">
        <v>25.639999</v>
      </c>
      <c r="E182">
        <v>26.280000999999999</v>
      </c>
      <c r="F182">
        <v>18.373443999999999</v>
      </c>
      <c r="G182">
        <v>1521414300</v>
      </c>
      <c r="I182" s="1">
        <v>38353</v>
      </c>
      <c r="J182">
        <v>53.75</v>
      </c>
      <c r="K182">
        <v>54.599997999999999</v>
      </c>
      <c r="L182">
        <v>52.220001000000003</v>
      </c>
      <c r="M182">
        <v>52.400002000000001</v>
      </c>
      <c r="N182">
        <v>35.264805000000003</v>
      </c>
      <c r="O182">
        <v>183923700</v>
      </c>
    </row>
    <row r="183" spans="1:15" x14ac:dyDescent="0.3">
      <c r="A183" s="1">
        <v>38384</v>
      </c>
      <c r="B183">
        <v>26.25</v>
      </c>
      <c r="C183">
        <v>26.5</v>
      </c>
      <c r="D183">
        <v>25.129999000000002</v>
      </c>
      <c r="E183">
        <v>25.16</v>
      </c>
      <c r="F183">
        <v>17.590412000000001</v>
      </c>
      <c r="G183">
        <v>1361126000</v>
      </c>
      <c r="I183" s="1">
        <v>38384</v>
      </c>
      <c r="J183">
        <v>52.400002000000001</v>
      </c>
      <c r="K183">
        <v>53.740001999999997</v>
      </c>
      <c r="L183">
        <v>51.099997999999999</v>
      </c>
      <c r="M183">
        <v>51.610000999999997</v>
      </c>
      <c r="N183">
        <v>34.733134999999997</v>
      </c>
      <c r="O183">
        <v>181560100</v>
      </c>
    </row>
    <row r="184" spans="1:15" x14ac:dyDescent="0.3">
      <c r="A184" s="1">
        <v>38412</v>
      </c>
      <c r="B184">
        <v>25.190000999999999</v>
      </c>
      <c r="C184">
        <v>25.790001</v>
      </c>
      <c r="D184">
        <v>23.82</v>
      </c>
      <c r="E184">
        <v>24.17</v>
      </c>
      <c r="F184">
        <v>16.950389999999999</v>
      </c>
      <c r="G184">
        <v>1541411300</v>
      </c>
      <c r="I184" s="1">
        <v>38412</v>
      </c>
      <c r="J184">
        <v>52.009998000000003</v>
      </c>
      <c r="K184">
        <v>53.490001999999997</v>
      </c>
      <c r="L184">
        <v>50.060001</v>
      </c>
      <c r="M184">
        <v>50.110000999999997</v>
      </c>
      <c r="N184">
        <v>33.723660000000002</v>
      </c>
      <c r="O184">
        <v>373812500</v>
      </c>
    </row>
    <row r="185" spans="1:15" x14ac:dyDescent="0.3">
      <c r="A185" s="1">
        <v>38443</v>
      </c>
      <c r="B185">
        <v>24.24</v>
      </c>
      <c r="C185">
        <v>25.450001</v>
      </c>
      <c r="D185">
        <v>23.940000999999999</v>
      </c>
      <c r="E185">
        <v>25.299999</v>
      </c>
      <c r="F185">
        <v>17.742853</v>
      </c>
      <c r="G185">
        <v>1520253700</v>
      </c>
      <c r="I185" s="1">
        <v>38443</v>
      </c>
      <c r="J185">
        <v>50.25</v>
      </c>
      <c r="K185">
        <v>50.5</v>
      </c>
      <c r="L185">
        <v>46.200001</v>
      </c>
      <c r="M185">
        <v>47.139999000000003</v>
      </c>
      <c r="N185">
        <v>31.818408999999999</v>
      </c>
      <c r="O185">
        <v>337397100</v>
      </c>
    </row>
    <row r="186" spans="1:15" x14ac:dyDescent="0.3">
      <c r="A186" s="1">
        <v>38473</v>
      </c>
      <c r="B186">
        <v>25.23</v>
      </c>
      <c r="C186">
        <v>26.09</v>
      </c>
      <c r="D186">
        <v>24.639999</v>
      </c>
      <c r="E186">
        <v>25.799999</v>
      </c>
      <c r="F186">
        <v>18.093506000000001</v>
      </c>
      <c r="G186">
        <v>1270563700</v>
      </c>
      <c r="I186" s="1">
        <v>38473</v>
      </c>
      <c r="J186">
        <v>47.48</v>
      </c>
      <c r="K186">
        <v>49.459999000000003</v>
      </c>
      <c r="L186">
        <v>46.599997999999999</v>
      </c>
      <c r="M186">
        <v>47.23</v>
      </c>
      <c r="N186">
        <v>31.879155999999998</v>
      </c>
      <c r="O186">
        <v>255131200</v>
      </c>
    </row>
    <row r="187" spans="1:15" x14ac:dyDescent="0.3">
      <c r="A187" s="1">
        <v>38504</v>
      </c>
      <c r="B187">
        <v>25.73</v>
      </c>
      <c r="C187">
        <v>26</v>
      </c>
      <c r="D187">
        <v>24.82</v>
      </c>
      <c r="E187">
        <v>24.84</v>
      </c>
      <c r="F187">
        <v>17.475527</v>
      </c>
      <c r="G187">
        <v>1303029500</v>
      </c>
      <c r="I187" s="1">
        <v>38504</v>
      </c>
      <c r="J187">
        <v>47.25</v>
      </c>
      <c r="K187">
        <v>50.299999</v>
      </c>
      <c r="L187">
        <v>47.209999000000003</v>
      </c>
      <c r="M187">
        <v>48.200001</v>
      </c>
      <c r="N187">
        <v>32.638041999999999</v>
      </c>
      <c r="O187">
        <v>238335200</v>
      </c>
    </row>
    <row r="188" spans="1:15" x14ac:dyDescent="0.3">
      <c r="A188" s="1">
        <v>38534</v>
      </c>
      <c r="B188">
        <v>24.85</v>
      </c>
      <c r="C188">
        <v>26.48</v>
      </c>
      <c r="D188">
        <v>24.5</v>
      </c>
      <c r="E188">
        <v>25.610001</v>
      </c>
      <c r="F188">
        <v>18.017233000000001</v>
      </c>
      <c r="G188">
        <v>1321407700</v>
      </c>
      <c r="I188" s="1">
        <v>38534</v>
      </c>
      <c r="J188">
        <v>48.25</v>
      </c>
      <c r="K188">
        <v>50.689999</v>
      </c>
      <c r="L188">
        <v>48.150002000000001</v>
      </c>
      <c r="M188">
        <v>49.349997999999999</v>
      </c>
      <c r="N188">
        <v>33.416747999999998</v>
      </c>
      <c r="O188">
        <v>183397900</v>
      </c>
    </row>
    <row r="189" spans="1:15" x14ac:dyDescent="0.3">
      <c r="A189" s="1">
        <v>38565</v>
      </c>
      <c r="B189">
        <v>25.809999000000001</v>
      </c>
      <c r="C189">
        <v>27.940000999999999</v>
      </c>
      <c r="D189">
        <v>25.76</v>
      </c>
      <c r="E189">
        <v>27.379999000000002</v>
      </c>
      <c r="F189">
        <v>19.262471999999999</v>
      </c>
      <c r="G189">
        <v>1441979300</v>
      </c>
      <c r="I189" s="1">
        <v>38565</v>
      </c>
      <c r="J189">
        <v>49.619999</v>
      </c>
      <c r="K189">
        <v>49.869999</v>
      </c>
      <c r="L189">
        <v>44.700001</v>
      </c>
      <c r="M189">
        <v>44.959999000000003</v>
      </c>
      <c r="N189">
        <v>30.444109000000001</v>
      </c>
      <c r="O189">
        <v>280401100</v>
      </c>
    </row>
    <row r="190" spans="1:15" x14ac:dyDescent="0.3">
      <c r="A190" s="1">
        <v>38596</v>
      </c>
      <c r="B190">
        <v>27.379999000000002</v>
      </c>
      <c r="C190">
        <v>27.389999</v>
      </c>
      <c r="D190">
        <v>25.120000999999998</v>
      </c>
      <c r="E190">
        <v>25.73</v>
      </c>
      <c r="F190">
        <v>18.155353999999999</v>
      </c>
      <c r="G190">
        <v>1348861500</v>
      </c>
      <c r="I190" s="1">
        <v>38596</v>
      </c>
      <c r="J190">
        <v>44.950001</v>
      </c>
      <c r="K190">
        <v>46.48</v>
      </c>
      <c r="L190">
        <v>42.310001</v>
      </c>
      <c r="M190">
        <v>43.82</v>
      </c>
      <c r="N190">
        <v>29.766038999999999</v>
      </c>
      <c r="O190">
        <v>445029400</v>
      </c>
    </row>
    <row r="191" spans="1:15" x14ac:dyDescent="0.3">
      <c r="A191" s="1">
        <v>38626</v>
      </c>
      <c r="B191">
        <v>25.709999</v>
      </c>
      <c r="C191">
        <v>25.799999</v>
      </c>
      <c r="D191">
        <v>24.25</v>
      </c>
      <c r="E191">
        <v>25.700001</v>
      </c>
      <c r="F191">
        <v>18.134181999999999</v>
      </c>
      <c r="G191">
        <v>1439659900</v>
      </c>
      <c r="I191" s="1">
        <v>38626</v>
      </c>
      <c r="J191">
        <v>44.150002000000001</v>
      </c>
      <c r="K191">
        <v>47.549999</v>
      </c>
      <c r="L191">
        <v>43.299999</v>
      </c>
      <c r="M191">
        <v>47.310001</v>
      </c>
      <c r="N191">
        <v>32.136718999999999</v>
      </c>
      <c r="O191">
        <v>309168500</v>
      </c>
    </row>
    <row r="192" spans="1:15" x14ac:dyDescent="0.3">
      <c r="A192" s="1">
        <v>38657</v>
      </c>
      <c r="B192">
        <v>25.610001</v>
      </c>
      <c r="C192">
        <v>28.25</v>
      </c>
      <c r="D192">
        <v>25.610001</v>
      </c>
      <c r="E192">
        <v>27.68</v>
      </c>
      <c r="F192">
        <v>19.531292000000001</v>
      </c>
      <c r="G192">
        <v>1444948300</v>
      </c>
      <c r="I192" s="1">
        <v>38657</v>
      </c>
      <c r="J192">
        <v>47.119999</v>
      </c>
      <c r="K192">
        <v>50.869999</v>
      </c>
      <c r="L192">
        <v>46.610000999999997</v>
      </c>
      <c r="M192">
        <v>48.560001</v>
      </c>
      <c r="N192">
        <v>32.985832000000002</v>
      </c>
      <c r="O192">
        <v>267771900</v>
      </c>
    </row>
    <row r="193" spans="1:15" x14ac:dyDescent="0.3">
      <c r="A193" s="1">
        <v>38687</v>
      </c>
      <c r="B193">
        <v>27.73</v>
      </c>
      <c r="C193">
        <v>28.1</v>
      </c>
      <c r="D193">
        <v>26.1</v>
      </c>
      <c r="E193">
        <v>26.15</v>
      </c>
      <c r="F193">
        <v>18.505794999999999</v>
      </c>
      <c r="G193">
        <v>1271695500</v>
      </c>
      <c r="I193" s="1">
        <v>38687</v>
      </c>
      <c r="J193">
        <v>48.59</v>
      </c>
      <c r="K193">
        <v>49.740001999999997</v>
      </c>
      <c r="L193">
        <v>46.75</v>
      </c>
      <c r="M193">
        <v>46.799999</v>
      </c>
      <c r="N193">
        <v>31.790285000000001</v>
      </c>
      <c r="O193">
        <v>258541900</v>
      </c>
    </row>
    <row r="194" spans="1:15" x14ac:dyDescent="0.3">
      <c r="A194" s="1">
        <v>38718</v>
      </c>
      <c r="B194">
        <v>26.25</v>
      </c>
      <c r="C194">
        <v>28.379999000000002</v>
      </c>
      <c r="D194">
        <v>26.1</v>
      </c>
      <c r="E194">
        <v>28.15</v>
      </c>
      <c r="F194">
        <v>19.921154000000001</v>
      </c>
      <c r="G194">
        <v>1388622700</v>
      </c>
      <c r="I194" s="1">
        <v>38718</v>
      </c>
      <c r="J194">
        <v>46.360000999999997</v>
      </c>
      <c r="K194">
        <v>46.950001</v>
      </c>
      <c r="L194">
        <v>44.540000999999997</v>
      </c>
      <c r="M194">
        <v>46.110000999999997</v>
      </c>
      <c r="N194">
        <v>31.416836</v>
      </c>
      <c r="O194">
        <v>322518700</v>
      </c>
    </row>
    <row r="195" spans="1:15" x14ac:dyDescent="0.3">
      <c r="A195" s="1">
        <v>38749</v>
      </c>
      <c r="B195">
        <v>27.959999</v>
      </c>
      <c r="C195">
        <v>28.07</v>
      </c>
      <c r="D195">
        <v>26.34</v>
      </c>
      <c r="E195">
        <v>26.870000999999998</v>
      </c>
      <c r="F195">
        <v>19.015329000000001</v>
      </c>
      <c r="G195">
        <v>1047699000</v>
      </c>
      <c r="I195" s="1">
        <v>38749</v>
      </c>
      <c r="J195">
        <v>46.049999</v>
      </c>
      <c r="K195">
        <v>47.02</v>
      </c>
      <c r="L195">
        <v>44.52</v>
      </c>
      <c r="M195">
        <v>45.360000999999997</v>
      </c>
      <c r="N195">
        <v>30.905832</v>
      </c>
      <c r="O195">
        <v>236340600</v>
      </c>
    </row>
    <row r="196" spans="1:15" x14ac:dyDescent="0.3">
      <c r="A196" s="1">
        <v>38777</v>
      </c>
      <c r="B196">
        <v>26.98</v>
      </c>
      <c r="C196">
        <v>28.219999000000001</v>
      </c>
      <c r="D196">
        <v>26.620000999999998</v>
      </c>
      <c r="E196">
        <v>27.209999</v>
      </c>
      <c r="F196">
        <v>19.321182</v>
      </c>
      <c r="G196">
        <v>1437940900</v>
      </c>
      <c r="I196" s="1">
        <v>38777</v>
      </c>
      <c r="J196">
        <v>45.360000999999997</v>
      </c>
      <c r="K196">
        <v>48.869999</v>
      </c>
      <c r="L196">
        <v>44.860000999999997</v>
      </c>
      <c r="M196">
        <v>47.240001999999997</v>
      </c>
      <c r="N196">
        <v>32.186782999999998</v>
      </c>
      <c r="O196">
        <v>267987900</v>
      </c>
    </row>
    <row r="197" spans="1:15" x14ac:dyDescent="0.3">
      <c r="A197" s="1">
        <v>38808</v>
      </c>
      <c r="B197">
        <v>27.67</v>
      </c>
      <c r="C197">
        <v>27.940000999999999</v>
      </c>
      <c r="D197">
        <v>24</v>
      </c>
      <c r="E197">
        <v>24.15</v>
      </c>
      <c r="F197">
        <v>17.148354999999999</v>
      </c>
      <c r="G197">
        <v>1446126900</v>
      </c>
      <c r="I197" s="1">
        <v>38808</v>
      </c>
      <c r="J197">
        <v>47.27</v>
      </c>
      <c r="K197">
        <v>47.310001</v>
      </c>
      <c r="L197">
        <v>44.990001999999997</v>
      </c>
      <c r="M197">
        <v>45.029998999999997</v>
      </c>
      <c r="N197">
        <v>30.794598000000001</v>
      </c>
      <c r="O197">
        <v>197107100</v>
      </c>
    </row>
    <row r="198" spans="1:15" x14ac:dyDescent="0.3">
      <c r="A198" s="1">
        <v>38838</v>
      </c>
      <c r="B198">
        <v>24.32</v>
      </c>
      <c r="C198">
        <v>25</v>
      </c>
      <c r="D198">
        <v>22.450001</v>
      </c>
      <c r="E198">
        <v>22.65</v>
      </c>
      <c r="F198">
        <v>16.083237</v>
      </c>
      <c r="G198">
        <v>2309193400</v>
      </c>
      <c r="I198" s="1">
        <v>38838</v>
      </c>
      <c r="J198">
        <v>45.919998</v>
      </c>
      <c r="K198">
        <v>50</v>
      </c>
      <c r="L198">
        <v>45.540000999999997</v>
      </c>
      <c r="M198">
        <v>48.450001</v>
      </c>
      <c r="N198">
        <v>33.133423000000001</v>
      </c>
      <c r="O198">
        <v>302008400</v>
      </c>
    </row>
    <row r="199" spans="1:15" x14ac:dyDescent="0.3">
      <c r="A199" s="1">
        <v>38869</v>
      </c>
      <c r="B199">
        <v>22.74</v>
      </c>
      <c r="C199">
        <v>23.65</v>
      </c>
      <c r="D199">
        <v>21.459999</v>
      </c>
      <c r="E199">
        <v>23.299999</v>
      </c>
      <c r="F199">
        <v>16.609306</v>
      </c>
      <c r="G199">
        <v>1971637200</v>
      </c>
      <c r="I199" s="1">
        <v>38869</v>
      </c>
      <c r="J199">
        <v>48.25</v>
      </c>
      <c r="K199">
        <v>49.189999</v>
      </c>
      <c r="L199">
        <v>46.549999</v>
      </c>
      <c r="M199">
        <v>48.169998</v>
      </c>
      <c r="N199">
        <v>33.057487000000002</v>
      </c>
      <c r="O199">
        <v>245733000</v>
      </c>
    </row>
    <row r="200" spans="1:15" x14ac:dyDescent="0.3">
      <c r="A200" s="1">
        <v>38899</v>
      </c>
      <c r="B200">
        <v>23.530000999999999</v>
      </c>
      <c r="C200">
        <v>24.6</v>
      </c>
      <c r="D200">
        <v>22.23</v>
      </c>
      <c r="E200">
        <v>24.059999000000001</v>
      </c>
      <c r="F200">
        <v>17.151062</v>
      </c>
      <c r="G200">
        <v>1332298100</v>
      </c>
      <c r="I200" s="1">
        <v>38899</v>
      </c>
      <c r="J200">
        <v>47.75</v>
      </c>
      <c r="K200">
        <v>48.049999</v>
      </c>
      <c r="L200">
        <v>42.310001</v>
      </c>
      <c r="M200">
        <v>44.5</v>
      </c>
      <c r="N200">
        <v>30.538868000000001</v>
      </c>
      <c r="O200">
        <v>269589700</v>
      </c>
    </row>
    <row r="201" spans="1:15" x14ac:dyDescent="0.3">
      <c r="A201" s="1">
        <v>38930</v>
      </c>
      <c r="B201">
        <v>24.02</v>
      </c>
      <c r="C201">
        <v>26.25</v>
      </c>
      <c r="D201">
        <v>23.85</v>
      </c>
      <c r="E201">
        <v>25.700001</v>
      </c>
      <c r="F201">
        <v>18.320141</v>
      </c>
      <c r="G201">
        <v>1134188400</v>
      </c>
      <c r="I201" s="1">
        <v>38930</v>
      </c>
      <c r="J201">
        <v>44.349997999999999</v>
      </c>
      <c r="K201">
        <v>45.450001</v>
      </c>
      <c r="L201">
        <v>43.48</v>
      </c>
      <c r="M201">
        <v>44.720001000000003</v>
      </c>
      <c r="N201">
        <v>30.689857</v>
      </c>
      <c r="O201">
        <v>237088700</v>
      </c>
    </row>
    <row r="202" spans="1:15" x14ac:dyDescent="0.3">
      <c r="A202" s="1">
        <v>38961</v>
      </c>
      <c r="B202">
        <v>25.889999</v>
      </c>
      <c r="C202">
        <v>27.52</v>
      </c>
      <c r="D202">
        <v>25.389999</v>
      </c>
      <c r="E202">
        <v>27.35</v>
      </c>
      <c r="F202">
        <v>19.568121000000001</v>
      </c>
      <c r="G202">
        <v>1097482600</v>
      </c>
      <c r="I202" s="1">
        <v>38961</v>
      </c>
      <c r="J202">
        <v>45</v>
      </c>
      <c r="K202">
        <v>49.950001</v>
      </c>
      <c r="L202">
        <v>44.02</v>
      </c>
      <c r="M202">
        <v>49.32</v>
      </c>
      <c r="N202">
        <v>33.974800000000002</v>
      </c>
      <c r="O202">
        <v>265210400</v>
      </c>
    </row>
    <row r="203" spans="1:15" x14ac:dyDescent="0.3">
      <c r="A203" s="1">
        <v>38991</v>
      </c>
      <c r="B203">
        <v>27.32</v>
      </c>
      <c r="C203">
        <v>28.85</v>
      </c>
      <c r="D203">
        <v>27.15</v>
      </c>
      <c r="E203">
        <v>28.709999</v>
      </c>
      <c r="F203">
        <v>20.541159</v>
      </c>
      <c r="G203">
        <v>1290967400</v>
      </c>
      <c r="I203" s="1">
        <v>38991</v>
      </c>
      <c r="J203">
        <v>48.619999</v>
      </c>
      <c r="K203">
        <v>52.150002000000001</v>
      </c>
      <c r="L203">
        <v>47.639999000000003</v>
      </c>
      <c r="M203">
        <v>49.279998999999997</v>
      </c>
      <c r="N203">
        <v>33.947243</v>
      </c>
      <c r="O203">
        <v>365494300</v>
      </c>
    </row>
    <row r="204" spans="1:15" x14ac:dyDescent="0.3">
      <c r="A204" s="1">
        <v>39022</v>
      </c>
      <c r="B204">
        <v>28.780000999999999</v>
      </c>
      <c r="C204">
        <v>30</v>
      </c>
      <c r="D204">
        <v>28.58</v>
      </c>
      <c r="E204">
        <v>29.360001</v>
      </c>
      <c r="F204">
        <v>21.006226999999999</v>
      </c>
      <c r="G204">
        <v>1239142000</v>
      </c>
      <c r="I204" s="1">
        <v>39022</v>
      </c>
      <c r="J204">
        <v>49.380001</v>
      </c>
      <c r="K204">
        <v>49.700001</v>
      </c>
      <c r="L204">
        <v>45.970001000000003</v>
      </c>
      <c r="M204">
        <v>46.099997999999999</v>
      </c>
      <c r="N204">
        <v>31.756657000000001</v>
      </c>
      <c r="O204">
        <v>371959900</v>
      </c>
    </row>
    <row r="205" spans="1:15" x14ac:dyDescent="0.3">
      <c r="A205" s="1">
        <v>39052</v>
      </c>
      <c r="B205">
        <v>29.23</v>
      </c>
      <c r="C205">
        <v>30.26</v>
      </c>
      <c r="D205">
        <v>28.799999</v>
      </c>
      <c r="E205">
        <v>29.860001</v>
      </c>
      <c r="F205">
        <v>21.436996000000001</v>
      </c>
      <c r="G205">
        <v>1137160900</v>
      </c>
      <c r="I205" s="1">
        <v>39052</v>
      </c>
      <c r="J205">
        <v>46</v>
      </c>
      <c r="K205">
        <v>46.889999000000003</v>
      </c>
      <c r="L205">
        <v>44.799999</v>
      </c>
      <c r="M205">
        <v>46.18</v>
      </c>
      <c r="N205">
        <v>31.811771</v>
      </c>
      <c r="O205">
        <v>278046300</v>
      </c>
    </row>
    <row r="206" spans="1:15" x14ac:dyDescent="0.3">
      <c r="A206" s="1">
        <v>39083</v>
      </c>
      <c r="B206">
        <v>29.91</v>
      </c>
      <c r="C206">
        <v>31.48</v>
      </c>
      <c r="D206">
        <v>29.4</v>
      </c>
      <c r="E206">
        <v>30.860001</v>
      </c>
      <c r="F206">
        <v>22.154909</v>
      </c>
      <c r="G206">
        <v>1324518200</v>
      </c>
      <c r="I206" s="1">
        <v>39083</v>
      </c>
      <c r="J206">
        <v>47.09</v>
      </c>
      <c r="K206">
        <v>48.779998999999997</v>
      </c>
      <c r="L206">
        <v>46.509998000000003</v>
      </c>
      <c r="M206">
        <v>47.689999</v>
      </c>
      <c r="N206">
        <v>32.973300999999999</v>
      </c>
      <c r="O206">
        <v>289921200</v>
      </c>
    </row>
    <row r="207" spans="1:15" x14ac:dyDescent="0.3">
      <c r="A207" s="1">
        <v>39114</v>
      </c>
      <c r="B207">
        <v>30.84</v>
      </c>
      <c r="C207">
        <v>30.940000999999999</v>
      </c>
      <c r="D207">
        <v>27.790001</v>
      </c>
      <c r="E207">
        <v>28.17</v>
      </c>
      <c r="F207">
        <v>20.223714999999999</v>
      </c>
      <c r="G207">
        <v>1290850900</v>
      </c>
      <c r="I207" s="1">
        <v>39114</v>
      </c>
      <c r="J207">
        <v>47.509998000000003</v>
      </c>
      <c r="K207">
        <v>50.419998</v>
      </c>
      <c r="L207">
        <v>47.439999</v>
      </c>
      <c r="M207">
        <v>48.310001</v>
      </c>
      <c r="N207">
        <v>33.401974000000003</v>
      </c>
      <c r="O207">
        <v>278003300</v>
      </c>
    </row>
    <row r="208" spans="1:15" x14ac:dyDescent="0.3">
      <c r="A208" s="1">
        <v>39142</v>
      </c>
      <c r="B208">
        <v>27.82</v>
      </c>
      <c r="C208">
        <v>28.549999</v>
      </c>
      <c r="D208">
        <v>26.6</v>
      </c>
      <c r="E208">
        <v>27.870000999999998</v>
      </c>
      <c r="F208">
        <v>20.077712999999999</v>
      </c>
      <c r="G208">
        <v>1269506500</v>
      </c>
      <c r="I208" s="1">
        <v>39142</v>
      </c>
      <c r="J208">
        <v>47.779998999999997</v>
      </c>
      <c r="K208">
        <v>48.32</v>
      </c>
      <c r="L208">
        <v>45.060001</v>
      </c>
      <c r="M208">
        <v>46.950001</v>
      </c>
      <c r="N208">
        <v>32.461666000000001</v>
      </c>
      <c r="O208">
        <v>347369500</v>
      </c>
    </row>
    <row r="209" spans="1:16" x14ac:dyDescent="0.3">
      <c r="A209" s="1">
        <v>39173</v>
      </c>
      <c r="B209">
        <v>27.889999</v>
      </c>
      <c r="C209">
        <v>30.74</v>
      </c>
      <c r="D209">
        <v>27.559999000000001</v>
      </c>
      <c r="E209">
        <v>29.940000999999999</v>
      </c>
      <c r="F209">
        <v>21.568956</v>
      </c>
      <c r="G209">
        <v>958964900</v>
      </c>
      <c r="I209" s="1">
        <v>39173</v>
      </c>
      <c r="J209">
        <v>47.060001</v>
      </c>
      <c r="K209">
        <v>49.950001</v>
      </c>
      <c r="L209">
        <v>46.830002</v>
      </c>
      <c r="M209">
        <v>47.919998</v>
      </c>
      <c r="N209">
        <v>33.290913000000003</v>
      </c>
      <c r="O209">
        <v>257144500</v>
      </c>
    </row>
    <row r="210" spans="1:16" x14ac:dyDescent="0.3">
      <c r="A210" s="1">
        <v>39203</v>
      </c>
      <c r="B210">
        <v>29.940000999999999</v>
      </c>
      <c r="C210">
        <v>31.16</v>
      </c>
      <c r="D210">
        <v>29.9</v>
      </c>
      <c r="E210">
        <v>30.690000999999999</v>
      </c>
      <c r="F210">
        <v>22.109261</v>
      </c>
      <c r="G210">
        <v>1327154700</v>
      </c>
      <c r="H210" t="s">
        <v>7</v>
      </c>
      <c r="I210" s="1">
        <v>39203</v>
      </c>
      <c r="J210">
        <v>47.919998</v>
      </c>
      <c r="K210">
        <v>48.880001</v>
      </c>
      <c r="L210">
        <v>46.32</v>
      </c>
      <c r="M210">
        <v>47.599997999999999</v>
      </c>
      <c r="N210">
        <v>33.068600000000004</v>
      </c>
      <c r="O210">
        <v>309199900</v>
      </c>
      <c r="P210" t="s">
        <v>8</v>
      </c>
    </row>
    <row r="211" spans="1:16" x14ac:dyDescent="0.3">
      <c r="A211" s="1">
        <v>39234</v>
      </c>
      <c r="B211">
        <v>30.790001</v>
      </c>
      <c r="C211">
        <v>30.9</v>
      </c>
      <c r="D211">
        <v>29.040001</v>
      </c>
      <c r="E211">
        <v>29.469999000000001</v>
      </c>
      <c r="F211">
        <v>21.299140999999999</v>
      </c>
      <c r="G211">
        <v>1181412800</v>
      </c>
      <c r="H211">
        <f>(F212-F211)/F211</f>
        <v>-1.6288074716252609E-2</v>
      </c>
      <c r="I211" s="1">
        <v>39234</v>
      </c>
      <c r="J211">
        <v>47.900002000000001</v>
      </c>
      <c r="K211">
        <v>51.439999</v>
      </c>
      <c r="L211">
        <v>47.689999</v>
      </c>
      <c r="M211">
        <v>48.110000999999997</v>
      </c>
      <c r="N211">
        <v>33.578060000000001</v>
      </c>
      <c r="O211">
        <v>443564800</v>
      </c>
      <c r="P211">
        <f>(N212-N211)/N211</f>
        <v>-4.4897650430072503E-2</v>
      </c>
    </row>
    <row r="212" spans="1:16" x14ac:dyDescent="0.3">
      <c r="A212" s="1">
        <v>39264</v>
      </c>
      <c r="B212">
        <v>29.67</v>
      </c>
      <c r="C212">
        <v>31.84</v>
      </c>
      <c r="D212">
        <v>28.950001</v>
      </c>
      <c r="E212">
        <v>28.99</v>
      </c>
      <c r="F212">
        <v>20.952218999999999</v>
      </c>
      <c r="G212">
        <v>1295548000</v>
      </c>
      <c r="H212">
        <f t="shared" ref="H212:H275" si="0">(F213-F212)/F212</f>
        <v>-8.9685965959023593E-3</v>
      </c>
      <c r="I212" s="1">
        <v>39264</v>
      </c>
      <c r="J212">
        <v>48.200001</v>
      </c>
      <c r="K212">
        <v>49.259998000000003</v>
      </c>
      <c r="L212">
        <v>45.73</v>
      </c>
      <c r="M212">
        <v>45.950001</v>
      </c>
      <c r="N212">
        <v>32.070484</v>
      </c>
      <c r="O212">
        <v>345381600</v>
      </c>
      <c r="P212">
        <f t="shared" ref="P212:P275" si="1">(N213-N212)/N212</f>
        <v>-5.0489540475909221E-2</v>
      </c>
    </row>
    <row r="213" spans="1:16" x14ac:dyDescent="0.3">
      <c r="A213" s="1">
        <v>39295</v>
      </c>
      <c r="B213">
        <v>28.950001</v>
      </c>
      <c r="C213">
        <v>30.1</v>
      </c>
      <c r="D213">
        <v>27.51</v>
      </c>
      <c r="E213">
        <v>28.73</v>
      </c>
      <c r="F213">
        <v>20.764306999999999</v>
      </c>
      <c r="G213">
        <v>1228579500</v>
      </c>
      <c r="H213">
        <f t="shared" si="0"/>
        <v>2.9003038724095161E-2</v>
      </c>
      <c r="I213" s="1">
        <v>39295</v>
      </c>
      <c r="J213">
        <v>46.049999</v>
      </c>
      <c r="K213">
        <v>48.419998</v>
      </c>
      <c r="L213">
        <v>42.919998</v>
      </c>
      <c r="M213">
        <v>43.630001</v>
      </c>
      <c r="N213">
        <v>30.451260000000001</v>
      </c>
      <c r="O213">
        <v>561399200</v>
      </c>
      <c r="P213">
        <f t="shared" si="1"/>
        <v>5.5062746172078614E-3</v>
      </c>
    </row>
    <row r="214" spans="1:16" x14ac:dyDescent="0.3">
      <c r="A214" s="1">
        <v>39326</v>
      </c>
      <c r="B214">
        <v>28.5</v>
      </c>
      <c r="C214">
        <v>29.85</v>
      </c>
      <c r="D214">
        <v>28.27</v>
      </c>
      <c r="E214">
        <v>29.459999</v>
      </c>
      <c r="F214">
        <v>21.366534999999999</v>
      </c>
      <c r="G214">
        <v>1117419500</v>
      </c>
      <c r="H214">
        <f t="shared" si="0"/>
        <v>0.24949085099666371</v>
      </c>
      <c r="I214" s="1">
        <v>39326</v>
      </c>
      <c r="J214">
        <v>43.509998000000003</v>
      </c>
      <c r="K214">
        <v>45.049999</v>
      </c>
      <c r="L214">
        <v>42.09</v>
      </c>
      <c r="M214">
        <v>43.650002000000001</v>
      </c>
      <c r="N214">
        <v>30.618932999999998</v>
      </c>
      <c r="O214">
        <v>376154000</v>
      </c>
      <c r="P214">
        <f t="shared" si="1"/>
        <v>3.57389984817564E-2</v>
      </c>
    </row>
    <row r="215" spans="1:16" x14ac:dyDescent="0.3">
      <c r="A215" s="1">
        <v>39356</v>
      </c>
      <c r="B215">
        <v>29.459999</v>
      </c>
      <c r="C215">
        <v>37</v>
      </c>
      <c r="D215">
        <v>29.290001</v>
      </c>
      <c r="E215">
        <v>36.810001</v>
      </c>
      <c r="F215">
        <v>26.697289999999999</v>
      </c>
      <c r="G215">
        <v>1772076700</v>
      </c>
      <c r="H215">
        <f t="shared" si="0"/>
        <v>-8.7204244325922178E-2</v>
      </c>
      <c r="I215" s="1">
        <v>39356</v>
      </c>
      <c r="J215">
        <v>43.830002</v>
      </c>
      <c r="K215">
        <v>47.700001</v>
      </c>
      <c r="L215">
        <v>43.27</v>
      </c>
      <c r="M215">
        <v>45.209999000000003</v>
      </c>
      <c r="N215">
        <v>31.713222999999999</v>
      </c>
      <c r="O215">
        <v>437028000</v>
      </c>
      <c r="P215">
        <f t="shared" si="1"/>
        <v>5.9500448756028466E-2</v>
      </c>
    </row>
    <row r="216" spans="1:16" x14ac:dyDescent="0.3">
      <c r="A216" s="1">
        <v>39387</v>
      </c>
      <c r="B216">
        <v>36.529998999999997</v>
      </c>
      <c r="C216">
        <v>37.5</v>
      </c>
      <c r="D216">
        <v>32.68</v>
      </c>
      <c r="E216">
        <v>33.599997999999999</v>
      </c>
      <c r="F216">
        <v>24.369173</v>
      </c>
      <c r="G216">
        <v>1830846800</v>
      </c>
      <c r="H216">
        <f t="shared" si="0"/>
        <v>6.3026923400314072E-2</v>
      </c>
      <c r="I216" s="1">
        <v>39387</v>
      </c>
      <c r="J216">
        <v>44.700001</v>
      </c>
      <c r="K216">
        <v>48.23</v>
      </c>
      <c r="L216">
        <v>42.5</v>
      </c>
      <c r="M216">
        <v>47.900002000000001</v>
      </c>
      <c r="N216">
        <v>33.600174000000003</v>
      </c>
      <c r="O216">
        <v>432340500</v>
      </c>
      <c r="P216">
        <f t="shared" si="1"/>
        <v>-7.7246028547352857E-3</v>
      </c>
    </row>
    <row r="217" spans="1:16" x14ac:dyDescent="0.3">
      <c r="A217" s="1">
        <v>39417</v>
      </c>
      <c r="B217">
        <v>33.5</v>
      </c>
      <c r="C217">
        <v>36.720001000000003</v>
      </c>
      <c r="D217">
        <v>32.630001</v>
      </c>
      <c r="E217">
        <v>35.599997999999999</v>
      </c>
      <c r="F217">
        <v>25.905087000000002</v>
      </c>
      <c r="G217">
        <v>1064817100</v>
      </c>
      <c r="H217">
        <f t="shared" si="0"/>
        <v>-8.426993509035513E-2</v>
      </c>
      <c r="I217" s="1">
        <v>39417</v>
      </c>
      <c r="J217">
        <v>47.709999000000003</v>
      </c>
      <c r="K217">
        <v>50.049999</v>
      </c>
      <c r="L217">
        <v>46.869999</v>
      </c>
      <c r="M217">
        <v>47.529998999999997</v>
      </c>
      <c r="N217">
        <v>33.340626</v>
      </c>
      <c r="O217">
        <v>304526500</v>
      </c>
      <c r="P217">
        <f t="shared" si="1"/>
        <v>7.234801170199992E-2</v>
      </c>
    </row>
    <row r="218" spans="1:16" x14ac:dyDescent="0.3">
      <c r="A218" s="1">
        <v>39448</v>
      </c>
      <c r="B218">
        <v>35.790000999999997</v>
      </c>
      <c r="C218">
        <v>35.959999000000003</v>
      </c>
      <c r="D218">
        <v>31.040001</v>
      </c>
      <c r="E218">
        <v>32.599997999999999</v>
      </c>
      <c r="F218">
        <v>23.722066999999999</v>
      </c>
      <c r="G218">
        <v>1950301600</v>
      </c>
      <c r="H218">
        <f t="shared" si="0"/>
        <v>-0.1656438707470137</v>
      </c>
      <c r="I218" s="1">
        <v>39448</v>
      </c>
      <c r="J218">
        <v>47.41</v>
      </c>
      <c r="K218">
        <v>51.299999</v>
      </c>
      <c r="L218">
        <v>43.110000999999997</v>
      </c>
      <c r="M218">
        <v>50.740001999999997</v>
      </c>
      <c r="N218">
        <v>35.752754000000003</v>
      </c>
      <c r="O218">
        <v>594609500</v>
      </c>
      <c r="P218">
        <f t="shared" si="1"/>
        <v>-2.2664379924411004E-2</v>
      </c>
    </row>
    <row r="219" spans="1:16" x14ac:dyDescent="0.3">
      <c r="A219" s="1">
        <v>39479</v>
      </c>
      <c r="B219">
        <v>31.059999000000001</v>
      </c>
      <c r="C219">
        <v>33.25</v>
      </c>
      <c r="D219">
        <v>27.02</v>
      </c>
      <c r="E219">
        <v>27.200001</v>
      </c>
      <c r="F219">
        <v>19.792652</v>
      </c>
      <c r="G219">
        <v>2324580800</v>
      </c>
      <c r="H219">
        <f t="shared" si="0"/>
        <v>4.7436139431946821E-2</v>
      </c>
      <c r="I219" s="1">
        <v>39479</v>
      </c>
      <c r="J219">
        <v>50.900002000000001</v>
      </c>
      <c r="K219">
        <v>51.57</v>
      </c>
      <c r="L219">
        <v>47.84</v>
      </c>
      <c r="M219">
        <v>49.59</v>
      </c>
      <c r="N219">
        <v>34.942439999999998</v>
      </c>
      <c r="O219">
        <v>476630200</v>
      </c>
      <c r="P219">
        <f t="shared" si="1"/>
        <v>6.2310817447207505E-2</v>
      </c>
    </row>
    <row r="220" spans="1:16" x14ac:dyDescent="0.3">
      <c r="A220" s="1">
        <v>39508</v>
      </c>
      <c r="B220">
        <v>27.24</v>
      </c>
      <c r="C220">
        <v>29.59</v>
      </c>
      <c r="D220">
        <v>26.870000999999998</v>
      </c>
      <c r="E220">
        <v>28.379999000000002</v>
      </c>
      <c r="F220">
        <v>20.731539000000001</v>
      </c>
      <c r="G220">
        <v>1452390200</v>
      </c>
      <c r="H220">
        <f t="shared" si="0"/>
        <v>4.9332565228272611E-3</v>
      </c>
      <c r="I220" s="1">
        <v>39508</v>
      </c>
      <c r="J220">
        <v>49.43</v>
      </c>
      <c r="K220">
        <v>54.150002000000001</v>
      </c>
      <c r="L220">
        <v>48.639999000000003</v>
      </c>
      <c r="M220">
        <v>52.68</v>
      </c>
      <c r="N220">
        <v>37.119731999999999</v>
      </c>
      <c r="O220">
        <v>490180000</v>
      </c>
      <c r="P220">
        <f t="shared" si="1"/>
        <v>0.10584472969794069</v>
      </c>
    </row>
    <row r="221" spans="1:16" x14ac:dyDescent="0.3">
      <c r="A221" s="1">
        <v>39539</v>
      </c>
      <c r="B221">
        <v>28.83</v>
      </c>
      <c r="C221">
        <v>32.099997999999999</v>
      </c>
      <c r="D221">
        <v>27.93</v>
      </c>
      <c r="E221">
        <v>28.52</v>
      </c>
      <c r="F221">
        <v>20.833812999999999</v>
      </c>
      <c r="G221">
        <v>1444720000</v>
      </c>
      <c r="H221">
        <f t="shared" si="0"/>
        <v>-7.0127825376948569E-3</v>
      </c>
      <c r="I221" s="1">
        <v>39539</v>
      </c>
      <c r="J221">
        <v>53.189999</v>
      </c>
      <c r="K221">
        <v>59.040000999999997</v>
      </c>
      <c r="L221">
        <v>52.810001</v>
      </c>
      <c r="M221">
        <v>57.98</v>
      </c>
      <c r="N221">
        <v>41.048659999999998</v>
      </c>
      <c r="O221">
        <v>439232000</v>
      </c>
      <c r="P221">
        <f t="shared" si="1"/>
        <v>-4.1392337776678112E-3</v>
      </c>
    </row>
    <row r="222" spans="1:16" x14ac:dyDescent="0.3">
      <c r="A222" s="1">
        <v>39569</v>
      </c>
      <c r="B222">
        <v>28.5</v>
      </c>
      <c r="C222">
        <v>30.530000999999999</v>
      </c>
      <c r="D222">
        <v>27.950001</v>
      </c>
      <c r="E222">
        <v>28.32</v>
      </c>
      <c r="F222">
        <v>20.687709999999999</v>
      </c>
      <c r="G222">
        <v>1405170200</v>
      </c>
      <c r="H222">
        <f t="shared" si="0"/>
        <v>-2.5025389470366637E-2</v>
      </c>
      <c r="I222" s="1">
        <v>39569</v>
      </c>
      <c r="J222">
        <v>58.200001</v>
      </c>
      <c r="K222">
        <v>59.09</v>
      </c>
      <c r="L222">
        <v>55.049999</v>
      </c>
      <c r="M222">
        <v>57.740001999999997</v>
      </c>
      <c r="N222">
        <v>40.878749999999997</v>
      </c>
      <c r="O222">
        <v>392991100</v>
      </c>
      <c r="P222">
        <f t="shared" si="1"/>
        <v>-2.2565073540653607E-2</v>
      </c>
    </row>
    <row r="223" spans="1:16" x14ac:dyDescent="0.3">
      <c r="A223" s="1">
        <v>39600</v>
      </c>
      <c r="B223">
        <v>28.24</v>
      </c>
      <c r="C223">
        <v>29.57</v>
      </c>
      <c r="D223">
        <v>27.110001</v>
      </c>
      <c r="E223">
        <v>27.51</v>
      </c>
      <c r="F223">
        <v>20.169992000000001</v>
      </c>
      <c r="G223">
        <v>1560439100</v>
      </c>
      <c r="H223">
        <f t="shared" si="0"/>
        <v>-6.5067056050394187E-2</v>
      </c>
      <c r="I223" s="1">
        <v>39600</v>
      </c>
      <c r="J223">
        <v>57.41</v>
      </c>
      <c r="K223">
        <v>59.950001</v>
      </c>
      <c r="L223">
        <v>55.849997999999999</v>
      </c>
      <c r="M223">
        <v>56.200001</v>
      </c>
      <c r="N223">
        <v>39.956318000000003</v>
      </c>
      <c r="O223">
        <v>443348300</v>
      </c>
      <c r="P223">
        <f t="shared" si="1"/>
        <v>4.3060874628137652E-2</v>
      </c>
    </row>
    <row r="224" spans="1:16" x14ac:dyDescent="0.3">
      <c r="A224" s="1">
        <v>39630</v>
      </c>
      <c r="B224">
        <v>27.27</v>
      </c>
      <c r="C224">
        <v>27.91</v>
      </c>
      <c r="D224">
        <v>24.870000999999998</v>
      </c>
      <c r="E224">
        <v>25.719999000000001</v>
      </c>
      <c r="F224">
        <v>18.857589999999998</v>
      </c>
      <c r="G224">
        <v>1637501300</v>
      </c>
      <c r="H224">
        <f t="shared" si="0"/>
        <v>6.1041522272994732E-2</v>
      </c>
      <c r="I224" s="1">
        <v>39630</v>
      </c>
      <c r="J224">
        <v>56</v>
      </c>
      <c r="K224">
        <v>59.560001</v>
      </c>
      <c r="L224">
        <v>55.34</v>
      </c>
      <c r="M224">
        <v>58.619999</v>
      </c>
      <c r="N224">
        <v>41.676872000000003</v>
      </c>
      <c r="O224">
        <v>495577900</v>
      </c>
      <c r="P224">
        <f t="shared" si="1"/>
        <v>7.6766557720550129E-3</v>
      </c>
    </row>
    <row r="225" spans="1:16" x14ac:dyDescent="0.3">
      <c r="A225" s="1">
        <v>39661</v>
      </c>
      <c r="B225">
        <v>25.92</v>
      </c>
      <c r="C225">
        <v>28.5</v>
      </c>
      <c r="D225">
        <v>25.07</v>
      </c>
      <c r="E225">
        <v>27.290001</v>
      </c>
      <c r="F225">
        <v>20.008686000000001</v>
      </c>
      <c r="G225">
        <v>1206949700</v>
      </c>
      <c r="H225">
        <f t="shared" si="0"/>
        <v>-1.8085445491023203E-2</v>
      </c>
      <c r="I225" s="1">
        <v>39661</v>
      </c>
      <c r="J225">
        <v>58.75</v>
      </c>
      <c r="K225">
        <v>61</v>
      </c>
      <c r="L225">
        <v>56.810001</v>
      </c>
      <c r="M225">
        <v>59.07</v>
      </c>
      <c r="N225">
        <v>41.996811000000001</v>
      </c>
      <c r="O225">
        <v>395839100</v>
      </c>
      <c r="P225">
        <f t="shared" si="1"/>
        <v>1.7970864502069014E-2</v>
      </c>
    </row>
    <row r="226" spans="1:16" x14ac:dyDescent="0.3">
      <c r="A226" s="1">
        <v>39692</v>
      </c>
      <c r="B226">
        <v>27.67</v>
      </c>
      <c r="C226">
        <v>27.76</v>
      </c>
      <c r="D226">
        <v>23.5</v>
      </c>
      <c r="E226">
        <v>26.690000999999999</v>
      </c>
      <c r="F226">
        <v>19.646820000000002</v>
      </c>
      <c r="G226">
        <v>1927538700</v>
      </c>
      <c r="H226">
        <f t="shared" si="0"/>
        <v>-0.16335661445465485</v>
      </c>
      <c r="I226" s="1">
        <v>39692</v>
      </c>
      <c r="J226">
        <v>59.900002000000001</v>
      </c>
      <c r="K226">
        <v>63.849997999999999</v>
      </c>
      <c r="L226">
        <v>57.740001999999997</v>
      </c>
      <c r="M226">
        <v>59.889999000000003</v>
      </c>
      <c r="N226">
        <v>42.751530000000002</v>
      </c>
      <c r="O226">
        <v>560153900</v>
      </c>
      <c r="P226">
        <f t="shared" si="1"/>
        <v>-6.8124860092726641E-2</v>
      </c>
    </row>
    <row r="227" spans="1:16" x14ac:dyDescent="0.3">
      <c r="A227" s="1">
        <v>39722</v>
      </c>
      <c r="B227">
        <v>26.379999000000002</v>
      </c>
      <c r="C227">
        <v>27.469999000000001</v>
      </c>
      <c r="D227">
        <v>20.65</v>
      </c>
      <c r="E227">
        <v>22.33</v>
      </c>
      <c r="F227">
        <v>16.437381999999999</v>
      </c>
      <c r="G227">
        <v>3044579400</v>
      </c>
      <c r="H227">
        <f t="shared" si="0"/>
        <v>-9.4492176430528846E-2</v>
      </c>
      <c r="I227" s="1">
        <v>39722</v>
      </c>
      <c r="J227">
        <v>59.509998000000003</v>
      </c>
      <c r="K227">
        <v>60.299999</v>
      </c>
      <c r="L227">
        <v>47.400002000000001</v>
      </c>
      <c r="M227">
        <v>55.810001</v>
      </c>
      <c r="N227">
        <v>39.839087999999997</v>
      </c>
      <c r="O227">
        <v>748361300</v>
      </c>
      <c r="P227">
        <f t="shared" si="1"/>
        <v>1.2540949732584425E-3</v>
      </c>
    </row>
    <row r="228" spans="1:16" x14ac:dyDescent="0.3">
      <c r="A228" s="1">
        <v>39753</v>
      </c>
      <c r="B228">
        <v>22.48</v>
      </c>
      <c r="C228">
        <v>23.66</v>
      </c>
      <c r="D228">
        <v>17.5</v>
      </c>
      <c r="E228">
        <v>20.219999000000001</v>
      </c>
      <c r="F228">
        <v>14.884178</v>
      </c>
      <c r="G228">
        <v>1794911800</v>
      </c>
      <c r="H228">
        <f t="shared" si="0"/>
        <v>-3.2061898211644679E-2</v>
      </c>
      <c r="I228" s="1">
        <v>39753</v>
      </c>
      <c r="J228">
        <v>56.759998000000003</v>
      </c>
      <c r="K228">
        <v>57.25</v>
      </c>
      <c r="L228">
        <v>50.200001</v>
      </c>
      <c r="M228">
        <v>55.880001</v>
      </c>
      <c r="N228">
        <v>39.889049999999997</v>
      </c>
      <c r="O228">
        <v>514798100</v>
      </c>
      <c r="P228">
        <f t="shared" si="1"/>
        <v>3.2209842049385814E-3</v>
      </c>
    </row>
    <row r="229" spans="1:16" x14ac:dyDescent="0.3">
      <c r="A229" s="1">
        <v>39783</v>
      </c>
      <c r="B229">
        <v>19.879999000000002</v>
      </c>
      <c r="C229">
        <v>21.25</v>
      </c>
      <c r="D229">
        <v>18.469999000000001</v>
      </c>
      <c r="E229">
        <v>19.440000999999999</v>
      </c>
      <c r="F229">
        <v>14.406962999999999</v>
      </c>
      <c r="G229">
        <v>1546943400</v>
      </c>
      <c r="H229">
        <f t="shared" si="0"/>
        <v>-0.12037096229094213</v>
      </c>
      <c r="I229" s="1">
        <v>39783</v>
      </c>
      <c r="J229">
        <v>55.369999</v>
      </c>
      <c r="K229">
        <v>59.23</v>
      </c>
      <c r="L229">
        <v>52.220001000000003</v>
      </c>
      <c r="M229">
        <v>56.060001</v>
      </c>
      <c r="N229">
        <v>40.017532000000003</v>
      </c>
      <c r="O229">
        <v>469411500</v>
      </c>
      <c r="P229">
        <f t="shared" si="1"/>
        <v>-0.1558357971701004</v>
      </c>
    </row>
    <row r="230" spans="1:16" x14ac:dyDescent="0.3">
      <c r="A230" s="1">
        <v>39814</v>
      </c>
      <c r="B230">
        <v>19.530000999999999</v>
      </c>
      <c r="C230">
        <v>21</v>
      </c>
      <c r="D230">
        <v>16.75</v>
      </c>
      <c r="E230">
        <v>17.100000000000001</v>
      </c>
      <c r="F230">
        <v>12.672783000000001</v>
      </c>
      <c r="G230">
        <v>1564043400</v>
      </c>
      <c r="H230">
        <f t="shared" si="0"/>
        <v>-5.5555516100922769E-2</v>
      </c>
      <c r="I230" s="1">
        <v>39814</v>
      </c>
      <c r="J230">
        <v>55.98</v>
      </c>
      <c r="K230">
        <v>57.509998000000003</v>
      </c>
      <c r="L230">
        <v>46.919998</v>
      </c>
      <c r="M230">
        <v>47.119999</v>
      </c>
      <c r="N230">
        <v>33.781368000000001</v>
      </c>
      <c r="O230">
        <v>518547200</v>
      </c>
      <c r="P230">
        <f t="shared" si="1"/>
        <v>4.4992079657638517E-2</v>
      </c>
    </row>
    <row r="231" spans="1:16" x14ac:dyDescent="0.3">
      <c r="A231" s="1">
        <v>39845</v>
      </c>
      <c r="B231">
        <v>17.030000999999999</v>
      </c>
      <c r="C231">
        <v>19.93</v>
      </c>
      <c r="D231">
        <v>16.100000000000001</v>
      </c>
      <c r="E231">
        <v>16.149999999999999</v>
      </c>
      <c r="F231">
        <v>11.96874</v>
      </c>
      <c r="G231">
        <v>1456213400</v>
      </c>
      <c r="H231">
        <f t="shared" si="0"/>
        <v>0.14525998559581038</v>
      </c>
      <c r="I231" s="1">
        <v>39845</v>
      </c>
      <c r="J231">
        <v>46.57</v>
      </c>
      <c r="K231">
        <v>50.669998</v>
      </c>
      <c r="L231">
        <v>46.25</v>
      </c>
      <c r="M231">
        <v>49.240001999999997</v>
      </c>
      <c r="N231">
        <v>35.301262000000001</v>
      </c>
      <c r="O231">
        <v>509033200</v>
      </c>
      <c r="P231">
        <f t="shared" si="1"/>
        <v>5.8082796020153586E-2</v>
      </c>
    </row>
    <row r="232" spans="1:16" x14ac:dyDescent="0.3">
      <c r="A232" s="1">
        <v>39873</v>
      </c>
      <c r="B232">
        <v>15.96</v>
      </c>
      <c r="C232">
        <v>18.879999000000002</v>
      </c>
      <c r="D232">
        <v>14.87</v>
      </c>
      <c r="E232">
        <v>18.370000999999998</v>
      </c>
      <c r="F232">
        <v>13.707319</v>
      </c>
      <c r="G232">
        <v>1625752800</v>
      </c>
      <c r="H232">
        <f t="shared" si="0"/>
        <v>0.10288554603566168</v>
      </c>
      <c r="I232" s="1">
        <v>39873</v>
      </c>
      <c r="J232">
        <v>48.810001</v>
      </c>
      <c r="K232">
        <v>53</v>
      </c>
      <c r="L232">
        <v>47</v>
      </c>
      <c r="M232">
        <v>52.099997999999999</v>
      </c>
      <c r="N232">
        <v>37.351658</v>
      </c>
      <c r="O232">
        <v>545295500</v>
      </c>
      <c r="P232">
        <f t="shared" si="1"/>
        <v>-2.7172823225143014E-2</v>
      </c>
    </row>
    <row r="233" spans="1:16" x14ac:dyDescent="0.3">
      <c r="A233" s="1">
        <v>39904</v>
      </c>
      <c r="B233">
        <v>18.23</v>
      </c>
      <c r="C233">
        <v>21.200001</v>
      </c>
      <c r="D233">
        <v>18.18</v>
      </c>
      <c r="E233">
        <v>20.260000000000002</v>
      </c>
      <c r="F233">
        <v>15.117604</v>
      </c>
      <c r="G233">
        <v>1562400700</v>
      </c>
      <c r="H233">
        <f t="shared" si="0"/>
        <v>3.1095602186695725E-2</v>
      </c>
      <c r="I233" s="1">
        <v>39904</v>
      </c>
      <c r="J233">
        <v>51.380001</v>
      </c>
      <c r="K233">
        <v>54.57</v>
      </c>
      <c r="L233">
        <v>47.639999000000003</v>
      </c>
      <c r="M233">
        <v>50.400002000000001</v>
      </c>
      <c r="N233">
        <v>36.336708000000002</v>
      </c>
      <c r="O233">
        <v>450522100</v>
      </c>
      <c r="P233">
        <f t="shared" si="1"/>
        <v>-1.3095022256831906E-2</v>
      </c>
    </row>
    <row r="234" spans="1:16" x14ac:dyDescent="0.3">
      <c r="A234" s="1">
        <v>39934</v>
      </c>
      <c r="B234">
        <v>20.190000999999999</v>
      </c>
      <c r="C234">
        <v>20.940000999999999</v>
      </c>
      <c r="D234">
        <v>19.010000000000002</v>
      </c>
      <c r="E234">
        <v>20.889999</v>
      </c>
      <c r="F234">
        <v>15.587695</v>
      </c>
      <c r="G234">
        <v>1101122400</v>
      </c>
      <c r="H234">
        <f t="shared" si="0"/>
        <v>0.14509124023789285</v>
      </c>
      <c r="I234" s="1">
        <v>39934</v>
      </c>
      <c r="J234">
        <v>50.5</v>
      </c>
      <c r="K234">
        <v>51.380001</v>
      </c>
      <c r="L234">
        <v>48.119999</v>
      </c>
      <c r="M234">
        <v>49.740001999999997</v>
      </c>
      <c r="N234">
        <v>35.860878</v>
      </c>
      <c r="O234">
        <v>377048900</v>
      </c>
      <c r="P234">
        <f t="shared" si="1"/>
        <v>-2.0884681072225755E-2</v>
      </c>
    </row>
    <row r="235" spans="1:16" x14ac:dyDescent="0.3">
      <c r="A235" s="1">
        <v>39965</v>
      </c>
      <c r="B235">
        <v>21</v>
      </c>
      <c r="C235">
        <v>24.34</v>
      </c>
      <c r="D235">
        <v>20.860001</v>
      </c>
      <c r="E235">
        <v>23.77</v>
      </c>
      <c r="F235">
        <v>17.849333000000001</v>
      </c>
      <c r="G235">
        <v>1411144700</v>
      </c>
      <c r="H235">
        <f t="shared" si="0"/>
        <v>-1.0517311767336203E-2</v>
      </c>
      <c r="I235" s="1">
        <v>39965</v>
      </c>
      <c r="J235">
        <v>50.18</v>
      </c>
      <c r="K235">
        <v>51.75</v>
      </c>
      <c r="L235">
        <v>48.02</v>
      </c>
      <c r="M235">
        <v>48.439999</v>
      </c>
      <c r="N235">
        <v>35.111935000000003</v>
      </c>
      <c r="O235">
        <v>417698500</v>
      </c>
      <c r="P235">
        <f t="shared" si="1"/>
        <v>2.9727470160787112E-2</v>
      </c>
    </row>
    <row r="236" spans="1:16" x14ac:dyDescent="0.3">
      <c r="A236" s="1">
        <v>39995</v>
      </c>
      <c r="B236">
        <v>24.049999</v>
      </c>
      <c r="C236">
        <v>25.719999000000001</v>
      </c>
      <c r="D236">
        <v>22</v>
      </c>
      <c r="E236">
        <v>23.52</v>
      </c>
      <c r="F236">
        <v>17.661605999999999</v>
      </c>
      <c r="G236">
        <v>1517459800</v>
      </c>
      <c r="H236">
        <f t="shared" si="0"/>
        <v>4.8044271851608651E-2</v>
      </c>
      <c r="I236" s="1">
        <v>39995</v>
      </c>
      <c r="J236">
        <v>48.549999</v>
      </c>
      <c r="K236">
        <v>50.43</v>
      </c>
      <c r="L236">
        <v>47.349997999999999</v>
      </c>
      <c r="M236">
        <v>49.880001</v>
      </c>
      <c r="N236">
        <v>36.155723999999999</v>
      </c>
      <c r="O236">
        <v>369068900</v>
      </c>
      <c r="P236">
        <f t="shared" si="1"/>
        <v>1.9847839307546435E-2</v>
      </c>
    </row>
    <row r="237" spans="1:16" x14ac:dyDescent="0.3">
      <c r="A237" s="1">
        <v>40026</v>
      </c>
      <c r="B237">
        <v>23.82</v>
      </c>
      <c r="C237">
        <v>25.49</v>
      </c>
      <c r="D237">
        <v>23.030000999999999</v>
      </c>
      <c r="E237">
        <v>24.65</v>
      </c>
      <c r="F237">
        <v>18.510145000000001</v>
      </c>
      <c r="G237">
        <v>993250400</v>
      </c>
      <c r="H237">
        <f t="shared" si="0"/>
        <v>4.9274762569390951E-2</v>
      </c>
      <c r="I237" s="1">
        <v>40026</v>
      </c>
      <c r="J237">
        <v>50.220001000000003</v>
      </c>
      <c r="K237">
        <v>52.560001</v>
      </c>
      <c r="L237">
        <v>48.75</v>
      </c>
      <c r="M237">
        <v>50.869999</v>
      </c>
      <c r="N237">
        <v>36.873336999999999</v>
      </c>
      <c r="O237">
        <v>344252000</v>
      </c>
      <c r="P237">
        <f t="shared" si="1"/>
        <v>-2.9697420659269242E-2</v>
      </c>
    </row>
    <row r="238" spans="1:16" x14ac:dyDescent="0.3">
      <c r="A238" s="1">
        <v>40057</v>
      </c>
      <c r="B238">
        <v>24.35</v>
      </c>
      <c r="C238">
        <v>26.25</v>
      </c>
      <c r="D238">
        <v>23.76</v>
      </c>
      <c r="E238">
        <v>25.719999000000001</v>
      </c>
      <c r="F238">
        <v>19.422228</v>
      </c>
      <c r="G238">
        <v>1038979700</v>
      </c>
      <c r="H238">
        <f t="shared" si="0"/>
        <v>7.8149324578004151E-2</v>
      </c>
      <c r="I238" s="1">
        <v>40057</v>
      </c>
      <c r="J238">
        <v>50.810001</v>
      </c>
      <c r="K238">
        <v>52.099997999999999</v>
      </c>
      <c r="L238">
        <v>48.73</v>
      </c>
      <c r="M238">
        <v>49.09</v>
      </c>
      <c r="N238">
        <v>35.778294000000002</v>
      </c>
      <c r="O238">
        <v>375673300</v>
      </c>
      <c r="P238">
        <f t="shared" si="1"/>
        <v>1.2018571930791241E-2</v>
      </c>
    </row>
    <row r="239" spans="1:16" x14ac:dyDescent="0.3">
      <c r="A239" s="1">
        <v>40087</v>
      </c>
      <c r="B239">
        <v>25.41</v>
      </c>
      <c r="C239">
        <v>29.35</v>
      </c>
      <c r="D239">
        <v>24.43</v>
      </c>
      <c r="E239">
        <v>27.73</v>
      </c>
      <c r="F239">
        <v>20.940062000000001</v>
      </c>
      <c r="G239">
        <v>1523430100</v>
      </c>
      <c r="H239">
        <f t="shared" si="0"/>
        <v>6.0584061307936844E-2</v>
      </c>
      <c r="I239" s="1">
        <v>40087</v>
      </c>
      <c r="J239">
        <v>49.07</v>
      </c>
      <c r="K239">
        <v>52</v>
      </c>
      <c r="L239">
        <v>48.73</v>
      </c>
      <c r="M239">
        <v>49.68</v>
      </c>
      <c r="N239">
        <v>36.208297999999999</v>
      </c>
      <c r="O239">
        <v>374017800</v>
      </c>
      <c r="P239">
        <f t="shared" si="1"/>
        <v>9.8026949513064607E-2</v>
      </c>
    </row>
    <row r="240" spans="1:16" x14ac:dyDescent="0.3">
      <c r="A240" s="1">
        <v>40118</v>
      </c>
      <c r="B240">
        <v>27.700001</v>
      </c>
      <c r="C240">
        <v>30.139999</v>
      </c>
      <c r="D240">
        <v>27.41</v>
      </c>
      <c r="E240">
        <v>29.41</v>
      </c>
      <c r="F240">
        <v>22.208696</v>
      </c>
      <c r="G240">
        <v>1018256700</v>
      </c>
      <c r="H240">
        <f t="shared" si="0"/>
        <v>4.0962918309116358E-2</v>
      </c>
      <c r="I240" s="1">
        <v>40118</v>
      </c>
      <c r="J240">
        <v>49.810001</v>
      </c>
      <c r="K240">
        <v>55.09</v>
      </c>
      <c r="L240">
        <v>49.52</v>
      </c>
      <c r="M240">
        <v>54.549999</v>
      </c>
      <c r="N240">
        <v>39.757686999999997</v>
      </c>
      <c r="O240">
        <v>306009700</v>
      </c>
      <c r="P240">
        <f t="shared" si="1"/>
        <v>-2.0164955773206698E-2</v>
      </c>
    </row>
    <row r="241" spans="1:16" x14ac:dyDescent="0.3">
      <c r="A241" s="1">
        <v>40148</v>
      </c>
      <c r="B241">
        <v>29.52</v>
      </c>
      <c r="C241">
        <v>31.5</v>
      </c>
      <c r="D241">
        <v>29.25</v>
      </c>
      <c r="E241">
        <v>30.48</v>
      </c>
      <c r="F241">
        <v>23.118428999999999</v>
      </c>
      <c r="G241">
        <v>920605500</v>
      </c>
      <c r="H241">
        <f t="shared" si="0"/>
        <v>-7.5458976905394326E-2</v>
      </c>
      <c r="I241" s="1">
        <v>40148</v>
      </c>
      <c r="J241">
        <v>54.849997999999999</v>
      </c>
      <c r="K241">
        <v>55.080002</v>
      </c>
      <c r="L241">
        <v>52.310001</v>
      </c>
      <c r="M241">
        <v>53.450001</v>
      </c>
      <c r="N241">
        <v>38.955975000000002</v>
      </c>
      <c r="O241">
        <v>264681300</v>
      </c>
      <c r="P241">
        <f t="shared" si="1"/>
        <v>4.6670119282086154E-3</v>
      </c>
    </row>
    <row r="242" spans="1:16" x14ac:dyDescent="0.3">
      <c r="A242" s="1">
        <v>40179</v>
      </c>
      <c r="B242">
        <v>30.620000999999998</v>
      </c>
      <c r="C242">
        <v>31.24</v>
      </c>
      <c r="D242">
        <v>27.66</v>
      </c>
      <c r="E242">
        <v>28.18</v>
      </c>
      <c r="F242">
        <v>21.373936</v>
      </c>
      <c r="G242">
        <v>1359650900</v>
      </c>
      <c r="H242">
        <f t="shared" si="0"/>
        <v>1.738790646701667E-2</v>
      </c>
      <c r="I242" s="1">
        <v>40179</v>
      </c>
      <c r="J242">
        <v>53.740001999999997</v>
      </c>
      <c r="K242">
        <v>55.200001</v>
      </c>
      <c r="L242">
        <v>52.509998000000003</v>
      </c>
      <c r="M242">
        <v>53.43</v>
      </c>
      <c r="N242">
        <v>39.137782999999999</v>
      </c>
      <c r="O242">
        <v>291591500</v>
      </c>
      <c r="P242">
        <f t="shared" si="1"/>
        <v>1.1977990679748021E-2</v>
      </c>
    </row>
    <row r="243" spans="1:16" x14ac:dyDescent="0.3">
      <c r="A243" s="1">
        <v>40210</v>
      </c>
      <c r="B243">
        <v>28.389999</v>
      </c>
      <c r="C243">
        <v>29.030000999999999</v>
      </c>
      <c r="D243">
        <v>27.57</v>
      </c>
      <c r="E243">
        <v>28.67</v>
      </c>
      <c r="F243">
        <v>21.745584000000001</v>
      </c>
      <c r="G243">
        <v>1074643300</v>
      </c>
      <c r="H243">
        <f t="shared" si="0"/>
        <v>2.6402923922392699E-2</v>
      </c>
      <c r="I243" s="1">
        <v>40210</v>
      </c>
      <c r="J243">
        <v>53.619999</v>
      </c>
      <c r="K243">
        <v>54.5</v>
      </c>
      <c r="L243">
        <v>52.66</v>
      </c>
      <c r="M243">
        <v>54.07</v>
      </c>
      <c r="N243">
        <v>39.606574999999999</v>
      </c>
      <c r="O243">
        <v>278505000</v>
      </c>
      <c r="P243">
        <f t="shared" si="1"/>
        <v>2.8296589644522387E-2</v>
      </c>
    </row>
    <row r="244" spans="1:16" x14ac:dyDescent="0.3">
      <c r="A244" s="1">
        <v>40238</v>
      </c>
      <c r="B244">
        <v>28.77</v>
      </c>
      <c r="C244">
        <v>30.57</v>
      </c>
      <c r="D244">
        <v>28.24</v>
      </c>
      <c r="E244">
        <v>29.290001</v>
      </c>
      <c r="F244">
        <v>22.319731000000001</v>
      </c>
      <c r="G244">
        <v>1110237200</v>
      </c>
      <c r="H244">
        <f t="shared" si="0"/>
        <v>4.2676589605851405E-2</v>
      </c>
      <c r="I244" s="1">
        <v>40238</v>
      </c>
      <c r="J244">
        <v>54.040000999999997</v>
      </c>
      <c r="K244">
        <v>56.27</v>
      </c>
      <c r="L244">
        <v>53.150002000000001</v>
      </c>
      <c r="M244">
        <v>55.599997999999999</v>
      </c>
      <c r="N244">
        <v>40.727305999999999</v>
      </c>
      <c r="O244">
        <v>270764400</v>
      </c>
      <c r="P244">
        <f t="shared" si="1"/>
        <v>-2.9813732339674031E-2</v>
      </c>
    </row>
    <row r="245" spans="1:16" x14ac:dyDescent="0.3">
      <c r="A245" s="1">
        <v>40269</v>
      </c>
      <c r="B245">
        <v>29.35</v>
      </c>
      <c r="C245">
        <v>31.58</v>
      </c>
      <c r="D245">
        <v>28.620000999999998</v>
      </c>
      <c r="E245">
        <v>30.540001</v>
      </c>
      <c r="F245">
        <v>23.272261</v>
      </c>
      <c r="G245">
        <v>1319029500</v>
      </c>
      <c r="H245">
        <f t="shared" si="0"/>
        <v>-0.15520606270271725</v>
      </c>
      <c r="I245" s="1">
        <v>40269</v>
      </c>
      <c r="J245">
        <v>55.75</v>
      </c>
      <c r="K245">
        <v>55.900002000000001</v>
      </c>
      <c r="L245">
        <v>53.52</v>
      </c>
      <c r="M245">
        <v>53.639999000000003</v>
      </c>
      <c r="N245">
        <v>39.513072999999999</v>
      </c>
      <c r="O245">
        <v>282951100</v>
      </c>
      <c r="P245">
        <f t="shared" si="1"/>
        <v>-5.7419806351179034E-2</v>
      </c>
    </row>
    <row r="246" spans="1:16" x14ac:dyDescent="0.3">
      <c r="A246" s="1">
        <v>40299</v>
      </c>
      <c r="B246">
        <v>30.67</v>
      </c>
      <c r="C246">
        <v>31.059999000000001</v>
      </c>
      <c r="D246">
        <v>24.559999000000001</v>
      </c>
      <c r="E246">
        <v>25.799999</v>
      </c>
      <c r="F246">
        <v>19.660264999999999</v>
      </c>
      <c r="G246">
        <v>1720130200</v>
      </c>
      <c r="H246">
        <f t="shared" si="0"/>
        <v>-0.10411507678050116</v>
      </c>
      <c r="I246" s="1">
        <v>40299</v>
      </c>
      <c r="J246">
        <v>53.880001</v>
      </c>
      <c r="K246">
        <v>54.950001</v>
      </c>
      <c r="L246">
        <v>50</v>
      </c>
      <c r="M246">
        <v>50.560001</v>
      </c>
      <c r="N246">
        <v>37.244239999999998</v>
      </c>
      <c r="O246">
        <v>398119000</v>
      </c>
      <c r="P246">
        <f t="shared" si="1"/>
        <v>-4.3725043120761614E-2</v>
      </c>
    </row>
    <row r="247" spans="1:16" x14ac:dyDescent="0.3">
      <c r="A247" s="1">
        <v>40330</v>
      </c>
      <c r="B247">
        <v>25.530000999999999</v>
      </c>
      <c r="C247">
        <v>26.93</v>
      </c>
      <c r="D247">
        <v>22.950001</v>
      </c>
      <c r="E247">
        <v>23.01</v>
      </c>
      <c r="F247">
        <v>17.613334999999999</v>
      </c>
      <c r="G247">
        <v>1671811600</v>
      </c>
      <c r="H247">
        <f t="shared" si="0"/>
        <v>0.12168592716825076</v>
      </c>
      <c r="I247" s="1">
        <v>40330</v>
      </c>
      <c r="J247">
        <v>50.799999</v>
      </c>
      <c r="K247">
        <v>52.080002</v>
      </c>
      <c r="L247">
        <v>48.009998000000003</v>
      </c>
      <c r="M247">
        <v>48.07</v>
      </c>
      <c r="N247">
        <v>35.615734000000003</v>
      </c>
      <c r="O247">
        <v>390548500</v>
      </c>
      <c r="P247">
        <f t="shared" si="1"/>
        <v>6.4905387040458007E-2</v>
      </c>
    </row>
    <row r="248" spans="1:16" x14ac:dyDescent="0.3">
      <c r="A248" s="1">
        <v>40360</v>
      </c>
      <c r="B248">
        <v>23.09</v>
      </c>
      <c r="C248">
        <v>26.41</v>
      </c>
      <c r="D248">
        <v>22.73</v>
      </c>
      <c r="E248">
        <v>25.809999000000001</v>
      </c>
      <c r="F248">
        <v>19.756630000000001</v>
      </c>
      <c r="G248">
        <v>1408590600</v>
      </c>
      <c r="H248">
        <f t="shared" si="0"/>
        <v>-9.0662678807063898E-2</v>
      </c>
      <c r="I248" s="1">
        <v>40360</v>
      </c>
      <c r="J248">
        <v>48.099997999999999</v>
      </c>
      <c r="K248">
        <v>51.810001</v>
      </c>
      <c r="L248">
        <v>47.77</v>
      </c>
      <c r="M248">
        <v>51.189999</v>
      </c>
      <c r="N248">
        <v>37.927387000000003</v>
      </c>
      <c r="O248">
        <v>280340800</v>
      </c>
      <c r="P248">
        <f t="shared" si="1"/>
        <v>-2.051195881224303E-2</v>
      </c>
    </row>
    <row r="249" spans="1:16" x14ac:dyDescent="0.3">
      <c r="A249" s="1">
        <v>40391</v>
      </c>
      <c r="B249">
        <v>25.99</v>
      </c>
      <c r="C249">
        <v>26.379999000000002</v>
      </c>
      <c r="D249">
        <v>23.32</v>
      </c>
      <c r="E249">
        <v>23.469999000000001</v>
      </c>
      <c r="F249">
        <v>17.965440999999998</v>
      </c>
      <c r="G249">
        <v>1279372100</v>
      </c>
      <c r="H249">
        <f t="shared" si="0"/>
        <v>4.9026071778588677E-2</v>
      </c>
      <c r="I249" s="1">
        <v>40391</v>
      </c>
      <c r="J249">
        <v>51.549999</v>
      </c>
      <c r="K249">
        <v>52.48</v>
      </c>
      <c r="L249">
        <v>50</v>
      </c>
      <c r="M249">
        <v>50.139999000000003</v>
      </c>
      <c r="N249">
        <v>37.149422000000001</v>
      </c>
      <c r="O249">
        <v>272559100</v>
      </c>
      <c r="P249">
        <f t="shared" si="1"/>
        <v>7.3640903484312653E-2</v>
      </c>
    </row>
    <row r="250" spans="1:16" x14ac:dyDescent="0.3">
      <c r="A250" s="1">
        <v>40422</v>
      </c>
      <c r="B250">
        <v>23.67</v>
      </c>
      <c r="C250">
        <v>25.530000999999999</v>
      </c>
      <c r="D250">
        <v>23.540001</v>
      </c>
      <c r="E250">
        <v>24.49</v>
      </c>
      <c r="F250">
        <v>18.846215999999998</v>
      </c>
      <c r="G250">
        <v>1273139500</v>
      </c>
      <c r="H250">
        <f t="shared" si="0"/>
        <v>8.9015800307075038E-2</v>
      </c>
      <c r="I250" s="1">
        <v>40422</v>
      </c>
      <c r="J250">
        <v>50.490001999999997</v>
      </c>
      <c r="K250">
        <v>54.389999000000003</v>
      </c>
      <c r="L250">
        <v>50.459999000000003</v>
      </c>
      <c r="M250">
        <v>53.52</v>
      </c>
      <c r="N250">
        <v>39.885139000000002</v>
      </c>
      <c r="O250">
        <v>216284000</v>
      </c>
      <c r="P250">
        <f t="shared" si="1"/>
        <v>1.2145225318131673E-2</v>
      </c>
    </row>
    <row r="251" spans="1:16" x14ac:dyDescent="0.3">
      <c r="A251" s="1">
        <v>40452</v>
      </c>
      <c r="B251">
        <v>24.77</v>
      </c>
      <c r="C251">
        <v>27.200001</v>
      </c>
      <c r="D251">
        <v>23.780000999999999</v>
      </c>
      <c r="E251">
        <v>26.67</v>
      </c>
      <c r="F251">
        <v>20.523827000000001</v>
      </c>
      <c r="G251">
        <v>1281432800</v>
      </c>
      <c r="H251">
        <f t="shared" si="0"/>
        <v>-5.2868258926563799E-2</v>
      </c>
      <c r="I251" s="1">
        <v>40452</v>
      </c>
      <c r="J251">
        <v>53.599997999999999</v>
      </c>
      <c r="K251">
        <v>54.82</v>
      </c>
      <c r="L251">
        <v>52.93</v>
      </c>
      <c r="M251">
        <v>54.169998</v>
      </c>
      <c r="N251">
        <v>40.369553000000003</v>
      </c>
      <c r="O251">
        <v>208445100</v>
      </c>
      <c r="P251">
        <f t="shared" si="1"/>
        <v>-1.4771528433817577E-3</v>
      </c>
    </row>
    <row r="252" spans="1:16" x14ac:dyDescent="0.3">
      <c r="A252" s="1">
        <v>40483</v>
      </c>
      <c r="B252">
        <v>26.879999000000002</v>
      </c>
      <c r="C252">
        <v>28.870000999999998</v>
      </c>
      <c r="D252">
        <v>24.93</v>
      </c>
      <c r="E252">
        <v>25.26</v>
      </c>
      <c r="F252">
        <v>19.438768</v>
      </c>
      <c r="G252">
        <v>1361176300</v>
      </c>
      <c r="H252">
        <f t="shared" si="0"/>
        <v>0.11169807675054301</v>
      </c>
      <c r="I252" s="1">
        <v>40483</v>
      </c>
      <c r="J252">
        <v>54.049999</v>
      </c>
      <c r="K252">
        <v>55.720001000000003</v>
      </c>
      <c r="L252">
        <v>53.43</v>
      </c>
      <c r="M252">
        <v>54.09</v>
      </c>
      <c r="N252">
        <v>40.309921000000003</v>
      </c>
      <c r="O252">
        <v>241802400</v>
      </c>
      <c r="P252">
        <f t="shared" si="1"/>
        <v>-2.9580807166554577E-3</v>
      </c>
    </row>
    <row r="253" spans="1:16" x14ac:dyDescent="0.3">
      <c r="A253" s="1">
        <v>40513</v>
      </c>
      <c r="B253">
        <v>25.57</v>
      </c>
      <c r="C253">
        <v>28.4</v>
      </c>
      <c r="D253">
        <v>25.559999000000001</v>
      </c>
      <c r="E253">
        <v>27.91</v>
      </c>
      <c r="F253">
        <v>21.610040999999999</v>
      </c>
      <c r="G253">
        <v>1033710000</v>
      </c>
      <c r="H253">
        <f t="shared" si="0"/>
        <v>-6.4495018773911682E-3</v>
      </c>
      <c r="I253" s="1">
        <v>40513</v>
      </c>
      <c r="J253">
        <v>54.419998</v>
      </c>
      <c r="K253">
        <v>55.34</v>
      </c>
      <c r="L253">
        <v>53.139999000000003</v>
      </c>
      <c r="M253">
        <v>53.93</v>
      </c>
      <c r="N253">
        <v>40.190680999999998</v>
      </c>
      <c r="O253">
        <v>246182100</v>
      </c>
      <c r="P253">
        <f t="shared" si="1"/>
        <v>4.5431153555223487E-2</v>
      </c>
    </row>
    <row r="254" spans="1:16" x14ac:dyDescent="0.3">
      <c r="A254" s="1">
        <v>40544</v>
      </c>
      <c r="B254">
        <v>28.049999</v>
      </c>
      <c r="C254">
        <v>29.459999</v>
      </c>
      <c r="D254">
        <v>27.42</v>
      </c>
      <c r="E254">
        <v>27.73</v>
      </c>
      <c r="F254">
        <v>21.470666999999999</v>
      </c>
      <c r="G254">
        <v>1361258700</v>
      </c>
      <c r="H254">
        <f t="shared" si="0"/>
        <v>-4.1471510875745035E-2</v>
      </c>
      <c r="I254" s="1">
        <v>40544</v>
      </c>
      <c r="J254">
        <v>54.23</v>
      </c>
      <c r="K254">
        <v>57.900002000000001</v>
      </c>
      <c r="L254">
        <v>53.540000999999997</v>
      </c>
      <c r="M254">
        <v>56.07</v>
      </c>
      <c r="N254">
        <v>42.016590000000001</v>
      </c>
      <c r="O254">
        <v>260656500</v>
      </c>
      <c r="P254">
        <f t="shared" si="1"/>
        <v>-7.2944353646976073E-2</v>
      </c>
    </row>
    <row r="255" spans="1:16" x14ac:dyDescent="0.3">
      <c r="A255" s="1">
        <v>40575</v>
      </c>
      <c r="B255">
        <v>27.799999</v>
      </c>
      <c r="C255">
        <v>28.34</v>
      </c>
      <c r="D255">
        <v>26.43</v>
      </c>
      <c r="E255">
        <v>26.58</v>
      </c>
      <c r="F255">
        <v>20.580245999999999</v>
      </c>
      <c r="G255">
        <v>1114368500</v>
      </c>
      <c r="H255">
        <f t="shared" si="0"/>
        <v>-3.9124265084100558E-2</v>
      </c>
      <c r="I255" s="1">
        <v>40575</v>
      </c>
      <c r="J255">
        <v>56.369999</v>
      </c>
      <c r="K255">
        <v>56.73</v>
      </c>
      <c r="L255">
        <v>51.52</v>
      </c>
      <c r="M255">
        <v>51.98</v>
      </c>
      <c r="N255">
        <v>38.951717000000002</v>
      </c>
      <c r="O255">
        <v>276839200</v>
      </c>
      <c r="P255">
        <f t="shared" si="1"/>
        <v>1.346692881343315E-3</v>
      </c>
    </row>
    <row r="256" spans="1:16" x14ac:dyDescent="0.3">
      <c r="A256" s="1">
        <v>40603</v>
      </c>
      <c r="B256">
        <v>26.6</v>
      </c>
      <c r="C256">
        <v>26.780000999999999</v>
      </c>
      <c r="D256">
        <v>24.68</v>
      </c>
      <c r="E256">
        <v>25.389999</v>
      </c>
      <c r="F256">
        <v>19.775058999999999</v>
      </c>
      <c r="G256">
        <v>1310885200</v>
      </c>
      <c r="H256">
        <f t="shared" si="0"/>
        <v>2.0874274003430338E-2</v>
      </c>
      <c r="I256" s="1">
        <v>40603</v>
      </c>
      <c r="J256">
        <v>52.16</v>
      </c>
      <c r="K256">
        <v>53.880001</v>
      </c>
      <c r="L256">
        <v>50.970001000000003</v>
      </c>
      <c r="M256">
        <v>52.049999</v>
      </c>
      <c r="N256">
        <v>39.004173000000002</v>
      </c>
      <c r="O256">
        <v>279247300</v>
      </c>
      <c r="P256">
        <f t="shared" si="1"/>
        <v>6.3695594827763727E-2</v>
      </c>
    </row>
    <row r="257" spans="1:16" x14ac:dyDescent="0.3">
      <c r="A257" s="1">
        <v>40634</v>
      </c>
      <c r="B257">
        <v>25.530000999999999</v>
      </c>
      <c r="C257">
        <v>26.870000999999998</v>
      </c>
      <c r="D257">
        <v>24.719999000000001</v>
      </c>
      <c r="E257">
        <v>25.92</v>
      </c>
      <c r="F257">
        <v>20.187849</v>
      </c>
      <c r="G257">
        <v>1313844800</v>
      </c>
      <c r="H257">
        <f t="shared" si="0"/>
        <v>-3.5107950331905051E-2</v>
      </c>
      <c r="I257" s="1">
        <v>40634</v>
      </c>
      <c r="J257">
        <v>52.25</v>
      </c>
      <c r="K257">
        <v>55.16</v>
      </c>
      <c r="L257">
        <v>51.919998</v>
      </c>
      <c r="M257">
        <v>54.98</v>
      </c>
      <c r="N257">
        <v>41.488567000000003</v>
      </c>
      <c r="O257">
        <v>177992800</v>
      </c>
      <c r="P257">
        <f t="shared" si="1"/>
        <v>4.3650338658357641E-3</v>
      </c>
    </row>
    <row r="258" spans="1:16" x14ac:dyDescent="0.3">
      <c r="A258" s="1">
        <v>40664</v>
      </c>
      <c r="B258">
        <v>25.940000999999999</v>
      </c>
      <c r="C258">
        <v>26.25</v>
      </c>
      <c r="D258">
        <v>24.030000999999999</v>
      </c>
      <c r="E258">
        <v>25.01</v>
      </c>
      <c r="F258">
        <v>19.479095000000001</v>
      </c>
      <c r="G258">
        <v>1364062800</v>
      </c>
      <c r="H258">
        <f t="shared" si="0"/>
        <v>4.6398356802510497E-2</v>
      </c>
      <c r="I258" s="1">
        <v>40664</v>
      </c>
      <c r="J258">
        <v>55.080002</v>
      </c>
      <c r="K258">
        <v>56.470001000000003</v>
      </c>
      <c r="L258">
        <v>54.189999</v>
      </c>
      <c r="M258">
        <v>55.220001000000003</v>
      </c>
      <c r="N258">
        <v>41.669665999999999</v>
      </c>
      <c r="O258">
        <v>195699000</v>
      </c>
      <c r="P258">
        <f t="shared" si="1"/>
        <v>-3.1300346875830415E-2</v>
      </c>
    </row>
    <row r="259" spans="1:16" x14ac:dyDescent="0.3">
      <c r="A259" s="1">
        <v>40695</v>
      </c>
      <c r="B259">
        <v>24.99</v>
      </c>
      <c r="C259">
        <v>26</v>
      </c>
      <c r="D259">
        <v>23.65</v>
      </c>
      <c r="E259">
        <v>26</v>
      </c>
      <c r="F259">
        <v>20.382892999999999</v>
      </c>
      <c r="G259">
        <v>1297757600</v>
      </c>
      <c r="H259">
        <f t="shared" si="0"/>
        <v>5.3846183659993684E-2</v>
      </c>
      <c r="I259" s="1">
        <v>40695</v>
      </c>
      <c r="J259">
        <v>54.98</v>
      </c>
      <c r="K259">
        <v>55.169998</v>
      </c>
      <c r="L259">
        <v>51.790000999999997</v>
      </c>
      <c r="M259">
        <v>53.139999000000003</v>
      </c>
      <c r="N259">
        <v>40.365391000000002</v>
      </c>
      <c r="O259">
        <v>282564700</v>
      </c>
      <c r="P259">
        <f t="shared" si="1"/>
        <v>-8.0919320216669179E-3</v>
      </c>
    </row>
    <row r="260" spans="1:16" x14ac:dyDescent="0.3">
      <c r="A260" s="1">
        <v>40725</v>
      </c>
      <c r="B260">
        <v>25.93</v>
      </c>
      <c r="C260">
        <v>28.15</v>
      </c>
      <c r="D260">
        <v>25.84</v>
      </c>
      <c r="E260">
        <v>27.4</v>
      </c>
      <c r="F260">
        <v>21.480433999999999</v>
      </c>
      <c r="G260">
        <v>1259328200</v>
      </c>
      <c r="H260">
        <f t="shared" si="0"/>
        <v>-2.9197268546808673E-2</v>
      </c>
      <c r="I260" s="1">
        <v>40725</v>
      </c>
      <c r="J260">
        <v>53.189999</v>
      </c>
      <c r="K260">
        <v>54.810001</v>
      </c>
      <c r="L260">
        <v>52.669998</v>
      </c>
      <c r="M260">
        <v>52.709999000000003</v>
      </c>
      <c r="N260">
        <v>40.038756999999997</v>
      </c>
      <c r="O260">
        <v>198103900</v>
      </c>
      <c r="P260">
        <f t="shared" si="1"/>
        <v>9.1068761200554585E-3</v>
      </c>
    </row>
    <row r="261" spans="1:16" x14ac:dyDescent="0.3">
      <c r="A261" s="1">
        <v>40756</v>
      </c>
      <c r="B261">
        <v>27.51</v>
      </c>
      <c r="C261">
        <v>27.690000999999999</v>
      </c>
      <c r="D261">
        <v>23.790001</v>
      </c>
      <c r="E261">
        <v>26.6</v>
      </c>
      <c r="F261">
        <v>20.853263999999999</v>
      </c>
      <c r="G261">
        <v>1719339500</v>
      </c>
      <c r="H261">
        <f t="shared" si="0"/>
        <v>-5.8379877605731101E-2</v>
      </c>
      <c r="I261" s="1">
        <v>40756</v>
      </c>
      <c r="J261">
        <v>52.790000999999997</v>
      </c>
      <c r="K261">
        <v>53.490001999999997</v>
      </c>
      <c r="L261">
        <v>48.310001</v>
      </c>
      <c r="M261">
        <v>53.189999</v>
      </c>
      <c r="N261">
        <v>40.403385</v>
      </c>
      <c r="O261">
        <v>424527100</v>
      </c>
      <c r="P261">
        <f t="shared" si="1"/>
        <v>-1.7193955407449113E-2</v>
      </c>
    </row>
    <row r="262" spans="1:16" x14ac:dyDescent="0.3">
      <c r="A262" s="1">
        <v>40787</v>
      </c>
      <c r="B262">
        <v>26.459999</v>
      </c>
      <c r="C262">
        <v>27.5</v>
      </c>
      <c r="D262">
        <v>24.6</v>
      </c>
      <c r="E262">
        <v>24.889999</v>
      </c>
      <c r="F262">
        <v>19.635853000000001</v>
      </c>
      <c r="G262">
        <v>1279920200</v>
      </c>
      <c r="H262">
        <f t="shared" si="0"/>
        <v>6.9907836445913404E-2</v>
      </c>
      <c r="I262" s="1">
        <v>40787</v>
      </c>
      <c r="J262">
        <v>53.200001</v>
      </c>
      <c r="K262">
        <v>53.549999</v>
      </c>
      <c r="L262">
        <v>49.939999</v>
      </c>
      <c r="M262">
        <v>51.900002000000001</v>
      </c>
      <c r="N262">
        <v>39.708691000000002</v>
      </c>
      <c r="O262">
        <v>275866100</v>
      </c>
      <c r="P262">
        <f t="shared" si="1"/>
        <v>9.2870903248863032E-2</v>
      </c>
    </row>
    <row r="263" spans="1:16" x14ac:dyDescent="0.3">
      <c r="A263" s="1">
        <v>40817</v>
      </c>
      <c r="B263">
        <v>24.719999000000001</v>
      </c>
      <c r="C263">
        <v>27.5</v>
      </c>
      <c r="D263">
        <v>24.26</v>
      </c>
      <c r="E263">
        <v>26.629999000000002</v>
      </c>
      <c r="F263">
        <v>21.008552999999999</v>
      </c>
      <c r="G263">
        <v>1218142500</v>
      </c>
      <c r="H263">
        <f t="shared" si="0"/>
        <v>-3.9429131554181734E-2</v>
      </c>
      <c r="I263" s="1">
        <v>40817</v>
      </c>
      <c r="J263">
        <v>51.880001</v>
      </c>
      <c r="K263">
        <v>57.959999000000003</v>
      </c>
      <c r="L263">
        <v>51.630001</v>
      </c>
      <c r="M263">
        <v>56.720001000000003</v>
      </c>
      <c r="N263">
        <v>43.396473</v>
      </c>
      <c r="O263">
        <v>268820500</v>
      </c>
      <c r="P263">
        <f t="shared" si="1"/>
        <v>3.8434091176027141E-2</v>
      </c>
    </row>
    <row r="264" spans="1:16" x14ac:dyDescent="0.3">
      <c r="A264" s="1">
        <v>40848</v>
      </c>
      <c r="B264">
        <v>26.190000999999999</v>
      </c>
      <c r="C264">
        <v>27.200001</v>
      </c>
      <c r="D264">
        <v>24.299999</v>
      </c>
      <c r="E264">
        <v>25.58</v>
      </c>
      <c r="F264">
        <v>20.180204</v>
      </c>
      <c r="G264">
        <v>1046207400</v>
      </c>
      <c r="H264">
        <f t="shared" si="0"/>
        <v>2.2497344427241748E-2</v>
      </c>
      <c r="I264" s="1">
        <v>40848</v>
      </c>
      <c r="J264">
        <v>55.82</v>
      </c>
      <c r="K264">
        <v>59.400002000000001</v>
      </c>
      <c r="L264">
        <v>55.68</v>
      </c>
      <c r="M264">
        <v>58.900002000000001</v>
      </c>
      <c r="N264">
        <v>45.064377</v>
      </c>
      <c r="O264">
        <v>222113300</v>
      </c>
      <c r="P264">
        <f t="shared" si="1"/>
        <v>1.4601022887767894E-2</v>
      </c>
    </row>
    <row r="265" spans="1:16" x14ac:dyDescent="0.3">
      <c r="A265" s="1">
        <v>40878</v>
      </c>
      <c r="B265">
        <v>25.559999000000001</v>
      </c>
      <c r="C265">
        <v>26.190000999999999</v>
      </c>
      <c r="D265">
        <v>25.16</v>
      </c>
      <c r="E265">
        <v>25.959999</v>
      </c>
      <c r="F265">
        <v>20.634205000000001</v>
      </c>
      <c r="G265">
        <v>1007166600</v>
      </c>
      <c r="H265">
        <f t="shared" si="0"/>
        <v>0.13751898849507407</v>
      </c>
      <c r="I265" s="1">
        <v>40878</v>
      </c>
      <c r="J265">
        <v>58.639999000000003</v>
      </c>
      <c r="K265">
        <v>60</v>
      </c>
      <c r="L265">
        <v>57.419998</v>
      </c>
      <c r="M265">
        <v>59.759998000000003</v>
      </c>
      <c r="N265">
        <v>45.722363000000001</v>
      </c>
      <c r="O265">
        <v>193606900</v>
      </c>
      <c r="P265">
        <f t="shared" si="1"/>
        <v>3.3189885658359293E-2</v>
      </c>
    </row>
    <row r="266" spans="1:16" x14ac:dyDescent="0.3">
      <c r="A266" s="1">
        <v>40909</v>
      </c>
      <c r="B266">
        <v>26.549999</v>
      </c>
      <c r="C266">
        <v>29.950001</v>
      </c>
      <c r="D266">
        <v>26.389999</v>
      </c>
      <c r="E266">
        <v>29.530000999999999</v>
      </c>
      <c r="F266">
        <v>23.471800000000002</v>
      </c>
      <c r="G266">
        <v>1354858100</v>
      </c>
      <c r="H266">
        <f t="shared" si="0"/>
        <v>7.4839296517523066E-2</v>
      </c>
      <c r="I266" s="1">
        <v>40909</v>
      </c>
      <c r="J266">
        <v>59.970001000000003</v>
      </c>
      <c r="K266">
        <v>62</v>
      </c>
      <c r="L266">
        <v>58.369999</v>
      </c>
      <c r="M266">
        <v>61.360000999999997</v>
      </c>
      <c r="N266">
        <v>47.239882999999999</v>
      </c>
      <c r="O266">
        <v>163577000</v>
      </c>
      <c r="P266">
        <f t="shared" si="1"/>
        <v>-3.7157691520954848E-2</v>
      </c>
    </row>
    <row r="267" spans="1:16" x14ac:dyDescent="0.3">
      <c r="A267" s="1">
        <v>40940</v>
      </c>
      <c r="B267">
        <v>29.790001</v>
      </c>
      <c r="C267">
        <v>32</v>
      </c>
      <c r="D267">
        <v>29.709999</v>
      </c>
      <c r="E267">
        <v>31.74</v>
      </c>
      <c r="F267">
        <v>25.228413</v>
      </c>
      <c r="G267">
        <v>984332300</v>
      </c>
      <c r="H267">
        <f t="shared" si="0"/>
        <v>2.3074539012818598E-2</v>
      </c>
      <c r="I267" s="1">
        <v>40940</v>
      </c>
      <c r="J267">
        <v>61.790000999999997</v>
      </c>
      <c r="K267">
        <v>62.630001</v>
      </c>
      <c r="L267">
        <v>58.209999000000003</v>
      </c>
      <c r="M267">
        <v>59.080002</v>
      </c>
      <c r="N267">
        <v>45.484558</v>
      </c>
      <c r="O267">
        <v>199314500</v>
      </c>
      <c r="P267">
        <f t="shared" si="1"/>
        <v>3.5883255147824027E-2</v>
      </c>
    </row>
    <row r="268" spans="1:16" x14ac:dyDescent="0.3">
      <c r="A268" s="1">
        <v>40969</v>
      </c>
      <c r="B268">
        <v>31.93</v>
      </c>
      <c r="C268">
        <v>32.950001</v>
      </c>
      <c r="D268">
        <v>31.49</v>
      </c>
      <c r="E268">
        <v>32.259998000000003</v>
      </c>
      <c r="F268">
        <v>25.810547</v>
      </c>
      <c r="G268">
        <v>942366500</v>
      </c>
      <c r="H268">
        <f t="shared" si="0"/>
        <v>-7.4395556204213103E-3</v>
      </c>
      <c r="I268" s="1">
        <v>40969</v>
      </c>
      <c r="J268">
        <v>59.360000999999997</v>
      </c>
      <c r="K268">
        <v>61.5</v>
      </c>
      <c r="L268">
        <v>58.639999000000003</v>
      </c>
      <c r="M268">
        <v>61.200001</v>
      </c>
      <c r="N268">
        <v>47.116692</v>
      </c>
      <c r="O268">
        <v>185822200</v>
      </c>
      <c r="P268">
        <f t="shared" si="1"/>
        <v>-3.0975222114489782E-2</v>
      </c>
    </row>
    <row r="269" spans="1:16" x14ac:dyDescent="0.3">
      <c r="A269" s="1">
        <v>41000</v>
      </c>
      <c r="B269">
        <v>32.220001000000003</v>
      </c>
      <c r="C269">
        <v>32.889999000000003</v>
      </c>
      <c r="D269">
        <v>30.23</v>
      </c>
      <c r="E269">
        <v>32.020000000000003</v>
      </c>
      <c r="F269">
        <v>25.618528000000001</v>
      </c>
      <c r="G269">
        <v>940739700</v>
      </c>
      <c r="H269">
        <f t="shared" si="0"/>
        <v>-8.8382595596437061E-2</v>
      </c>
      <c r="I269" s="1">
        <v>41000</v>
      </c>
      <c r="J269">
        <v>61.080002</v>
      </c>
      <c r="K269">
        <v>62.490001999999997</v>
      </c>
      <c r="L269">
        <v>57.18</v>
      </c>
      <c r="M269">
        <v>58.91</v>
      </c>
      <c r="N269">
        <v>45.657241999999997</v>
      </c>
      <c r="O269">
        <v>251787900</v>
      </c>
      <c r="P269">
        <f t="shared" si="1"/>
        <v>0.11729766769530235</v>
      </c>
    </row>
    <row r="270" spans="1:16" x14ac:dyDescent="0.3">
      <c r="A270" s="1">
        <v>41030</v>
      </c>
      <c r="B270">
        <v>32.049999</v>
      </c>
      <c r="C270">
        <v>32.340000000000003</v>
      </c>
      <c r="D270">
        <v>28.639999</v>
      </c>
      <c r="E270">
        <v>29.190000999999999</v>
      </c>
      <c r="F270">
        <v>23.354296000000001</v>
      </c>
      <c r="G270">
        <v>1014372600</v>
      </c>
      <c r="H270">
        <f t="shared" si="0"/>
        <v>5.4838304695632833E-2</v>
      </c>
      <c r="I270" s="1">
        <v>41030</v>
      </c>
      <c r="J270">
        <v>58.950001</v>
      </c>
      <c r="K270">
        <v>66.660004000000001</v>
      </c>
      <c r="L270">
        <v>58.27</v>
      </c>
      <c r="M270">
        <v>65.819999999999993</v>
      </c>
      <c r="N270">
        <v>51.012729999999998</v>
      </c>
      <c r="O270">
        <v>247098000</v>
      </c>
      <c r="P270">
        <f t="shared" si="1"/>
        <v>6.6440082700925884E-2</v>
      </c>
    </row>
    <row r="271" spans="1:16" x14ac:dyDescent="0.3">
      <c r="A271" s="1">
        <v>41061</v>
      </c>
      <c r="B271">
        <v>28.76</v>
      </c>
      <c r="C271">
        <v>31.139999</v>
      </c>
      <c r="D271">
        <v>28.32</v>
      </c>
      <c r="E271">
        <v>30.59</v>
      </c>
      <c r="F271">
        <v>24.635006000000001</v>
      </c>
      <c r="G271">
        <v>973131400</v>
      </c>
      <c r="H271">
        <f t="shared" si="0"/>
        <v>-3.6613670806493803E-2</v>
      </c>
      <c r="I271" s="1">
        <v>41061</v>
      </c>
      <c r="J271">
        <v>65.430000000000007</v>
      </c>
      <c r="K271">
        <v>69.720000999999996</v>
      </c>
      <c r="L271">
        <v>65.129997000000003</v>
      </c>
      <c r="M271">
        <v>69.720000999999996</v>
      </c>
      <c r="N271">
        <v>54.40202</v>
      </c>
      <c r="O271">
        <v>229264800</v>
      </c>
      <c r="P271">
        <f t="shared" si="1"/>
        <v>6.755605766109414E-2</v>
      </c>
    </row>
    <row r="272" spans="1:16" x14ac:dyDescent="0.3">
      <c r="A272" s="1">
        <v>41091</v>
      </c>
      <c r="B272">
        <v>30.620000999999998</v>
      </c>
      <c r="C272">
        <v>31.049999</v>
      </c>
      <c r="D272">
        <v>28.540001</v>
      </c>
      <c r="E272">
        <v>29.469999000000001</v>
      </c>
      <c r="F272">
        <v>23.733028000000001</v>
      </c>
      <c r="G272">
        <v>846604100</v>
      </c>
      <c r="H272">
        <f t="shared" si="0"/>
        <v>4.580962024736162E-2</v>
      </c>
      <c r="I272" s="1">
        <v>41091</v>
      </c>
      <c r="J272">
        <v>69.599997999999999</v>
      </c>
      <c r="K272">
        <v>75.239998</v>
      </c>
      <c r="L272">
        <v>69.150002000000001</v>
      </c>
      <c r="M272">
        <v>74.430000000000007</v>
      </c>
      <c r="N272">
        <v>58.077205999999997</v>
      </c>
      <c r="O272">
        <v>210686500</v>
      </c>
      <c r="P272">
        <f t="shared" si="1"/>
        <v>-2.4587391480230564E-2</v>
      </c>
    </row>
    <row r="273" spans="1:16" x14ac:dyDescent="0.3">
      <c r="A273" s="1">
        <v>41122</v>
      </c>
      <c r="B273">
        <v>29.59</v>
      </c>
      <c r="C273">
        <v>30.959999</v>
      </c>
      <c r="D273">
        <v>28.969999000000001</v>
      </c>
      <c r="E273">
        <v>30.82</v>
      </c>
      <c r="F273">
        <v>24.820229000000001</v>
      </c>
      <c r="G273">
        <v>671748400</v>
      </c>
      <c r="H273">
        <f t="shared" si="0"/>
        <v>-2.7996518484982601E-2</v>
      </c>
      <c r="I273" s="1">
        <v>41122</v>
      </c>
      <c r="J273">
        <v>74.699996999999996</v>
      </c>
      <c r="K273">
        <v>74.959998999999996</v>
      </c>
      <c r="L273">
        <v>71.349997999999999</v>
      </c>
      <c r="M273">
        <v>72.599997999999999</v>
      </c>
      <c r="N273">
        <v>56.649239000000001</v>
      </c>
      <c r="O273">
        <v>163618500</v>
      </c>
      <c r="P273">
        <f t="shared" si="1"/>
        <v>2.2026809574617588E-2</v>
      </c>
    </row>
    <row r="274" spans="1:16" x14ac:dyDescent="0.3">
      <c r="A274" s="1">
        <v>41153</v>
      </c>
      <c r="B274">
        <v>30.450001</v>
      </c>
      <c r="C274">
        <v>31.610001</v>
      </c>
      <c r="D274">
        <v>29.74</v>
      </c>
      <c r="E274">
        <v>29.76</v>
      </c>
      <c r="F274">
        <v>24.125349</v>
      </c>
      <c r="G274">
        <v>893107700</v>
      </c>
      <c r="H274">
        <f t="shared" si="0"/>
        <v>-4.0994474318278247E-2</v>
      </c>
      <c r="I274" s="1">
        <v>41153</v>
      </c>
      <c r="J274">
        <v>72.769997000000004</v>
      </c>
      <c r="K274">
        <v>75.190002000000007</v>
      </c>
      <c r="L274">
        <v>72.569999999999993</v>
      </c>
      <c r="M274">
        <v>73.800003000000004</v>
      </c>
      <c r="N274">
        <v>57.897041000000002</v>
      </c>
      <c r="O274">
        <v>121605000</v>
      </c>
      <c r="P274">
        <f t="shared" si="1"/>
        <v>1.6531138439354803E-2</v>
      </c>
    </row>
    <row r="275" spans="1:16" x14ac:dyDescent="0.3">
      <c r="A275" s="1">
        <v>41183</v>
      </c>
      <c r="B275">
        <v>29.809999000000001</v>
      </c>
      <c r="C275">
        <v>30.25</v>
      </c>
      <c r="D275">
        <v>27.76</v>
      </c>
      <c r="E275">
        <v>28.540001</v>
      </c>
      <c r="F275">
        <v>23.136343</v>
      </c>
      <c r="G275">
        <v>1105402300</v>
      </c>
      <c r="H275">
        <f t="shared" si="0"/>
        <v>-6.7274115014633082E-2</v>
      </c>
      <c r="I275" s="1">
        <v>41183</v>
      </c>
      <c r="J275">
        <v>73.800003000000004</v>
      </c>
      <c r="K275">
        <v>77.599997999999999</v>
      </c>
      <c r="L275">
        <v>73.629997000000003</v>
      </c>
      <c r="M275">
        <v>75.019997000000004</v>
      </c>
      <c r="N275">
        <v>58.854145000000003</v>
      </c>
      <c r="O275">
        <v>144858200</v>
      </c>
      <c r="P275">
        <f t="shared" si="1"/>
        <v>-3.9989214013728409E-2</v>
      </c>
    </row>
    <row r="276" spans="1:16" x14ac:dyDescent="0.3">
      <c r="A276" s="1">
        <v>41214</v>
      </c>
      <c r="B276">
        <v>28.84</v>
      </c>
      <c r="C276">
        <v>30.200001</v>
      </c>
      <c r="D276">
        <v>26.34</v>
      </c>
      <c r="E276">
        <v>26.620000999999998</v>
      </c>
      <c r="F276">
        <v>21.579865999999999</v>
      </c>
      <c r="G276">
        <v>1310516100</v>
      </c>
      <c r="H276">
        <f t="shared" ref="H276:H339" si="2">(F277-F276)/F276</f>
        <v>1.1625836786938308E-2</v>
      </c>
      <c r="I276" s="1">
        <v>41214</v>
      </c>
      <c r="J276">
        <v>75.129997000000003</v>
      </c>
      <c r="K276">
        <v>75.160004000000001</v>
      </c>
      <c r="L276">
        <v>67.650002000000001</v>
      </c>
      <c r="M276">
        <v>72.019997000000004</v>
      </c>
      <c r="N276">
        <v>56.500613999999999</v>
      </c>
      <c r="O276">
        <v>193687500</v>
      </c>
      <c r="P276">
        <f t="shared" ref="P276:P339" si="3">(N277-N276)/N276</f>
        <v>-5.2624295374913914E-2</v>
      </c>
    </row>
    <row r="277" spans="1:16" x14ac:dyDescent="0.3">
      <c r="A277" s="1">
        <v>41244</v>
      </c>
      <c r="B277">
        <v>26.780000999999999</v>
      </c>
      <c r="C277">
        <v>27.73</v>
      </c>
      <c r="D277">
        <v>26.26</v>
      </c>
      <c r="E277">
        <v>26.709999</v>
      </c>
      <c r="F277">
        <v>21.830749999999998</v>
      </c>
      <c r="G277">
        <v>947310900</v>
      </c>
      <c r="H277">
        <f t="shared" si="2"/>
        <v>2.7704774229011974E-2</v>
      </c>
      <c r="I277" s="1">
        <v>41244</v>
      </c>
      <c r="J277">
        <v>72.110000999999997</v>
      </c>
      <c r="K277">
        <v>72.699996999999996</v>
      </c>
      <c r="L277">
        <v>67.370002999999997</v>
      </c>
      <c r="M277">
        <v>68.230002999999996</v>
      </c>
      <c r="N277">
        <v>53.527309000000002</v>
      </c>
      <c r="O277">
        <v>198433700</v>
      </c>
      <c r="P277">
        <f t="shared" si="3"/>
        <v>3.0898470909494033E-2</v>
      </c>
    </row>
    <row r="278" spans="1:16" x14ac:dyDescent="0.3">
      <c r="A278" s="1">
        <v>41275</v>
      </c>
      <c r="B278">
        <v>27.25</v>
      </c>
      <c r="C278">
        <v>28.23</v>
      </c>
      <c r="D278">
        <v>26.280000999999999</v>
      </c>
      <c r="E278">
        <v>27.450001</v>
      </c>
      <c r="F278">
        <v>22.435566000000001</v>
      </c>
      <c r="G278">
        <v>1145054400</v>
      </c>
      <c r="H278">
        <f t="shared" si="2"/>
        <v>1.2750736932600617E-2</v>
      </c>
      <c r="I278" s="1">
        <v>41275</v>
      </c>
      <c r="J278">
        <v>68.930000000000007</v>
      </c>
      <c r="K278">
        <v>70.440002000000007</v>
      </c>
      <c r="L278">
        <v>67.720000999999996</v>
      </c>
      <c r="M278">
        <v>69.949996999999996</v>
      </c>
      <c r="N278">
        <v>55.181221000000001</v>
      </c>
      <c r="O278">
        <v>152007900</v>
      </c>
      <c r="P278">
        <f t="shared" si="3"/>
        <v>1.1865050974497259E-2</v>
      </c>
    </row>
    <row r="279" spans="1:16" x14ac:dyDescent="0.3">
      <c r="A279" s="1">
        <v>41306</v>
      </c>
      <c r="B279">
        <v>27.67</v>
      </c>
      <c r="C279">
        <v>28.200001</v>
      </c>
      <c r="D279">
        <v>27.1</v>
      </c>
      <c r="E279">
        <v>27.799999</v>
      </c>
      <c r="F279">
        <v>22.721636</v>
      </c>
      <c r="G279">
        <v>780587000</v>
      </c>
      <c r="H279">
        <f t="shared" si="2"/>
        <v>3.765758768426708E-2</v>
      </c>
      <c r="I279" s="1">
        <v>41306</v>
      </c>
      <c r="J279">
        <v>70.110000999999997</v>
      </c>
      <c r="K279">
        <v>71.959998999999996</v>
      </c>
      <c r="L279">
        <v>68.129997000000003</v>
      </c>
      <c r="M279">
        <v>70.779999000000004</v>
      </c>
      <c r="N279">
        <v>55.835948999999999</v>
      </c>
      <c r="O279">
        <v>205455800</v>
      </c>
      <c r="P279">
        <f t="shared" si="3"/>
        <v>5.7219695504772371E-2</v>
      </c>
    </row>
    <row r="280" spans="1:16" x14ac:dyDescent="0.3">
      <c r="A280" s="1">
        <v>41334</v>
      </c>
      <c r="B280">
        <v>27.719999000000001</v>
      </c>
      <c r="C280">
        <v>28.66</v>
      </c>
      <c r="D280">
        <v>27.52</v>
      </c>
      <c r="E280">
        <v>28.610001</v>
      </c>
      <c r="F280">
        <v>23.577278</v>
      </c>
      <c r="G280">
        <v>844946000</v>
      </c>
      <c r="H280">
        <f t="shared" si="2"/>
        <v>0.1569376668502615</v>
      </c>
      <c r="I280" s="1">
        <v>41334</v>
      </c>
      <c r="J280">
        <v>70.779999000000004</v>
      </c>
      <c r="K280">
        <v>75.110000999999997</v>
      </c>
      <c r="L280">
        <v>70.779999000000004</v>
      </c>
      <c r="M280">
        <v>74.830001999999993</v>
      </c>
      <c r="N280">
        <v>59.030864999999999</v>
      </c>
      <c r="O280">
        <v>151456500</v>
      </c>
      <c r="P280">
        <f t="shared" si="3"/>
        <v>4.5321138357027377E-2</v>
      </c>
    </row>
    <row r="281" spans="1:16" x14ac:dyDescent="0.3">
      <c r="A281" s="1">
        <v>41365</v>
      </c>
      <c r="B281">
        <v>28.639999</v>
      </c>
      <c r="C281">
        <v>33.110000999999997</v>
      </c>
      <c r="D281">
        <v>28.110001</v>
      </c>
      <c r="E281">
        <v>33.099997999999999</v>
      </c>
      <c r="F281">
        <v>27.277441</v>
      </c>
      <c r="G281">
        <v>1465757200</v>
      </c>
      <c r="H281">
        <f t="shared" si="2"/>
        <v>5.4381054293179472E-2</v>
      </c>
      <c r="I281" s="1">
        <v>41365</v>
      </c>
      <c r="J281">
        <v>75</v>
      </c>
      <c r="K281">
        <v>79.5</v>
      </c>
      <c r="L281">
        <v>74.900002000000001</v>
      </c>
      <c r="M281">
        <v>77.720000999999996</v>
      </c>
      <c r="N281">
        <v>61.706211000000003</v>
      </c>
      <c r="O281">
        <v>165085800</v>
      </c>
      <c r="P281">
        <f t="shared" si="3"/>
        <v>-3.7055897014969905E-2</v>
      </c>
    </row>
    <row r="282" spans="1:16" x14ac:dyDescent="0.3">
      <c r="A282" s="1">
        <v>41395</v>
      </c>
      <c r="B282">
        <v>32.93</v>
      </c>
      <c r="C282">
        <v>35.279998999999997</v>
      </c>
      <c r="D282">
        <v>32.32</v>
      </c>
      <c r="E282">
        <v>34.900002000000001</v>
      </c>
      <c r="F282">
        <v>28.760816999999999</v>
      </c>
      <c r="G282">
        <v>1071860000</v>
      </c>
      <c r="H282">
        <f t="shared" si="2"/>
        <v>-3.3754604398059801E-3</v>
      </c>
      <c r="I282" s="1">
        <v>41395</v>
      </c>
      <c r="J282">
        <v>77.849997999999999</v>
      </c>
      <c r="K282">
        <v>79.959998999999996</v>
      </c>
      <c r="L282">
        <v>74.819999999999993</v>
      </c>
      <c r="M282">
        <v>74.839995999999999</v>
      </c>
      <c r="N282">
        <v>59.419632</v>
      </c>
      <c r="O282">
        <v>162295100</v>
      </c>
      <c r="P282">
        <f t="shared" si="3"/>
        <v>1.2934782228203874E-3</v>
      </c>
    </row>
    <row r="283" spans="1:16" x14ac:dyDescent="0.3">
      <c r="A283" s="1">
        <v>41426</v>
      </c>
      <c r="B283">
        <v>34.919998</v>
      </c>
      <c r="C283">
        <v>35.779998999999997</v>
      </c>
      <c r="D283">
        <v>32.57</v>
      </c>
      <c r="E283">
        <v>34.540000999999997</v>
      </c>
      <c r="F283">
        <v>28.663736</v>
      </c>
      <c r="G283">
        <v>945155500</v>
      </c>
      <c r="H283">
        <f t="shared" si="2"/>
        <v>-7.8170445052940712E-2</v>
      </c>
      <c r="I283" s="1">
        <v>41426</v>
      </c>
      <c r="J283">
        <v>75.059997999999993</v>
      </c>
      <c r="K283">
        <v>76.870002999999997</v>
      </c>
      <c r="L283">
        <v>72.900002000000001</v>
      </c>
      <c r="M283">
        <v>74.489998</v>
      </c>
      <c r="N283">
        <v>59.496490000000001</v>
      </c>
      <c r="O283">
        <v>162608600</v>
      </c>
      <c r="P283">
        <f t="shared" si="3"/>
        <v>4.6315152372854274E-2</v>
      </c>
    </row>
    <row r="284" spans="1:16" x14ac:dyDescent="0.3">
      <c r="A284" s="1">
        <v>41456</v>
      </c>
      <c r="B284">
        <v>34.75</v>
      </c>
      <c r="C284">
        <v>36.43</v>
      </c>
      <c r="D284">
        <v>31.02</v>
      </c>
      <c r="E284">
        <v>31.84</v>
      </c>
      <c r="F284">
        <v>26.423079000000001</v>
      </c>
      <c r="G284">
        <v>1111130600</v>
      </c>
      <c r="H284">
        <f t="shared" si="2"/>
        <v>4.899500924930051E-2</v>
      </c>
      <c r="I284" s="1">
        <v>41456</v>
      </c>
      <c r="J284">
        <v>74.989998</v>
      </c>
      <c r="K284">
        <v>78.690002000000007</v>
      </c>
      <c r="L284">
        <v>74.089995999999999</v>
      </c>
      <c r="M284">
        <v>77.940002000000007</v>
      </c>
      <c r="N284">
        <v>62.252079000000002</v>
      </c>
      <c r="O284">
        <v>113025400</v>
      </c>
      <c r="P284">
        <f t="shared" si="3"/>
        <v>-6.3639095491091965E-2</v>
      </c>
    </row>
    <row r="285" spans="1:16" x14ac:dyDescent="0.3">
      <c r="A285" s="1">
        <v>41487</v>
      </c>
      <c r="B285">
        <v>32.060001</v>
      </c>
      <c r="C285">
        <v>35.200001</v>
      </c>
      <c r="D285">
        <v>30.84</v>
      </c>
      <c r="E285">
        <v>33.400002000000001</v>
      </c>
      <c r="F285">
        <v>27.717677999999999</v>
      </c>
      <c r="G285">
        <v>1051265000</v>
      </c>
      <c r="H285">
        <f t="shared" si="2"/>
        <v>3.4287864950304425E-3</v>
      </c>
      <c r="I285" s="1">
        <v>41487</v>
      </c>
      <c r="J285">
        <v>78.419998000000007</v>
      </c>
      <c r="K285">
        <v>79</v>
      </c>
      <c r="L285">
        <v>72.230002999999996</v>
      </c>
      <c r="M285">
        <v>72.980002999999996</v>
      </c>
      <c r="N285">
        <v>58.290413000000001</v>
      </c>
      <c r="O285">
        <v>133848900</v>
      </c>
      <c r="P285">
        <f t="shared" si="3"/>
        <v>1.9582293918555736E-2</v>
      </c>
    </row>
    <row r="286" spans="1:16" x14ac:dyDescent="0.3">
      <c r="A286" s="1">
        <v>41518</v>
      </c>
      <c r="B286">
        <v>31.75</v>
      </c>
      <c r="C286">
        <v>33.75</v>
      </c>
      <c r="D286">
        <v>30.950001</v>
      </c>
      <c r="E286">
        <v>33.279998999999997</v>
      </c>
      <c r="F286">
        <v>27.812716000000002</v>
      </c>
      <c r="G286">
        <v>1242961500</v>
      </c>
      <c r="H286">
        <f t="shared" si="2"/>
        <v>6.4002127659880392E-2</v>
      </c>
      <c r="I286" s="1">
        <v>41518</v>
      </c>
      <c r="J286">
        <v>73.480002999999996</v>
      </c>
      <c r="K286">
        <v>76.730002999999996</v>
      </c>
      <c r="L286">
        <v>72.190002000000007</v>
      </c>
      <c r="M286">
        <v>73.959998999999996</v>
      </c>
      <c r="N286">
        <v>59.431873000000003</v>
      </c>
      <c r="O286">
        <v>124109700</v>
      </c>
      <c r="P286">
        <f t="shared" si="3"/>
        <v>3.7723175912695771E-2</v>
      </c>
    </row>
    <row r="287" spans="1:16" x14ac:dyDescent="0.3">
      <c r="A287" s="1">
        <v>41548</v>
      </c>
      <c r="B287">
        <v>33.349997999999999</v>
      </c>
      <c r="C287">
        <v>36.290000999999997</v>
      </c>
      <c r="D287">
        <v>32.799999</v>
      </c>
      <c r="E287">
        <v>35.409999999999997</v>
      </c>
      <c r="F287">
        <v>29.592789</v>
      </c>
      <c r="G287">
        <v>965331500</v>
      </c>
      <c r="H287">
        <f t="shared" si="2"/>
        <v>7.6814929474879903E-2</v>
      </c>
      <c r="I287" s="1">
        <v>41548</v>
      </c>
      <c r="J287">
        <v>73.870002999999997</v>
      </c>
      <c r="K287">
        <v>77.629997000000003</v>
      </c>
      <c r="L287">
        <v>71.510002</v>
      </c>
      <c r="M287">
        <v>76.75</v>
      </c>
      <c r="N287">
        <v>61.673831999999997</v>
      </c>
      <c r="O287">
        <v>150995900</v>
      </c>
      <c r="P287">
        <f t="shared" si="3"/>
        <v>5.5504626338120221E-2</v>
      </c>
    </row>
    <row r="288" spans="1:16" x14ac:dyDescent="0.3">
      <c r="A288" s="1">
        <v>41579</v>
      </c>
      <c r="B288">
        <v>35.669998</v>
      </c>
      <c r="C288">
        <v>38.290000999999997</v>
      </c>
      <c r="D288">
        <v>35.389999000000003</v>
      </c>
      <c r="E288">
        <v>38.130001</v>
      </c>
      <c r="F288">
        <v>31.865957000000002</v>
      </c>
      <c r="G288">
        <v>800431600</v>
      </c>
      <c r="H288">
        <f t="shared" si="2"/>
        <v>-1.1442305027901787E-2</v>
      </c>
      <c r="I288" s="1">
        <v>41579</v>
      </c>
      <c r="J288">
        <v>76.970000999999996</v>
      </c>
      <c r="K288">
        <v>81.349997999999999</v>
      </c>
      <c r="L288">
        <v>76.589995999999999</v>
      </c>
      <c r="M288">
        <v>81.010002</v>
      </c>
      <c r="N288">
        <v>65.097014999999999</v>
      </c>
      <c r="O288">
        <v>113143600</v>
      </c>
      <c r="P288">
        <f t="shared" si="3"/>
        <v>-2.8638194854249448E-2</v>
      </c>
    </row>
    <row r="289" spans="1:16" x14ac:dyDescent="0.3">
      <c r="A289" s="1">
        <v>41609</v>
      </c>
      <c r="B289">
        <v>38.090000000000003</v>
      </c>
      <c r="C289">
        <v>38.979999999999997</v>
      </c>
      <c r="D289">
        <v>35.529998999999997</v>
      </c>
      <c r="E289">
        <v>37.409999999999997</v>
      </c>
      <c r="F289">
        <v>31.501336999999999</v>
      </c>
      <c r="G289">
        <v>826617700</v>
      </c>
      <c r="H289">
        <f t="shared" si="2"/>
        <v>1.1494210547317465E-2</v>
      </c>
      <c r="I289" s="1">
        <v>41609</v>
      </c>
      <c r="J289">
        <v>80.889999000000003</v>
      </c>
      <c r="K289">
        <v>81.370002999999997</v>
      </c>
      <c r="L289">
        <v>76.809997999999993</v>
      </c>
      <c r="M289">
        <v>78.690002000000007</v>
      </c>
      <c r="N289">
        <v>63.232754</v>
      </c>
      <c r="O289">
        <v>117743800</v>
      </c>
      <c r="P289">
        <f t="shared" si="3"/>
        <v>-4.5435092072693806E-2</v>
      </c>
    </row>
    <row r="290" spans="1:16" x14ac:dyDescent="0.3">
      <c r="A290" s="1">
        <v>41640</v>
      </c>
      <c r="B290">
        <v>37.349997999999999</v>
      </c>
      <c r="C290">
        <v>37.889999000000003</v>
      </c>
      <c r="D290">
        <v>34.630001</v>
      </c>
      <c r="E290">
        <v>37.840000000000003</v>
      </c>
      <c r="F290">
        <v>31.863420000000001</v>
      </c>
      <c r="G290">
        <v>930226200</v>
      </c>
      <c r="H290">
        <f t="shared" si="2"/>
        <v>1.2420920290414585E-2</v>
      </c>
      <c r="I290" s="1">
        <v>41640</v>
      </c>
      <c r="J290">
        <v>78.720000999999996</v>
      </c>
      <c r="K290">
        <v>79.470000999999996</v>
      </c>
      <c r="L290">
        <v>73.639999000000003</v>
      </c>
      <c r="M290">
        <v>74.680000000000007</v>
      </c>
      <c r="N290">
        <v>60.359768000000003</v>
      </c>
      <c r="O290">
        <v>146048800</v>
      </c>
      <c r="P290">
        <f t="shared" si="3"/>
        <v>2.6784397183229436E-4</v>
      </c>
    </row>
    <row r="291" spans="1:16" x14ac:dyDescent="0.3">
      <c r="A291" s="1">
        <v>41671</v>
      </c>
      <c r="B291">
        <v>37.740001999999997</v>
      </c>
      <c r="C291">
        <v>38.459999000000003</v>
      </c>
      <c r="D291">
        <v>35.689999</v>
      </c>
      <c r="E291">
        <v>38.310001</v>
      </c>
      <c r="F291">
        <v>32.259193000000003</v>
      </c>
      <c r="G291">
        <v>705304500</v>
      </c>
      <c r="H291">
        <f t="shared" si="2"/>
        <v>7.7978826066727555E-2</v>
      </c>
      <c r="I291" s="1">
        <v>41671</v>
      </c>
      <c r="J291">
        <v>74.190002000000007</v>
      </c>
      <c r="K291">
        <v>75.989998</v>
      </c>
      <c r="L291">
        <v>72.269997000000004</v>
      </c>
      <c r="M291">
        <v>74.699996999999996</v>
      </c>
      <c r="N291">
        <v>60.375934999999998</v>
      </c>
      <c r="O291">
        <v>140708800</v>
      </c>
      <c r="P291">
        <f t="shared" si="3"/>
        <v>2.3159376330983514E-2</v>
      </c>
    </row>
    <row r="292" spans="1:16" x14ac:dyDescent="0.3">
      <c r="A292" s="1">
        <v>41699</v>
      </c>
      <c r="B292">
        <v>37.919998</v>
      </c>
      <c r="C292">
        <v>41.5</v>
      </c>
      <c r="D292">
        <v>37.490001999999997</v>
      </c>
      <c r="E292">
        <v>40.990001999999997</v>
      </c>
      <c r="F292">
        <v>34.774726999999999</v>
      </c>
      <c r="G292">
        <v>778425700</v>
      </c>
      <c r="H292">
        <f t="shared" si="2"/>
        <v>-1.4393844127086773E-2</v>
      </c>
      <c r="I292" s="1">
        <v>41699</v>
      </c>
      <c r="J292">
        <v>74.489998</v>
      </c>
      <c r="K292">
        <v>77.529999000000004</v>
      </c>
      <c r="L292">
        <v>73.830001999999993</v>
      </c>
      <c r="M292">
        <v>76.430000000000007</v>
      </c>
      <c r="N292">
        <v>61.774203999999997</v>
      </c>
      <c r="O292">
        <v>143316900</v>
      </c>
      <c r="P292">
        <f t="shared" si="3"/>
        <v>4.9643699172554248E-2</v>
      </c>
    </row>
    <row r="293" spans="1:16" x14ac:dyDescent="0.3">
      <c r="A293" s="1">
        <v>41730</v>
      </c>
      <c r="B293">
        <v>41.150002000000001</v>
      </c>
      <c r="C293">
        <v>41.66</v>
      </c>
      <c r="D293">
        <v>38.900002000000001</v>
      </c>
      <c r="E293">
        <v>40.400002000000001</v>
      </c>
      <c r="F293">
        <v>34.274185000000003</v>
      </c>
      <c r="G293">
        <v>746112500</v>
      </c>
      <c r="H293">
        <f t="shared" si="2"/>
        <v>1.3365832039477938E-2</v>
      </c>
      <c r="I293" s="1">
        <v>41730</v>
      </c>
      <c r="J293">
        <v>76.760002</v>
      </c>
      <c r="K293">
        <v>79.989998</v>
      </c>
      <c r="L293">
        <v>76.290001000000004</v>
      </c>
      <c r="M293">
        <v>79.709998999999996</v>
      </c>
      <c r="N293">
        <v>64.840903999999995</v>
      </c>
      <c r="O293">
        <v>133598600</v>
      </c>
      <c r="P293">
        <f t="shared" si="3"/>
        <v>-3.6883554245326348E-2</v>
      </c>
    </row>
    <row r="294" spans="1:16" x14ac:dyDescent="0.3">
      <c r="A294" s="1">
        <v>41760</v>
      </c>
      <c r="B294">
        <v>40.240001999999997</v>
      </c>
      <c r="C294">
        <v>40.970001000000003</v>
      </c>
      <c r="D294">
        <v>38.509998000000003</v>
      </c>
      <c r="E294">
        <v>40.939999</v>
      </c>
      <c r="F294">
        <v>34.732287999999997</v>
      </c>
      <c r="G294">
        <v>574362900</v>
      </c>
      <c r="H294">
        <f t="shared" si="2"/>
        <v>2.574998802267222E-2</v>
      </c>
      <c r="I294" s="1">
        <v>41760</v>
      </c>
      <c r="J294">
        <v>79.730002999999996</v>
      </c>
      <c r="K294">
        <v>79.760002</v>
      </c>
      <c r="L294">
        <v>75.239998</v>
      </c>
      <c r="M294">
        <v>76.769997000000004</v>
      </c>
      <c r="N294">
        <v>62.449340999999997</v>
      </c>
      <c r="O294">
        <v>121597900</v>
      </c>
      <c r="P294">
        <f t="shared" si="3"/>
        <v>-1.6090257861968379E-2</v>
      </c>
    </row>
    <row r="295" spans="1:16" x14ac:dyDescent="0.3">
      <c r="A295" s="1">
        <v>41791</v>
      </c>
      <c r="B295">
        <v>40.950001</v>
      </c>
      <c r="C295">
        <v>42.290000999999997</v>
      </c>
      <c r="D295">
        <v>39.860000999999997</v>
      </c>
      <c r="E295">
        <v>41.700001</v>
      </c>
      <c r="F295">
        <v>35.626643999999999</v>
      </c>
      <c r="G295">
        <v>555767300</v>
      </c>
      <c r="H295">
        <f t="shared" si="2"/>
        <v>3.5011914116861553E-2</v>
      </c>
      <c r="I295" s="1">
        <v>41791</v>
      </c>
      <c r="J295">
        <v>76.580001999999993</v>
      </c>
      <c r="K295">
        <v>77.760002</v>
      </c>
      <c r="L295">
        <v>74.669998000000007</v>
      </c>
      <c r="M295">
        <v>75.069999999999993</v>
      </c>
      <c r="N295">
        <v>61.444515000000003</v>
      </c>
      <c r="O295">
        <v>125875700</v>
      </c>
      <c r="P295">
        <f t="shared" si="3"/>
        <v>-1.9848118257585715E-2</v>
      </c>
    </row>
    <row r="296" spans="1:16" x14ac:dyDescent="0.3">
      <c r="A296" s="1">
        <v>41821</v>
      </c>
      <c r="B296">
        <v>41.860000999999997</v>
      </c>
      <c r="C296">
        <v>45.709999000000003</v>
      </c>
      <c r="D296">
        <v>41.049999</v>
      </c>
      <c r="E296">
        <v>43.16</v>
      </c>
      <c r="F296">
        <v>36.874001</v>
      </c>
      <c r="G296">
        <v>731616500</v>
      </c>
      <c r="H296">
        <f t="shared" si="2"/>
        <v>5.259510623758995E-2</v>
      </c>
      <c r="I296" s="1">
        <v>41821</v>
      </c>
      <c r="J296">
        <v>75.269997000000004</v>
      </c>
      <c r="K296">
        <v>77.569999999999993</v>
      </c>
      <c r="L296">
        <v>73.540001000000004</v>
      </c>
      <c r="M296">
        <v>73.580001999999993</v>
      </c>
      <c r="N296">
        <v>60.224957000000003</v>
      </c>
      <c r="O296">
        <v>120165500</v>
      </c>
      <c r="P296">
        <f t="shared" si="3"/>
        <v>2.6094182184306033E-2</v>
      </c>
    </row>
    <row r="297" spans="1:16" x14ac:dyDescent="0.3">
      <c r="A297" s="1">
        <v>41852</v>
      </c>
      <c r="B297">
        <v>43.209999000000003</v>
      </c>
      <c r="C297">
        <v>45.470001000000003</v>
      </c>
      <c r="D297">
        <v>42.209999000000003</v>
      </c>
      <c r="E297">
        <v>45.43</v>
      </c>
      <c r="F297">
        <v>38.813392999999998</v>
      </c>
      <c r="G297">
        <v>513919700</v>
      </c>
      <c r="H297">
        <f t="shared" si="2"/>
        <v>2.6844316342042041E-2</v>
      </c>
      <c r="I297" s="1">
        <v>41852</v>
      </c>
      <c r="J297">
        <v>73.319999999999993</v>
      </c>
      <c r="K297">
        <v>76.199996999999996</v>
      </c>
      <c r="L297">
        <v>72.769997000000004</v>
      </c>
      <c r="M297">
        <v>75.5</v>
      </c>
      <c r="N297">
        <v>61.796478</v>
      </c>
      <c r="O297">
        <v>114715100</v>
      </c>
      <c r="P297">
        <f t="shared" si="3"/>
        <v>1.9520076856159967E-2</v>
      </c>
    </row>
    <row r="298" spans="1:16" x14ac:dyDescent="0.3">
      <c r="A298" s="1">
        <v>41883</v>
      </c>
      <c r="B298">
        <v>45.43</v>
      </c>
      <c r="C298">
        <v>47.57</v>
      </c>
      <c r="D298">
        <v>44.529998999999997</v>
      </c>
      <c r="E298">
        <v>46.360000999999997</v>
      </c>
      <c r="F298">
        <v>39.855311999999998</v>
      </c>
      <c r="G298">
        <v>860827300</v>
      </c>
      <c r="H298">
        <f t="shared" si="2"/>
        <v>1.2727136598504111E-2</v>
      </c>
      <c r="I298" s="1">
        <v>41883</v>
      </c>
      <c r="J298">
        <v>75.419998000000007</v>
      </c>
      <c r="K298">
        <v>77.730002999999996</v>
      </c>
      <c r="L298">
        <v>75.410004000000001</v>
      </c>
      <c r="M298">
        <v>76.470000999999996</v>
      </c>
      <c r="N298">
        <v>63.002749999999999</v>
      </c>
      <c r="O298">
        <v>120321400</v>
      </c>
      <c r="P298">
        <f t="shared" si="3"/>
        <v>-2.6150604537103065E-3</v>
      </c>
    </row>
    <row r="299" spans="1:16" x14ac:dyDescent="0.3">
      <c r="A299" s="1">
        <v>41913</v>
      </c>
      <c r="B299">
        <v>46.27</v>
      </c>
      <c r="C299">
        <v>46.970001000000003</v>
      </c>
      <c r="D299">
        <v>42.099997999999999</v>
      </c>
      <c r="E299">
        <v>46.950001</v>
      </c>
      <c r="F299">
        <v>40.362555999999998</v>
      </c>
      <c r="G299">
        <v>853260900</v>
      </c>
      <c r="H299">
        <f t="shared" si="2"/>
        <v>1.8316679449140963E-2</v>
      </c>
      <c r="I299" s="1">
        <v>41913</v>
      </c>
      <c r="J299">
        <v>76.510002</v>
      </c>
      <c r="K299">
        <v>79.370002999999997</v>
      </c>
      <c r="L299">
        <v>72.610000999999997</v>
      </c>
      <c r="M299">
        <v>76.269997000000004</v>
      </c>
      <c r="N299">
        <v>62.837994000000002</v>
      </c>
      <c r="O299">
        <v>177386600</v>
      </c>
      <c r="P299">
        <f t="shared" si="3"/>
        <v>0.1477645514909339</v>
      </c>
    </row>
    <row r="300" spans="1:16" x14ac:dyDescent="0.3">
      <c r="A300" s="1">
        <v>41944</v>
      </c>
      <c r="B300">
        <v>46.889999000000003</v>
      </c>
      <c r="C300">
        <v>50.049999</v>
      </c>
      <c r="D300">
        <v>46.73</v>
      </c>
      <c r="E300">
        <v>47.810001</v>
      </c>
      <c r="F300">
        <v>41.101863999999999</v>
      </c>
      <c r="G300">
        <v>523005900</v>
      </c>
      <c r="H300">
        <f t="shared" si="2"/>
        <v>-2.2317941590191528E-2</v>
      </c>
      <c r="I300" s="1">
        <v>41944</v>
      </c>
      <c r="J300">
        <v>76.349997999999999</v>
      </c>
      <c r="K300">
        <v>88.089995999999999</v>
      </c>
      <c r="L300">
        <v>75.589995999999999</v>
      </c>
      <c r="M300">
        <v>87.540001000000004</v>
      </c>
      <c r="N300">
        <v>72.123221999999998</v>
      </c>
      <c r="O300">
        <v>159253200</v>
      </c>
      <c r="P300">
        <f t="shared" si="3"/>
        <v>-1.8962824483908951E-2</v>
      </c>
    </row>
    <row r="301" spans="1:16" x14ac:dyDescent="0.3">
      <c r="A301" s="1">
        <v>41974</v>
      </c>
      <c r="B301">
        <v>47.880001</v>
      </c>
      <c r="C301">
        <v>49.060001</v>
      </c>
      <c r="D301">
        <v>44.900002000000001</v>
      </c>
      <c r="E301">
        <v>46.450001</v>
      </c>
      <c r="F301">
        <v>40.184555000000003</v>
      </c>
      <c r="G301">
        <v>626771200</v>
      </c>
      <c r="H301">
        <f t="shared" si="2"/>
        <v>-0.13024755406648161</v>
      </c>
      <c r="I301" s="1">
        <v>41974</v>
      </c>
      <c r="J301">
        <v>86.720000999999996</v>
      </c>
      <c r="K301">
        <v>87.440002000000007</v>
      </c>
      <c r="L301">
        <v>82.650002000000001</v>
      </c>
      <c r="M301">
        <v>85.879997000000003</v>
      </c>
      <c r="N301">
        <v>70.755561999999998</v>
      </c>
      <c r="O301">
        <v>138945800</v>
      </c>
      <c r="P301">
        <f t="shared" si="3"/>
        <v>-4.9518651268714827E-3</v>
      </c>
    </row>
    <row r="302" spans="1:16" x14ac:dyDescent="0.3">
      <c r="A302" s="1">
        <v>42005</v>
      </c>
      <c r="B302">
        <v>46.66</v>
      </c>
      <c r="C302">
        <v>47.91</v>
      </c>
      <c r="D302">
        <v>40.349997999999999</v>
      </c>
      <c r="E302">
        <v>40.400002000000001</v>
      </c>
      <c r="F302">
        <v>34.950614999999999</v>
      </c>
      <c r="G302">
        <v>918966800</v>
      </c>
      <c r="H302">
        <f t="shared" si="2"/>
        <v>8.5395979441277386E-2</v>
      </c>
      <c r="I302" s="1">
        <v>42005</v>
      </c>
      <c r="J302">
        <v>86.269997000000004</v>
      </c>
      <c r="K302">
        <v>90.970000999999996</v>
      </c>
      <c r="L302">
        <v>84.900002000000001</v>
      </c>
      <c r="M302">
        <v>84.980002999999996</v>
      </c>
      <c r="N302">
        <v>70.405190000000005</v>
      </c>
      <c r="O302">
        <v>158927700</v>
      </c>
      <c r="P302">
        <f t="shared" si="3"/>
        <v>-1.2356006709164539E-2</v>
      </c>
    </row>
    <row r="303" spans="1:16" x14ac:dyDescent="0.3">
      <c r="A303" s="1">
        <v>42036</v>
      </c>
      <c r="B303">
        <v>40.590000000000003</v>
      </c>
      <c r="C303">
        <v>44.299999</v>
      </c>
      <c r="D303">
        <v>40.229999999999997</v>
      </c>
      <c r="E303">
        <v>43.849997999999999</v>
      </c>
      <c r="F303">
        <v>37.935257</v>
      </c>
      <c r="G303">
        <v>656509700</v>
      </c>
      <c r="H303">
        <f t="shared" si="2"/>
        <v>-6.6149334377779451E-2</v>
      </c>
      <c r="I303" s="1">
        <v>42036</v>
      </c>
      <c r="J303">
        <v>84.790001000000004</v>
      </c>
      <c r="K303">
        <v>88</v>
      </c>
      <c r="L303">
        <v>82.550003000000004</v>
      </c>
      <c r="M303">
        <v>83.93</v>
      </c>
      <c r="N303">
        <v>69.535263</v>
      </c>
      <c r="O303">
        <v>138540500</v>
      </c>
      <c r="P303">
        <f t="shared" si="3"/>
        <v>-2.0016620919374475E-2</v>
      </c>
    </row>
    <row r="304" spans="1:16" x14ac:dyDescent="0.3">
      <c r="A304" s="1">
        <v>42064</v>
      </c>
      <c r="B304">
        <v>43.669998</v>
      </c>
      <c r="C304">
        <v>44.189999</v>
      </c>
      <c r="D304">
        <v>40.540000999999997</v>
      </c>
      <c r="E304">
        <v>40.659999999999997</v>
      </c>
      <c r="F304">
        <v>35.425865000000002</v>
      </c>
      <c r="G304">
        <v>824335300</v>
      </c>
      <c r="H304">
        <f t="shared" si="2"/>
        <v>0.19626199670777267</v>
      </c>
      <c r="I304" s="1">
        <v>42064</v>
      </c>
      <c r="J304">
        <v>83.93</v>
      </c>
      <c r="K304">
        <v>84</v>
      </c>
      <c r="L304">
        <v>80.540001000000004</v>
      </c>
      <c r="M304">
        <v>82.25</v>
      </c>
      <c r="N304">
        <v>68.143401999999995</v>
      </c>
      <c r="O304">
        <v>142533000</v>
      </c>
      <c r="P304">
        <f t="shared" si="3"/>
        <v>-4.5364083818415731E-2</v>
      </c>
    </row>
    <row r="305" spans="1:16" x14ac:dyDescent="0.3">
      <c r="A305" s="1">
        <v>42095</v>
      </c>
      <c r="B305">
        <v>40.599997999999999</v>
      </c>
      <c r="C305">
        <v>49.540000999999997</v>
      </c>
      <c r="D305">
        <v>40.119999</v>
      </c>
      <c r="E305">
        <v>48.639999000000003</v>
      </c>
      <c r="F305">
        <v>42.378616000000001</v>
      </c>
      <c r="G305">
        <v>874535300</v>
      </c>
      <c r="H305">
        <f t="shared" si="2"/>
        <v>-3.6595272483650729E-2</v>
      </c>
      <c r="I305" s="1">
        <v>42095</v>
      </c>
      <c r="J305">
        <v>82.279999000000004</v>
      </c>
      <c r="K305">
        <v>82.279999000000004</v>
      </c>
      <c r="L305">
        <v>77.550003000000004</v>
      </c>
      <c r="M305">
        <v>78.050003000000004</v>
      </c>
      <c r="N305">
        <v>65.052138999999997</v>
      </c>
      <c r="O305">
        <v>143685100</v>
      </c>
      <c r="P305">
        <f t="shared" si="3"/>
        <v>-4.8430628852957416E-2</v>
      </c>
    </row>
    <row r="306" spans="1:16" x14ac:dyDescent="0.3">
      <c r="A306" s="1">
        <v>42125</v>
      </c>
      <c r="B306">
        <v>48.580002</v>
      </c>
      <c r="C306">
        <v>48.91</v>
      </c>
      <c r="D306">
        <v>46.02</v>
      </c>
      <c r="E306">
        <v>46.860000999999997</v>
      </c>
      <c r="F306">
        <v>40.827759</v>
      </c>
      <c r="G306">
        <v>633072800</v>
      </c>
      <c r="H306">
        <f t="shared" si="2"/>
        <v>-5.1708863080141103E-2</v>
      </c>
      <c r="I306" s="1">
        <v>42125</v>
      </c>
      <c r="J306">
        <v>78.199996999999996</v>
      </c>
      <c r="K306">
        <v>79.940002000000007</v>
      </c>
      <c r="L306">
        <v>74.150002000000001</v>
      </c>
      <c r="M306">
        <v>74.269997000000004</v>
      </c>
      <c r="N306">
        <v>61.901623000000001</v>
      </c>
      <c r="O306">
        <v>151125700</v>
      </c>
      <c r="P306">
        <f t="shared" si="3"/>
        <v>-3.8943534646902575E-2</v>
      </c>
    </row>
    <row r="307" spans="1:16" x14ac:dyDescent="0.3">
      <c r="A307" s="1">
        <v>42156</v>
      </c>
      <c r="B307">
        <v>47.060001</v>
      </c>
      <c r="C307">
        <v>47.77</v>
      </c>
      <c r="D307">
        <v>43.939999</v>
      </c>
      <c r="E307">
        <v>44.150002000000001</v>
      </c>
      <c r="F307">
        <v>38.716602000000002</v>
      </c>
      <c r="G307">
        <v>664853400</v>
      </c>
      <c r="H307">
        <f t="shared" si="2"/>
        <v>5.7757548041018687E-2</v>
      </c>
      <c r="I307" s="1">
        <v>42156</v>
      </c>
      <c r="J307">
        <v>74.690002000000007</v>
      </c>
      <c r="K307">
        <v>75.199996999999996</v>
      </c>
      <c r="L307">
        <v>70.779999000000004</v>
      </c>
      <c r="M307">
        <v>70.930000000000007</v>
      </c>
      <c r="N307">
        <v>59.490955</v>
      </c>
      <c r="O307">
        <v>176565700</v>
      </c>
      <c r="P307">
        <f t="shared" si="3"/>
        <v>1.4803157891817333E-2</v>
      </c>
    </row>
    <row r="308" spans="1:16" x14ac:dyDescent="0.3">
      <c r="A308" s="1">
        <v>42186</v>
      </c>
      <c r="B308">
        <v>44.459999000000003</v>
      </c>
      <c r="C308">
        <v>47.400002000000001</v>
      </c>
      <c r="D308">
        <v>43.32</v>
      </c>
      <c r="E308">
        <v>46.700001</v>
      </c>
      <c r="F308">
        <v>40.952778000000002</v>
      </c>
      <c r="G308">
        <v>725458100</v>
      </c>
      <c r="H308">
        <f t="shared" si="2"/>
        <v>-6.8094013060603684E-2</v>
      </c>
      <c r="I308" s="1">
        <v>42186</v>
      </c>
      <c r="J308">
        <v>71.599997999999999</v>
      </c>
      <c r="K308">
        <v>74.139999000000003</v>
      </c>
      <c r="L308">
        <v>70.360000999999997</v>
      </c>
      <c r="M308">
        <v>71.980002999999996</v>
      </c>
      <c r="N308">
        <v>60.371608999999999</v>
      </c>
      <c r="O308">
        <v>150420400</v>
      </c>
      <c r="P308">
        <f t="shared" si="3"/>
        <v>-0.100722261684296</v>
      </c>
    </row>
    <row r="309" spans="1:16" x14ac:dyDescent="0.3">
      <c r="A309" s="1">
        <v>42217</v>
      </c>
      <c r="B309">
        <v>46.98</v>
      </c>
      <c r="C309">
        <v>48.41</v>
      </c>
      <c r="D309">
        <v>39.720001000000003</v>
      </c>
      <c r="E309">
        <v>43.52</v>
      </c>
      <c r="F309">
        <v>38.164138999999999</v>
      </c>
      <c r="G309">
        <v>776480300</v>
      </c>
      <c r="H309">
        <f t="shared" si="2"/>
        <v>2.3709823507350736E-2</v>
      </c>
      <c r="I309" s="1">
        <v>42217</v>
      </c>
      <c r="J309">
        <v>71.839995999999999</v>
      </c>
      <c r="K309">
        <v>73.690002000000007</v>
      </c>
      <c r="L309">
        <v>61.5</v>
      </c>
      <c r="M309">
        <v>64.730002999999996</v>
      </c>
      <c r="N309">
        <v>54.290844</v>
      </c>
      <c r="O309">
        <v>227361100</v>
      </c>
      <c r="P309">
        <f t="shared" si="3"/>
        <v>8.5391194139476361E-3</v>
      </c>
    </row>
    <row r="310" spans="1:16" x14ac:dyDescent="0.3">
      <c r="A310" s="1">
        <v>42248</v>
      </c>
      <c r="B310">
        <v>42.169998</v>
      </c>
      <c r="C310">
        <v>45</v>
      </c>
      <c r="D310">
        <v>41.66</v>
      </c>
      <c r="E310">
        <v>44.259998000000003</v>
      </c>
      <c r="F310">
        <v>39.069004</v>
      </c>
      <c r="G310">
        <v>673079900</v>
      </c>
      <c r="H310">
        <f t="shared" si="2"/>
        <v>0.18933595030986722</v>
      </c>
      <c r="I310" s="1">
        <v>42248</v>
      </c>
      <c r="J310">
        <v>63.799999</v>
      </c>
      <c r="K310">
        <v>67.010002</v>
      </c>
      <c r="L310">
        <v>62.919998</v>
      </c>
      <c r="M310">
        <v>64.839995999999999</v>
      </c>
      <c r="N310">
        <v>54.754440000000002</v>
      </c>
      <c r="O310">
        <v>190814000</v>
      </c>
      <c r="P310">
        <f t="shared" si="3"/>
        <v>-0.11721149919531641</v>
      </c>
    </row>
    <row r="311" spans="1:16" x14ac:dyDescent="0.3">
      <c r="A311" s="1">
        <v>42278</v>
      </c>
      <c r="B311">
        <v>44.75</v>
      </c>
      <c r="C311">
        <v>54.369999</v>
      </c>
      <c r="D311">
        <v>43.75</v>
      </c>
      <c r="E311">
        <v>52.639999000000003</v>
      </c>
      <c r="F311">
        <v>46.466171000000003</v>
      </c>
      <c r="G311">
        <v>856716800</v>
      </c>
      <c r="H311">
        <f t="shared" si="2"/>
        <v>3.2484987842015228E-2</v>
      </c>
      <c r="I311" s="1">
        <v>42278</v>
      </c>
      <c r="J311">
        <v>64.760002</v>
      </c>
      <c r="K311">
        <v>67.949996999999996</v>
      </c>
      <c r="L311">
        <v>57.16</v>
      </c>
      <c r="M311">
        <v>57.240001999999997</v>
      </c>
      <c r="N311">
        <v>48.336590000000001</v>
      </c>
      <c r="O311">
        <v>347169000</v>
      </c>
      <c r="P311">
        <f t="shared" si="3"/>
        <v>2.7952406241317368E-2</v>
      </c>
    </row>
    <row r="312" spans="1:16" x14ac:dyDescent="0.3">
      <c r="A312" s="1">
        <v>42309</v>
      </c>
      <c r="B312">
        <v>52.849997999999999</v>
      </c>
      <c r="C312">
        <v>54.98</v>
      </c>
      <c r="D312">
        <v>52.529998999999997</v>
      </c>
      <c r="E312">
        <v>54.349997999999999</v>
      </c>
      <c r="F312">
        <v>47.975624000000003</v>
      </c>
      <c r="G312">
        <v>662626600</v>
      </c>
      <c r="H312">
        <f t="shared" si="2"/>
        <v>2.7671406629333151E-2</v>
      </c>
      <c r="I312" s="1">
        <v>42309</v>
      </c>
      <c r="J312">
        <v>57.290000999999997</v>
      </c>
      <c r="K312">
        <v>61.470001000000003</v>
      </c>
      <c r="L312">
        <v>56.299999</v>
      </c>
      <c r="M312">
        <v>58.84</v>
      </c>
      <c r="N312">
        <v>49.687714</v>
      </c>
      <c r="O312">
        <v>224629400</v>
      </c>
      <c r="P312">
        <f t="shared" si="3"/>
        <v>4.1808504210920173E-2</v>
      </c>
    </row>
    <row r="313" spans="1:16" x14ac:dyDescent="0.3">
      <c r="A313" s="1">
        <v>42339</v>
      </c>
      <c r="B313">
        <v>54.41</v>
      </c>
      <c r="C313">
        <v>56.849997999999999</v>
      </c>
      <c r="D313">
        <v>53.68</v>
      </c>
      <c r="E313">
        <v>55.48</v>
      </c>
      <c r="F313">
        <v>49.303176999999998</v>
      </c>
      <c r="G313">
        <v>792820900</v>
      </c>
      <c r="H313">
        <f t="shared" si="2"/>
        <v>-7.0294253045802583E-3</v>
      </c>
      <c r="I313" s="1">
        <v>42339</v>
      </c>
      <c r="J313">
        <v>59.130001</v>
      </c>
      <c r="K313">
        <v>61.869999</v>
      </c>
      <c r="L313">
        <v>58.32</v>
      </c>
      <c r="M313">
        <v>61.299999</v>
      </c>
      <c r="N313">
        <v>51.765082999999997</v>
      </c>
      <c r="O313">
        <v>226975100</v>
      </c>
      <c r="P313">
        <f t="shared" si="3"/>
        <v>9.1612429173541579E-2</v>
      </c>
    </row>
    <row r="314" spans="1:16" x14ac:dyDescent="0.3">
      <c r="A314" s="1">
        <v>42370</v>
      </c>
      <c r="B314">
        <v>54.32</v>
      </c>
      <c r="C314">
        <v>55.389999000000003</v>
      </c>
      <c r="D314">
        <v>49.099997999999999</v>
      </c>
      <c r="E314">
        <v>55.09</v>
      </c>
      <c r="F314">
        <v>48.956603999999999</v>
      </c>
      <c r="G314">
        <v>927914700</v>
      </c>
      <c r="H314">
        <f t="shared" si="2"/>
        <v>-7.6420333403844687E-2</v>
      </c>
      <c r="I314" s="1">
        <v>42370</v>
      </c>
      <c r="J314">
        <v>60.5</v>
      </c>
      <c r="K314">
        <v>66.529999000000004</v>
      </c>
      <c r="L314">
        <v>60.200001</v>
      </c>
      <c r="M314">
        <v>66.360000999999997</v>
      </c>
      <c r="N314">
        <v>56.507407999999998</v>
      </c>
      <c r="O314">
        <v>264665800</v>
      </c>
      <c r="P314">
        <f t="shared" si="3"/>
        <v>-3.0162416934782261E-4</v>
      </c>
    </row>
    <row r="315" spans="1:16" x14ac:dyDescent="0.3">
      <c r="A315" s="1">
        <v>42401</v>
      </c>
      <c r="B315">
        <v>54.880001</v>
      </c>
      <c r="C315">
        <v>55.09</v>
      </c>
      <c r="D315">
        <v>48.189999</v>
      </c>
      <c r="E315">
        <v>50.880001</v>
      </c>
      <c r="F315">
        <v>45.215324000000003</v>
      </c>
      <c r="G315">
        <v>814770900</v>
      </c>
      <c r="H315">
        <f t="shared" si="2"/>
        <v>9.3288881442052635E-2</v>
      </c>
      <c r="I315" s="1">
        <v>42401</v>
      </c>
      <c r="J315">
        <v>65.910004000000001</v>
      </c>
      <c r="K315">
        <v>68.199996999999996</v>
      </c>
      <c r="L315">
        <v>62.349997999999999</v>
      </c>
      <c r="M315">
        <v>66.339995999999999</v>
      </c>
      <c r="N315">
        <v>56.490364</v>
      </c>
      <c r="O315">
        <v>263102700</v>
      </c>
      <c r="P315">
        <f t="shared" si="3"/>
        <v>3.240864229517091E-2</v>
      </c>
    </row>
    <row r="316" spans="1:16" x14ac:dyDescent="0.3">
      <c r="A316" s="1">
        <v>42430</v>
      </c>
      <c r="B316">
        <v>50.970001000000003</v>
      </c>
      <c r="C316">
        <v>55.639999000000003</v>
      </c>
      <c r="D316">
        <v>50.580002</v>
      </c>
      <c r="E316">
        <v>55.23</v>
      </c>
      <c r="F316">
        <v>49.433411</v>
      </c>
      <c r="G316">
        <v>641110900</v>
      </c>
      <c r="H316">
        <f t="shared" si="2"/>
        <v>-9.7048836059482113E-2</v>
      </c>
      <c r="I316" s="1">
        <v>42430</v>
      </c>
      <c r="J316">
        <v>66.650002000000001</v>
      </c>
      <c r="K316">
        <v>69.190002000000007</v>
      </c>
      <c r="L316">
        <v>64.879997000000003</v>
      </c>
      <c r="M316">
        <v>68.489998</v>
      </c>
      <c r="N316">
        <v>58.32114</v>
      </c>
      <c r="O316">
        <v>203107900</v>
      </c>
      <c r="P316">
        <f t="shared" si="3"/>
        <v>-1.642491899163839E-2</v>
      </c>
    </row>
    <row r="317" spans="1:16" x14ac:dyDescent="0.3">
      <c r="A317" s="1">
        <v>42461</v>
      </c>
      <c r="B317">
        <v>55.049999</v>
      </c>
      <c r="C317">
        <v>56.77</v>
      </c>
      <c r="D317">
        <v>49.349997999999999</v>
      </c>
      <c r="E317">
        <v>49.869999</v>
      </c>
      <c r="F317">
        <v>44.635956</v>
      </c>
      <c r="G317">
        <v>699025700</v>
      </c>
      <c r="H317">
        <f t="shared" si="2"/>
        <v>6.2763167881964899E-2</v>
      </c>
      <c r="I317" s="1">
        <v>42461</v>
      </c>
      <c r="J317">
        <v>68.019997000000004</v>
      </c>
      <c r="K317">
        <v>70.080001999999993</v>
      </c>
      <c r="L317">
        <v>66.360000999999997</v>
      </c>
      <c r="M317">
        <v>66.870002999999997</v>
      </c>
      <c r="N317">
        <v>57.363219999999998</v>
      </c>
      <c r="O317">
        <v>141253600</v>
      </c>
      <c r="P317">
        <f t="shared" si="3"/>
        <v>5.8471717591864626E-2</v>
      </c>
    </row>
    <row r="318" spans="1:16" x14ac:dyDescent="0.3">
      <c r="A318" s="1">
        <v>42491</v>
      </c>
      <c r="B318">
        <v>50</v>
      </c>
      <c r="C318">
        <v>53</v>
      </c>
      <c r="D318">
        <v>49.459999000000003</v>
      </c>
      <c r="E318">
        <v>53</v>
      </c>
      <c r="F318">
        <v>47.437449999999998</v>
      </c>
      <c r="G318">
        <v>530704800</v>
      </c>
      <c r="H318">
        <f t="shared" si="2"/>
        <v>-2.7775207141193321E-2</v>
      </c>
      <c r="I318" s="1">
        <v>42491</v>
      </c>
      <c r="J318">
        <v>66.620002999999997</v>
      </c>
      <c r="K318">
        <v>71.379997000000003</v>
      </c>
      <c r="L318">
        <v>62.720001000000003</v>
      </c>
      <c r="M318">
        <v>70.779999000000004</v>
      </c>
      <c r="N318">
        <v>60.717345999999999</v>
      </c>
      <c r="O318">
        <v>232976200</v>
      </c>
      <c r="P318">
        <f t="shared" si="3"/>
        <v>3.9200675866168475E-2</v>
      </c>
    </row>
    <row r="319" spans="1:16" x14ac:dyDescent="0.3">
      <c r="A319" s="1">
        <v>42522</v>
      </c>
      <c r="B319">
        <v>52.439999</v>
      </c>
      <c r="C319">
        <v>52.950001</v>
      </c>
      <c r="D319">
        <v>48.040000999999997</v>
      </c>
      <c r="E319">
        <v>51.169998</v>
      </c>
      <c r="F319">
        <v>46.119864999999997</v>
      </c>
      <c r="G319">
        <v>823627000</v>
      </c>
      <c r="H319">
        <f t="shared" si="2"/>
        <v>0.10768008536018053</v>
      </c>
      <c r="I319" s="1">
        <v>42522</v>
      </c>
      <c r="J319">
        <v>70.5</v>
      </c>
      <c r="K319">
        <v>73.190002000000007</v>
      </c>
      <c r="L319">
        <v>70.150002000000001</v>
      </c>
      <c r="M319">
        <v>73.019997000000004</v>
      </c>
      <c r="N319">
        <v>63.097507</v>
      </c>
      <c r="O319">
        <v>185919600</v>
      </c>
      <c r="P319">
        <f t="shared" si="3"/>
        <v>-6.8417917050198963E-4</v>
      </c>
    </row>
    <row r="320" spans="1:16" x14ac:dyDescent="0.3">
      <c r="A320" s="1">
        <v>42552</v>
      </c>
      <c r="B320">
        <v>51.130001</v>
      </c>
      <c r="C320">
        <v>57.290000999999997</v>
      </c>
      <c r="D320">
        <v>50.389999000000003</v>
      </c>
      <c r="E320">
        <v>56.68</v>
      </c>
      <c r="F320">
        <v>51.086055999999999</v>
      </c>
      <c r="G320">
        <v>647587800</v>
      </c>
      <c r="H320">
        <f t="shared" si="2"/>
        <v>1.3761524279737005E-2</v>
      </c>
      <c r="I320" s="1">
        <v>42552</v>
      </c>
      <c r="J320">
        <v>73.129997000000003</v>
      </c>
      <c r="K320">
        <v>74.349997999999999</v>
      </c>
      <c r="L320">
        <v>72.419998000000007</v>
      </c>
      <c r="M320">
        <v>72.970000999999996</v>
      </c>
      <c r="N320">
        <v>63.054336999999997</v>
      </c>
      <c r="O320">
        <v>137723500</v>
      </c>
      <c r="P320">
        <f t="shared" si="3"/>
        <v>-2.0968089792142243E-2</v>
      </c>
    </row>
    <row r="321" spans="1:16" x14ac:dyDescent="0.3">
      <c r="A321" s="1">
        <v>42583</v>
      </c>
      <c r="B321">
        <v>56.599997999999999</v>
      </c>
      <c r="C321">
        <v>58.700001</v>
      </c>
      <c r="D321">
        <v>56.139999000000003</v>
      </c>
      <c r="E321">
        <v>57.459999000000003</v>
      </c>
      <c r="F321">
        <v>51.789078000000003</v>
      </c>
      <c r="G321">
        <v>467078900</v>
      </c>
      <c r="H321">
        <f t="shared" si="2"/>
        <v>8.6842441952721585E-3</v>
      </c>
      <c r="I321" s="1">
        <v>42583</v>
      </c>
      <c r="J321">
        <v>72.809997999999993</v>
      </c>
      <c r="K321">
        <v>75.190002000000007</v>
      </c>
      <c r="L321">
        <v>70.889999000000003</v>
      </c>
      <c r="M321">
        <v>71.440002000000007</v>
      </c>
      <c r="N321">
        <v>61.732208</v>
      </c>
      <c r="O321">
        <v>212460000</v>
      </c>
      <c r="P321">
        <f t="shared" si="3"/>
        <v>1.6429251971677453E-2</v>
      </c>
    </row>
    <row r="322" spans="1:16" x14ac:dyDescent="0.3">
      <c r="A322" s="1">
        <v>42614</v>
      </c>
      <c r="B322">
        <v>57.009998000000003</v>
      </c>
      <c r="C322">
        <v>58.189999</v>
      </c>
      <c r="D322">
        <v>55.610000999999997</v>
      </c>
      <c r="E322">
        <v>57.599997999999999</v>
      </c>
      <c r="F322">
        <v>52.238827000000001</v>
      </c>
      <c r="G322">
        <v>526427800</v>
      </c>
      <c r="H322">
        <f t="shared" si="2"/>
        <v>4.0277876070992223E-2</v>
      </c>
      <c r="I322" s="1">
        <v>42614</v>
      </c>
      <c r="J322">
        <v>71.569999999999993</v>
      </c>
      <c r="K322">
        <v>73.190002000000007</v>
      </c>
      <c r="L322">
        <v>70.300003000000004</v>
      </c>
      <c r="M322">
        <v>72.120002999999997</v>
      </c>
      <c r="N322">
        <v>62.746422000000003</v>
      </c>
      <c r="O322">
        <v>176983900</v>
      </c>
      <c r="P322">
        <f t="shared" si="3"/>
        <v>-2.9118106527253513E-2</v>
      </c>
    </row>
    <row r="323" spans="1:16" x14ac:dyDescent="0.3">
      <c r="A323" s="1">
        <v>42644</v>
      </c>
      <c r="B323">
        <v>57.41</v>
      </c>
      <c r="C323">
        <v>61.369999</v>
      </c>
      <c r="D323">
        <v>56.32</v>
      </c>
      <c r="E323">
        <v>59.919998</v>
      </c>
      <c r="F323">
        <v>54.342896000000003</v>
      </c>
      <c r="G323">
        <v>614841800</v>
      </c>
      <c r="H323">
        <f t="shared" si="2"/>
        <v>5.6740627146553918E-3</v>
      </c>
      <c r="I323" s="1">
        <v>42644</v>
      </c>
      <c r="J323">
        <v>71.830001999999993</v>
      </c>
      <c r="K323">
        <v>72.569999999999993</v>
      </c>
      <c r="L323">
        <v>67.069999999999993</v>
      </c>
      <c r="M323">
        <v>70.019997000000004</v>
      </c>
      <c r="N323">
        <v>60.919364999999999</v>
      </c>
      <c r="O323">
        <v>170716200</v>
      </c>
      <c r="P323">
        <f t="shared" si="3"/>
        <v>5.8556092959932008E-3</v>
      </c>
    </row>
    <row r="324" spans="1:16" x14ac:dyDescent="0.3">
      <c r="A324" s="1">
        <v>42675</v>
      </c>
      <c r="B324">
        <v>59.970001000000003</v>
      </c>
      <c r="C324">
        <v>61.41</v>
      </c>
      <c r="D324">
        <v>57.279998999999997</v>
      </c>
      <c r="E324">
        <v>60.259998000000003</v>
      </c>
      <c r="F324">
        <v>54.651240999999999</v>
      </c>
      <c r="G324">
        <v>613056800</v>
      </c>
      <c r="H324">
        <f t="shared" si="2"/>
        <v>3.8164604532951063E-2</v>
      </c>
      <c r="I324" s="1">
        <v>42675</v>
      </c>
      <c r="J324">
        <v>69.980002999999996</v>
      </c>
      <c r="K324">
        <v>72.089995999999999</v>
      </c>
      <c r="L324">
        <v>68.120002999999997</v>
      </c>
      <c r="M324">
        <v>70.430000000000007</v>
      </c>
      <c r="N324">
        <v>61.276085000000002</v>
      </c>
      <c r="O324">
        <v>210370600</v>
      </c>
      <c r="P324">
        <f t="shared" si="3"/>
        <v>-1.8599899128673162E-2</v>
      </c>
    </row>
    <row r="325" spans="1:16" x14ac:dyDescent="0.3">
      <c r="A325" s="1">
        <v>42705</v>
      </c>
      <c r="B325">
        <v>60.110000999999997</v>
      </c>
      <c r="C325">
        <v>64.099997999999999</v>
      </c>
      <c r="D325">
        <v>58.799999</v>
      </c>
      <c r="E325">
        <v>62.139999000000003</v>
      </c>
      <c r="F325">
        <v>56.736984</v>
      </c>
      <c r="G325">
        <v>513579700</v>
      </c>
      <c r="H325">
        <f t="shared" si="2"/>
        <v>4.0392770965760195E-2</v>
      </c>
      <c r="I325" s="1">
        <v>42705</v>
      </c>
      <c r="J325">
        <v>70.25</v>
      </c>
      <c r="K325">
        <v>72.480002999999996</v>
      </c>
      <c r="L325">
        <v>68.830001999999993</v>
      </c>
      <c r="M325">
        <v>69.120002999999997</v>
      </c>
      <c r="N325">
        <v>60.136355999999999</v>
      </c>
      <c r="O325">
        <v>162527500</v>
      </c>
      <c r="P325">
        <f t="shared" si="3"/>
        <v>-2.7522668649892921E-2</v>
      </c>
    </row>
    <row r="326" spans="1:16" x14ac:dyDescent="0.3">
      <c r="A326" s="1">
        <v>42736</v>
      </c>
      <c r="B326">
        <v>62.790000999999997</v>
      </c>
      <c r="C326">
        <v>65.910004000000001</v>
      </c>
      <c r="D326">
        <v>61.950001</v>
      </c>
      <c r="E326">
        <v>64.650002000000001</v>
      </c>
      <c r="F326">
        <v>59.028748</v>
      </c>
      <c r="G326">
        <v>493453500</v>
      </c>
      <c r="H326">
        <f t="shared" si="2"/>
        <v>-1.0363441894447805E-2</v>
      </c>
      <c r="I326" s="1">
        <v>42736</v>
      </c>
      <c r="J326">
        <v>69.239998</v>
      </c>
      <c r="K326">
        <v>69.629997000000003</v>
      </c>
      <c r="L326">
        <v>65.279999000000004</v>
      </c>
      <c r="M326">
        <v>66.739998</v>
      </c>
      <c r="N326">
        <v>58.481242999999999</v>
      </c>
      <c r="O326">
        <v>181828000</v>
      </c>
      <c r="P326">
        <f t="shared" si="3"/>
        <v>6.2781155318466828E-2</v>
      </c>
    </row>
    <row r="327" spans="1:16" x14ac:dyDescent="0.3">
      <c r="A327" s="1">
        <v>42767</v>
      </c>
      <c r="B327">
        <v>64.360000999999997</v>
      </c>
      <c r="C327">
        <v>65.239998</v>
      </c>
      <c r="D327">
        <v>62.75</v>
      </c>
      <c r="E327">
        <v>63.98</v>
      </c>
      <c r="F327">
        <v>58.417006999999998</v>
      </c>
      <c r="G327">
        <v>440744000</v>
      </c>
      <c r="H327">
        <f t="shared" si="2"/>
        <v>3.5624522838015392E-2</v>
      </c>
      <c r="I327" s="1">
        <v>42767</v>
      </c>
      <c r="J327">
        <v>66.459998999999996</v>
      </c>
      <c r="K327">
        <v>72.800003000000004</v>
      </c>
      <c r="L327">
        <v>66.040001000000004</v>
      </c>
      <c r="M327">
        <v>70.930000000000007</v>
      </c>
      <c r="N327">
        <v>62.152763</v>
      </c>
      <c r="O327">
        <v>207967400</v>
      </c>
      <c r="P327">
        <f t="shared" si="3"/>
        <v>1.6213245419193958E-2</v>
      </c>
    </row>
    <row r="328" spans="1:16" x14ac:dyDescent="0.3">
      <c r="A328" s="1">
        <v>42795</v>
      </c>
      <c r="B328">
        <v>64.129997000000003</v>
      </c>
      <c r="C328">
        <v>66.190002000000007</v>
      </c>
      <c r="D328">
        <v>63.619999</v>
      </c>
      <c r="E328">
        <v>65.860000999999997</v>
      </c>
      <c r="F328">
        <v>60.498085000000003</v>
      </c>
      <c r="G328">
        <v>489169700</v>
      </c>
      <c r="H328">
        <f t="shared" si="2"/>
        <v>3.9478009923785133E-2</v>
      </c>
      <c r="I328" s="1">
        <v>42795</v>
      </c>
      <c r="J328">
        <v>70.970000999999996</v>
      </c>
      <c r="K328">
        <v>72.559997999999993</v>
      </c>
      <c r="L328">
        <v>69.330001999999993</v>
      </c>
      <c r="M328">
        <v>72.080001999999993</v>
      </c>
      <c r="N328">
        <v>63.160460999999998</v>
      </c>
      <c r="O328">
        <v>191103100</v>
      </c>
      <c r="P328">
        <f t="shared" si="3"/>
        <v>5.0677242523609924E-2</v>
      </c>
    </row>
    <row r="329" spans="1:16" x14ac:dyDescent="0.3">
      <c r="A329" s="1">
        <v>42826</v>
      </c>
      <c r="B329">
        <v>65.809997999999993</v>
      </c>
      <c r="C329">
        <v>69.139999000000003</v>
      </c>
      <c r="D329">
        <v>64.849997999999999</v>
      </c>
      <c r="E329">
        <v>68.459998999999996</v>
      </c>
      <c r="F329">
        <v>62.886429</v>
      </c>
      <c r="G329">
        <v>433191200</v>
      </c>
      <c r="H329">
        <f t="shared" si="2"/>
        <v>2.0157719561401773E-2</v>
      </c>
      <c r="I329" s="1">
        <v>42826</v>
      </c>
      <c r="J329">
        <v>72.080001999999993</v>
      </c>
      <c r="K329">
        <v>75.769997000000004</v>
      </c>
      <c r="L329">
        <v>71.379997000000003</v>
      </c>
      <c r="M329">
        <v>75.180000000000007</v>
      </c>
      <c r="N329">
        <v>66.361259000000004</v>
      </c>
      <c r="O329">
        <v>127527200</v>
      </c>
      <c r="P329">
        <f t="shared" si="3"/>
        <v>4.5490276186592397E-2</v>
      </c>
    </row>
    <row r="330" spans="1:16" x14ac:dyDescent="0.3">
      <c r="A330" s="1">
        <v>42856</v>
      </c>
      <c r="B330">
        <v>68.680000000000007</v>
      </c>
      <c r="C330">
        <v>70.739998</v>
      </c>
      <c r="D330">
        <v>67.139999000000003</v>
      </c>
      <c r="E330">
        <v>69.839995999999999</v>
      </c>
      <c r="F330">
        <v>64.154076000000003</v>
      </c>
      <c r="G330">
        <v>517218500</v>
      </c>
      <c r="H330">
        <f t="shared" si="2"/>
        <v>-7.3725791015991611E-3</v>
      </c>
      <c r="I330" s="1">
        <v>42856</v>
      </c>
      <c r="J330">
        <v>75.089995999999999</v>
      </c>
      <c r="K330">
        <v>79.440002000000007</v>
      </c>
      <c r="L330">
        <v>74.959998999999996</v>
      </c>
      <c r="M330">
        <v>78.599997999999999</v>
      </c>
      <c r="N330">
        <v>69.380050999999995</v>
      </c>
      <c r="O330">
        <v>182345800</v>
      </c>
      <c r="P330">
        <f t="shared" si="3"/>
        <v>-3.0706694061092565E-2</v>
      </c>
    </row>
    <row r="331" spans="1:16" x14ac:dyDescent="0.3">
      <c r="A331" s="1">
        <v>42887</v>
      </c>
      <c r="B331">
        <v>70.239998</v>
      </c>
      <c r="C331">
        <v>72.889999000000003</v>
      </c>
      <c r="D331">
        <v>68.089995999999999</v>
      </c>
      <c r="E331">
        <v>68.930000000000007</v>
      </c>
      <c r="F331">
        <v>63.681094999999999</v>
      </c>
      <c r="G331">
        <v>629716800</v>
      </c>
      <c r="H331">
        <f t="shared" si="2"/>
        <v>5.4692935163881837E-2</v>
      </c>
      <c r="I331" s="1">
        <v>42887</v>
      </c>
      <c r="J331">
        <v>78.639999000000003</v>
      </c>
      <c r="K331">
        <v>80.470000999999996</v>
      </c>
      <c r="L331">
        <v>73.290001000000004</v>
      </c>
      <c r="M331">
        <v>75.680000000000007</v>
      </c>
      <c r="N331">
        <v>67.249618999999996</v>
      </c>
      <c r="O331">
        <v>247520700</v>
      </c>
      <c r="P331">
        <f t="shared" si="3"/>
        <v>5.6950657222310783E-2</v>
      </c>
    </row>
    <row r="332" spans="1:16" x14ac:dyDescent="0.3">
      <c r="A332" s="1">
        <v>42917</v>
      </c>
      <c r="B332">
        <v>69.330001999999993</v>
      </c>
      <c r="C332">
        <v>74.419998000000007</v>
      </c>
      <c r="D332">
        <v>68.019997000000004</v>
      </c>
      <c r="E332">
        <v>72.699996999999996</v>
      </c>
      <c r="F332">
        <v>67.164000999999999</v>
      </c>
      <c r="G332">
        <v>469851200</v>
      </c>
      <c r="H332">
        <f t="shared" si="2"/>
        <v>2.8473125059955827E-2</v>
      </c>
      <c r="I332" s="1">
        <v>42917</v>
      </c>
      <c r="J332">
        <v>75.839995999999999</v>
      </c>
      <c r="K332">
        <v>80.339995999999999</v>
      </c>
      <c r="L332">
        <v>73.129997000000003</v>
      </c>
      <c r="M332">
        <v>79.989998</v>
      </c>
      <c r="N332">
        <v>71.079528999999994</v>
      </c>
      <c r="O332">
        <v>143448100</v>
      </c>
      <c r="P332">
        <f t="shared" si="3"/>
        <v>-2.4003240088999369E-2</v>
      </c>
    </row>
    <row r="333" spans="1:16" x14ac:dyDescent="0.3">
      <c r="A333" s="1">
        <v>42948</v>
      </c>
      <c r="B333">
        <v>73.099997999999999</v>
      </c>
      <c r="C333">
        <v>74.959998999999996</v>
      </c>
      <c r="D333">
        <v>71.279999000000004</v>
      </c>
      <c r="E333">
        <v>74.769997000000004</v>
      </c>
      <c r="F333">
        <v>69.076369999999997</v>
      </c>
      <c r="G333">
        <v>444070500</v>
      </c>
      <c r="H333">
        <f t="shared" si="2"/>
        <v>1.5632987083717413E-3</v>
      </c>
      <c r="I333" s="1">
        <v>42948</v>
      </c>
      <c r="J333">
        <v>80.25</v>
      </c>
      <c r="K333">
        <v>81.989998</v>
      </c>
      <c r="L333">
        <v>77.5</v>
      </c>
      <c r="M333">
        <v>78.069999999999993</v>
      </c>
      <c r="N333">
        <v>69.373390000000001</v>
      </c>
      <c r="O333">
        <v>203652700</v>
      </c>
      <c r="P333">
        <f t="shared" si="3"/>
        <v>7.1924263755887285E-3</v>
      </c>
    </row>
    <row r="334" spans="1:16" x14ac:dyDescent="0.3">
      <c r="A334" s="1">
        <v>42979</v>
      </c>
      <c r="B334">
        <v>74.709998999999996</v>
      </c>
      <c r="C334">
        <v>75.970000999999996</v>
      </c>
      <c r="D334">
        <v>72.919998000000007</v>
      </c>
      <c r="E334">
        <v>74.489998</v>
      </c>
      <c r="F334">
        <v>69.184357000000006</v>
      </c>
      <c r="G334">
        <v>375983900</v>
      </c>
      <c r="H334">
        <f t="shared" si="2"/>
        <v>0.11665996982525974</v>
      </c>
      <c r="I334" s="1">
        <v>42979</v>
      </c>
      <c r="J334">
        <v>78.309997999999993</v>
      </c>
      <c r="K334">
        <v>81.120002999999997</v>
      </c>
      <c r="L334">
        <v>77.730002999999996</v>
      </c>
      <c r="M334">
        <v>78.139999000000003</v>
      </c>
      <c r="N334">
        <v>69.872353000000004</v>
      </c>
      <c r="O334">
        <v>161153600</v>
      </c>
      <c r="P334">
        <f t="shared" si="3"/>
        <v>0.11735331140200744</v>
      </c>
    </row>
    <row r="335" spans="1:16" x14ac:dyDescent="0.3">
      <c r="A335" s="1">
        <v>43009</v>
      </c>
      <c r="B335">
        <v>74.709998999999996</v>
      </c>
      <c r="C335">
        <v>86.199996999999996</v>
      </c>
      <c r="D335">
        <v>73.709998999999996</v>
      </c>
      <c r="E335">
        <v>83.18</v>
      </c>
      <c r="F335">
        <v>77.255402000000004</v>
      </c>
      <c r="G335">
        <v>449950000</v>
      </c>
      <c r="H335">
        <f t="shared" si="2"/>
        <v>1.1901808497482097E-2</v>
      </c>
      <c r="I335" s="1">
        <v>43009</v>
      </c>
      <c r="J335">
        <v>77.900002000000001</v>
      </c>
      <c r="K335">
        <v>89.110000999999997</v>
      </c>
      <c r="L335">
        <v>77.5</v>
      </c>
      <c r="M335">
        <v>87.309997999999993</v>
      </c>
      <c r="N335">
        <v>78.072104999999993</v>
      </c>
      <c r="O335">
        <v>198775100</v>
      </c>
      <c r="P335">
        <f t="shared" si="3"/>
        <v>0.11361843003976918</v>
      </c>
    </row>
    <row r="336" spans="1:16" x14ac:dyDescent="0.3">
      <c r="A336" s="1">
        <v>43040</v>
      </c>
      <c r="B336">
        <v>83.68</v>
      </c>
      <c r="C336">
        <v>85.059997999999993</v>
      </c>
      <c r="D336">
        <v>82.239998</v>
      </c>
      <c r="E336">
        <v>84.169998000000007</v>
      </c>
      <c r="F336">
        <v>78.174880999999999</v>
      </c>
      <c r="G336">
        <v>421926000</v>
      </c>
      <c r="H336">
        <f t="shared" si="2"/>
        <v>2.1380678532788504E-2</v>
      </c>
      <c r="I336" s="1">
        <v>43040</v>
      </c>
      <c r="J336">
        <v>87.07</v>
      </c>
      <c r="K336">
        <v>100.129997</v>
      </c>
      <c r="L336">
        <v>87</v>
      </c>
      <c r="M336">
        <v>97.230002999999996</v>
      </c>
      <c r="N336">
        <v>86.942535000000007</v>
      </c>
      <c r="O336">
        <v>222703100</v>
      </c>
      <c r="P336">
        <f t="shared" si="3"/>
        <v>1.5632877509265144E-2</v>
      </c>
    </row>
    <row r="337" spans="1:16" x14ac:dyDescent="0.3">
      <c r="A337" s="1">
        <v>43070</v>
      </c>
      <c r="B337">
        <v>83.599997999999999</v>
      </c>
      <c r="C337">
        <v>87.5</v>
      </c>
      <c r="D337">
        <v>80.699996999999996</v>
      </c>
      <c r="E337">
        <v>85.540001000000004</v>
      </c>
      <c r="F337">
        <v>79.846312999999995</v>
      </c>
      <c r="G337">
        <v>466203300</v>
      </c>
      <c r="H337">
        <f t="shared" si="2"/>
        <v>0.11070854329867431</v>
      </c>
      <c r="I337" s="1">
        <v>43070</v>
      </c>
      <c r="J337">
        <v>97.610000999999997</v>
      </c>
      <c r="K337">
        <v>99.910004000000001</v>
      </c>
      <c r="L337">
        <v>96.139999000000003</v>
      </c>
      <c r="M337">
        <v>98.75</v>
      </c>
      <c r="N337">
        <v>88.301697000000004</v>
      </c>
      <c r="O337">
        <v>166774100</v>
      </c>
      <c r="P337">
        <f t="shared" si="3"/>
        <v>8.5183017490592511E-2</v>
      </c>
    </row>
    <row r="338" spans="1:16" x14ac:dyDescent="0.3">
      <c r="A338" s="1">
        <v>43101</v>
      </c>
      <c r="B338">
        <v>86.129997000000003</v>
      </c>
      <c r="C338">
        <v>95.449996999999996</v>
      </c>
      <c r="D338">
        <v>85.5</v>
      </c>
      <c r="E338">
        <v>95.010002</v>
      </c>
      <c r="F338">
        <v>88.685981999999996</v>
      </c>
      <c r="G338">
        <v>574258400</v>
      </c>
      <c r="H338">
        <f t="shared" si="2"/>
        <v>-1.3051679351083877E-2</v>
      </c>
      <c r="I338" s="1">
        <v>43101</v>
      </c>
      <c r="J338">
        <v>99.300003000000004</v>
      </c>
      <c r="K338">
        <v>109.980003</v>
      </c>
      <c r="L338">
        <v>98.519997000000004</v>
      </c>
      <c r="M338">
        <v>106.599998</v>
      </c>
      <c r="N338">
        <v>95.823502000000005</v>
      </c>
      <c r="O338">
        <v>169694600</v>
      </c>
      <c r="P338">
        <f t="shared" si="3"/>
        <v>-0.15562855342105952</v>
      </c>
    </row>
    <row r="339" spans="1:16" x14ac:dyDescent="0.3">
      <c r="A339" s="1">
        <v>43132</v>
      </c>
      <c r="B339">
        <v>94.790001000000004</v>
      </c>
      <c r="C339">
        <v>96.07</v>
      </c>
      <c r="D339">
        <v>83.830001999999993</v>
      </c>
      <c r="E339">
        <v>93.769997000000004</v>
      </c>
      <c r="F339">
        <v>87.528480999999999</v>
      </c>
      <c r="G339">
        <v>725663300</v>
      </c>
      <c r="H339">
        <f t="shared" si="2"/>
        <v>-2.2088673057173169E-2</v>
      </c>
      <c r="I339" s="1">
        <v>43132</v>
      </c>
      <c r="J339">
        <v>105.959999</v>
      </c>
      <c r="K339">
        <v>106.55999799999999</v>
      </c>
      <c r="L339">
        <v>90</v>
      </c>
      <c r="M339">
        <v>90.010002</v>
      </c>
      <c r="N339">
        <v>80.910629</v>
      </c>
      <c r="O339">
        <v>307532700</v>
      </c>
      <c r="P339">
        <f t="shared" si="3"/>
        <v>-1.1554514055254709E-2</v>
      </c>
    </row>
    <row r="340" spans="1:16" x14ac:dyDescent="0.3">
      <c r="A340" s="1">
        <v>43160</v>
      </c>
      <c r="B340">
        <v>93.989998</v>
      </c>
      <c r="C340">
        <v>97.239998</v>
      </c>
      <c r="D340">
        <v>87.080001999999993</v>
      </c>
      <c r="E340">
        <v>91.269997000000004</v>
      </c>
      <c r="F340">
        <v>85.595093000000006</v>
      </c>
      <c r="G340">
        <v>750754800</v>
      </c>
      <c r="H340">
        <f t="shared" ref="H340:H403" si="4">(F341-F340)/F340</f>
        <v>2.4652289354951611E-2</v>
      </c>
      <c r="I340" s="1">
        <v>43160</v>
      </c>
      <c r="J340">
        <v>90.169998000000007</v>
      </c>
      <c r="K340">
        <v>90.5</v>
      </c>
      <c r="L340">
        <v>85.279999000000004</v>
      </c>
      <c r="M340">
        <v>88.970000999999996</v>
      </c>
      <c r="N340">
        <v>79.975746000000001</v>
      </c>
      <c r="O340">
        <v>256003000</v>
      </c>
      <c r="P340">
        <f t="shared" ref="P340:P403" si="5">(N341-N340)/N340</f>
        <v>1.9565931901402675E-4</v>
      </c>
    </row>
    <row r="341" spans="1:16" x14ac:dyDescent="0.3">
      <c r="A341" s="1">
        <v>43191</v>
      </c>
      <c r="B341">
        <v>90.470000999999996</v>
      </c>
      <c r="C341">
        <v>97.900002000000001</v>
      </c>
      <c r="D341">
        <v>87.510002</v>
      </c>
      <c r="E341">
        <v>93.519997000000004</v>
      </c>
      <c r="F341">
        <v>87.705207999999999</v>
      </c>
      <c r="G341">
        <v>668130700</v>
      </c>
      <c r="H341">
        <f t="shared" si="4"/>
        <v>5.6886154354710554E-2</v>
      </c>
      <c r="I341" s="1">
        <v>43191</v>
      </c>
      <c r="J341">
        <v>88</v>
      </c>
      <c r="K341">
        <v>89.660004000000001</v>
      </c>
      <c r="L341">
        <v>84.839995999999999</v>
      </c>
      <c r="M341">
        <v>88.459998999999996</v>
      </c>
      <c r="N341">
        <v>79.991394</v>
      </c>
      <c r="O341">
        <v>163581800</v>
      </c>
      <c r="P341">
        <f t="shared" si="5"/>
        <v>-6.6923086751057334E-2</v>
      </c>
    </row>
    <row r="342" spans="1:16" x14ac:dyDescent="0.3">
      <c r="A342" s="1">
        <v>43221</v>
      </c>
      <c r="B342">
        <v>93.209998999999996</v>
      </c>
      <c r="C342">
        <v>99.989998</v>
      </c>
      <c r="D342">
        <v>92.449996999999996</v>
      </c>
      <c r="E342">
        <v>98.839995999999999</v>
      </c>
      <c r="F342">
        <v>92.694419999999994</v>
      </c>
      <c r="G342">
        <v>509417900</v>
      </c>
      <c r="H342">
        <f t="shared" si="4"/>
        <v>1.9973370565349378E-3</v>
      </c>
      <c r="I342" s="1">
        <v>43221</v>
      </c>
      <c r="J342">
        <v>87.669998000000007</v>
      </c>
      <c r="K342">
        <v>88.099997999999999</v>
      </c>
      <c r="L342">
        <v>81.779999000000004</v>
      </c>
      <c r="M342">
        <v>82.540001000000004</v>
      </c>
      <c r="N342">
        <v>74.638122999999993</v>
      </c>
      <c r="O342">
        <v>248483300</v>
      </c>
      <c r="P342">
        <f t="shared" si="5"/>
        <v>4.4216331645960609E-2</v>
      </c>
    </row>
    <row r="343" spans="1:16" x14ac:dyDescent="0.3">
      <c r="A343" s="1">
        <v>43252</v>
      </c>
      <c r="B343">
        <v>99.279999000000004</v>
      </c>
      <c r="C343">
        <v>102.69000200000001</v>
      </c>
      <c r="D343">
        <v>97.260002</v>
      </c>
      <c r="E343">
        <v>98.610000999999997</v>
      </c>
      <c r="F343">
        <v>92.879562000000007</v>
      </c>
      <c r="G343">
        <v>602585200</v>
      </c>
      <c r="H343">
        <f t="shared" si="4"/>
        <v>7.575298427871556E-2</v>
      </c>
      <c r="I343" s="1">
        <v>43252</v>
      </c>
      <c r="J343">
        <v>83.040001000000004</v>
      </c>
      <c r="K343">
        <v>87.489998</v>
      </c>
      <c r="L343">
        <v>82.370002999999997</v>
      </c>
      <c r="M343">
        <v>85.650002000000001</v>
      </c>
      <c r="N343">
        <v>77.938346999999993</v>
      </c>
      <c r="O343">
        <v>185619400</v>
      </c>
      <c r="P343">
        <f t="shared" si="5"/>
        <v>4.1797999641947914E-2</v>
      </c>
    </row>
    <row r="344" spans="1:16" x14ac:dyDescent="0.3">
      <c r="A344" s="1">
        <v>43282</v>
      </c>
      <c r="B344">
        <v>98.099997999999999</v>
      </c>
      <c r="C344">
        <v>111.150002</v>
      </c>
      <c r="D344">
        <v>98</v>
      </c>
      <c r="E344">
        <v>106.08000199999999</v>
      </c>
      <c r="F344">
        <v>99.915465999999995</v>
      </c>
      <c r="G344">
        <v>569352300</v>
      </c>
      <c r="H344">
        <f t="shared" si="4"/>
        <v>5.8917835603148776E-2</v>
      </c>
      <c r="I344" s="1">
        <v>43282</v>
      </c>
      <c r="J344">
        <v>85.650002000000001</v>
      </c>
      <c r="K344">
        <v>89.660004000000001</v>
      </c>
      <c r="L344">
        <v>83.400002000000001</v>
      </c>
      <c r="M344">
        <v>89.230002999999996</v>
      </c>
      <c r="N344">
        <v>81.196014000000005</v>
      </c>
      <c r="O344">
        <v>117596900</v>
      </c>
      <c r="P344">
        <f t="shared" si="5"/>
        <v>7.4302403563800482E-2</v>
      </c>
    </row>
    <row r="345" spans="1:16" x14ac:dyDescent="0.3">
      <c r="A345" s="1">
        <v>43313</v>
      </c>
      <c r="B345">
        <v>106.029999</v>
      </c>
      <c r="C345">
        <v>112.779999</v>
      </c>
      <c r="D345">
        <v>104.839996</v>
      </c>
      <c r="E345">
        <v>112.33000199999999</v>
      </c>
      <c r="F345">
        <v>105.802269</v>
      </c>
      <c r="G345">
        <v>456628100</v>
      </c>
      <c r="H345">
        <f t="shared" si="4"/>
        <v>2.2078760900675946E-2</v>
      </c>
      <c r="I345" s="1">
        <v>43313</v>
      </c>
      <c r="J345">
        <v>88.860000999999997</v>
      </c>
      <c r="K345">
        <v>100.209999</v>
      </c>
      <c r="L345">
        <v>87.620002999999997</v>
      </c>
      <c r="M345">
        <v>95.860000999999997</v>
      </c>
      <c r="N345">
        <v>87.229073</v>
      </c>
      <c r="O345">
        <v>205659500</v>
      </c>
      <c r="P345">
        <f t="shared" si="5"/>
        <v>-1.4652213488500531E-2</v>
      </c>
    </row>
    <row r="346" spans="1:16" x14ac:dyDescent="0.3">
      <c r="A346" s="1">
        <v>43344</v>
      </c>
      <c r="B346">
        <v>110.849998</v>
      </c>
      <c r="C346">
        <v>115.290001</v>
      </c>
      <c r="D346">
        <v>107.230003</v>
      </c>
      <c r="E346">
        <v>114.370003</v>
      </c>
      <c r="F346">
        <v>108.13825199999999</v>
      </c>
      <c r="G346">
        <v>480255500</v>
      </c>
      <c r="H346">
        <f t="shared" si="4"/>
        <v>-6.610115169977035E-2</v>
      </c>
      <c r="I346" s="1">
        <v>43344</v>
      </c>
      <c r="J346">
        <v>95.800003000000004</v>
      </c>
      <c r="K346">
        <v>97.660004000000001</v>
      </c>
      <c r="L346">
        <v>93.690002000000007</v>
      </c>
      <c r="M346">
        <v>93.910004000000001</v>
      </c>
      <c r="N346">
        <v>85.950974000000002</v>
      </c>
      <c r="O346">
        <v>127212500</v>
      </c>
      <c r="P346">
        <f t="shared" si="5"/>
        <v>6.7830714751411697E-2</v>
      </c>
    </row>
    <row r="347" spans="1:16" x14ac:dyDescent="0.3">
      <c r="A347" s="1">
        <v>43374</v>
      </c>
      <c r="B347">
        <v>114.75</v>
      </c>
      <c r="C347">
        <v>116.18</v>
      </c>
      <c r="D347">
        <v>100.110001</v>
      </c>
      <c r="E347">
        <v>106.80999799999999</v>
      </c>
      <c r="F347">
        <v>100.990189</v>
      </c>
      <c r="G347">
        <v>927548000</v>
      </c>
      <c r="H347">
        <f t="shared" si="4"/>
        <v>3.8198651158084213E-2</v>
      </c>
      <c r="I347" s="1">
        <v>43374</v>
      </c>
      <c r="J347">
        <v>94.290001000000004</v>
      </c>
      <c r="K347">
        <v>102.599998</v>
      </c>
      <c r="L347">
        <v>92.889999000000003</v>
      </c>
      <c r="M347">
        <v>100.279999</v>
      </c>
      <c r="N347">
        <v>91.781090000000006</v>
      </c>
      <c r="O347">
        <v>216421000</v>
      </c>
      <c r="P347">
        <f t="shared" si="5"/>
        <v>-2.6226502648857265E-2</v>
      </c>
    </row>
    <row r="348" spans="1:16" x14ac:dyDescent="0.3">
      <c r="A348" s="1">
        <v>43405</v>
      </c>
      <c r="B348">
        <v>107.050003</v>
      </c>
      <c r="C348">
        <v>112.239998</v>
      </c>
      <c r="D348">
        <v>99.349997999999999</v>
      </c>
      <c r="E348">
        <v>110.889999</v>
      </c>
      <c r="F348">
        <v>104.84787799999999</v>
      </c>
      <c r="G348">
        <v>720228600</v>
      </c>
      <c r="H348">
        <f t="shared" si="4"/>
        <v>-8.0090328580612755E-2</v>
      </c>
      <c r="I348" s="1">
        <v>43405</v>
      </c>
      <c r="J348">
        <v>99.959998999999996</v>
      </c>
      <c r="K348">
        <v>106.209999</v>
      </c>
      <c r="L348">
        <v>93.309997999999993</v>
      </c>
      <c r="M348">
        <v>97.650002000000001</v>
      </c>
      <c r="N348">
        <v>89.373992999999999</v>
      </c>
      <c r="O348">
        <v>191936600</v>
      </c>
      <c r="P348">
        <f t="shared" si="5"/>
        <v>-4.6082835305344336E-2</v>
      </c>
    </row>
    <row r="349" spans="1:16" x14ac:dyDescent="0.3">
      <c r="A349" s="1">
        <v>43435</v>
      </c>
      <c r="B349">
        <v>113</v>
      </c>
      <c r="C349">
        <v>113.41999800000001</v>
      </c>
      <c r="D349">
        <v>93.959998999999996</v>
      </c>
      <c r="E349">
        <v>101.57</v>
      </c>
      <c r="F349">
        <v>96.450576999999996</v>
      </c>
      <c r="G349">
        <v>944314600</v>
      </c>
      <c r="H349">
        <f t="shared" si="4"/>
        <v>2.8158110448629099E-2</v>
      </c>
      <c r="I349" s="1">
        <v>43435</v>
      </c>
      <c r="J349">
        <v>98.019997000000004</v>
      </c>
      <c r="K349">
        <v>99.589995999999999</v>
      </c>
      <c r="L349">
        <v>85.779999000000004</v>
      </c>
      <c r="M349">
        <v>93.150002000000001</v>
      </c>
      <c r="N349">
        <v>85.255386000000001</v>
      </c>
      <c r="O349">
        <v>186311800</v>
      </c>
      <c r="P349">
        <f t="shared" si="5"/>
        <v>3.4384431735491668E-2</v>
      </c>
    </row>
    <row r="350" spans="1:16" x14ac:dyDescent="0.3">
      <c r="A350" s="1">
        <v>43466</v>
      </c>
      <c r="B350">
        <v>99.550003000000004</v>
      </c>
      <c r="C350">
        <v>107.900002</v>
      </c>
      <c r="D350">
        <v>97.199996999999996</v>
      </c>
      <c r="E350">
        <v>104.43</v>
      </c>
      <c r="F350">
        <v>99.166443000000001</v>
      </c>
      <c r="G350">
        <v>714212800</v>
      </c>
      <c r="H350">
        <f t="shared" si="4"/>
        <v>7.2775888513012421E-2</v>
      </c>
      <c r="I350" s="1">
        <v>43466</v>
      </c>
      <c r="J350">
        <v>91.639999000000003</v>
      </c>
      <c r="K350">
        <v>99.349997999999999</v>
      </c>
      <c r="L350">
        <v>91.639999000000003</v>
      </c>
      <c r="M350">
        <v>95.830001999999993</v>
      </c>
      <c r="N350">
        <v>88.186843999999994</v>
      </c>
      <c r="O350">
        <v>160739700</v>
      </c>
      <c r="P350">
        <f t="shared" si="5"/>
        <v>3.2975315456350844E-2</v>
      </c>
    </row>
    <row r="351" spans="1:16" x14ac:dyDescent="0.3">
      <c r="A351" s="1">
        <v>43497</v>
      </c>
      <c r="B351">
        <v>103.779999</v>
      </c>
      <c r="C351">
        <v>113.239998</v>
      </c>
      <c r="D351">
        <v>102.349998</v>
      </c>
      <c r="E351">
        <v>112.029999</v>
      </c>
      <c r="F351">
        <v>106.383369</v>
      </c>
      <c r="G351">
        <v>469095900</v>
      </c>
      <c r="H351">
        <f t="shared" si="4"/>
        <v>5.724977557347332E-2</v>
      </c>
      <c r="I351" s="1">
        <v>43497</v>
      </c>
      <c r="J351">
        <v>95.919998000000007</v>
      </c>
      <c r="K351">
        <v>104.18</v>
      </c>
      <c r="L351">
        <v>93.110000999999997</v>
      </c>
      <c r="M351">
        <v>98.989998</v>
      </c>
      <c r="N351">
        <v>91.094832999999994</v>
      </c>
      <c r="O351">
        <v>166799500</v>
      </c>
      <c r="P351">
        <f t="shared" si="5"/>
        <v>-1.474901435957404E-2</v>
      </c>
    </row>
    <row r="352" spans="1:16" x14ac:dyDescent="0.3">
      <c r="A352" s="1">
        <v>43525</v>
      </c>
      <c r="B352">
        <v>112.889999</v>
      </c>
      <c r="C352">
        <v>120.82</v>
      </c>
      <c r="D352">
        <v>108.800003</v>
      </c>
      <c r="E352">
        <v>117.94000200000001</v>
      </c>
      <c r="F352">
        <v>112.473793</v>
      </c>
      <c r="G352">
        <v>589095800</v>
      </c>
      <c r="H352">
        <f t="shared" si="4"/>
        <v>0.10734291676284098</v>
      </c>
      <c r="I352" s="1">
        <v>43525</v>
      </c>
      <c r="J352">
        <v>99.470000999999996</v>
      </c>
      <c r="K352">
        <v>100.489998</v>
      </c>
      <c r="L352">
        <v>95</v>
      </c>
      <c r="M352">
        <v>97.529999000000004</v>
      </c>
      <c r="N352">
        <v>89.751273999999995</v>
      </c>
      <c r="O352">
        <v>141147100</v>
      </c>
      <c r="P352">
        <f t="shared" si="5"/>
        <v>6.0118433527751418E-2</v>
      </c>
    </row>
    <row r="353" spans="1:16" x14ac:dyDescent="0.3">
      <c r="A353" s="1">
        <v>43556</v>
      </c>
      <c r="B353">
        <v>118.949997</v>
      </c>
      <c r="C353">
        <v>131.36999499999999</v>
      </c>
      <c r="D353">
        <v>118.099998</v>
      </c>
      <c r="E353">
        <v>130.60000600000001</v>
      </c>
      <c r="F353">
        <v>124.54705800000001</v>
      </c>
      <c r="G353">
        <v>433157700</v>
      </c>
      <c r="H353">
        <f t="shared" si="4"/>
        <v>-5.2986366004727378E-2</v>
      </c>
      <c r="I353" s="1">
        <v>43556</v>
      </c>
      <c r="J353">
        <v>97.970000999999996</v>
      </c>
      <c r="K353">
        <v>104.150002</v>
      </c>
      <c r="L353">
        <v>96.790001000000004</v>
      </c>
      <c r="M353">
        <v>102.839996</v>
      </c>
      <c r="N353">
        <v>95.146979999999999</v>
      </c>
      <c r="O353">
        <v>110606900</v>
      </c>
      <c r="P353">
        <f t="shared" si="5"/>
        <v>-1.3613222406007972E-2</v>
      </c>
    </row>
    <row r="354" spans="1:16" x14ac:dyDescent="0.3">
      <c r="A354" s="1">
        <v>43586</v>
      </c>
      <c r="B354">
        <v>130.529999</v>
      </c>
      <c r="C354">
        <v>130.64999399999999</v>
      </c>
      <c r="D354">
        <v>123.040001</v>
      </c>
      <c r="E354">
        <v>123.68</v>
      </c>
      <c r="F354">
        <v>117.947762</v>
      </c>
      <c r="G354">
        <v>547218800</v>
      </c>
      <c r="H354">
        <f t="shared" si="4"/>
        <v>8.7127002884548221E-2</v>
      </c>
      <c r="I354" s="1">
        <v>43586</v>
      </c>
      <c r="J354">
        <v>102.769997</v>
      </c>
      <c r="K354">
        <v>103.959999</v>
      </c>
      <c r="L354">
        <v>98.849997999999999</v>
      </c>
      <c r="M354">
        <v>101.44000200000001</v>
      </c>
      <c r="N354">
        <v>93.851723000000007</v>
      </c>
      <c r="O354">
        <v>155764900</v>
      </c>
      <c r="P354">
        <f t="shared" si="5"/>
        <v>9.5001250003689211E-2</v>
      </c>
    </row>
    <row r="355" spans="1:16" x14ac:dyDescent="0.3">
      <c r="A355" s="1">
        <v>43617</v>
      </c>
      <c r="B355">
        <v>123.849998</v>
      </c>
      <c r="C355">
        <v>138.39999399999999</v>
      </c>
      <c r="D355">
        <v>119.010002</v>
      </c>
      <c r="E355">
        <v>133.96000699999999</v>
      </c>
      <c r="F355">
        <v>128.224197</v>
      </c>
      <c r="G355">
        <v>508324300</v>
      </c>
      <c r="H355">
        <f t="shared" si="4"/>
        <v>1.7243703230210156E-2</v>
      </c>
      <c r="I355" s="1">
        <v>43617</v>
      </c>
      <c r="J355">
        <v>101.629997</v>
      </c>
      <c r="K355">
        <v>112.220001</v>
      </c>
      <c r="L355">
        <v>101.400002</v>
      </c>
      <c r="M355">
        <v>110.489998</v>
      </c>
      <c r="N355">
        <v>102.767754</v>
      </c>
      <c r="O355">
        <v>121525000</v>
      </c>
      <c r="P355">
        <f t="shared" si="5"/>
        <v>-9.9555547355837195E-4</v>
      </c>
    </row>
    <row r="356" spans="1:16" x14ac:dyDescent="0.3">
      <c r="A356" s="1">
        <v>43647</v>
      </c>
      <c r="B356">
        <v>136.63000500000001</v>
      </c>
      <c r="C356">
        <v>141.679993</v>
      </c>
      <c r="D356">
        <v>134.66999799999999</v>
      </c>
      <c r="E356">
        <v>136.270004</v>
      </c>
      <c r="F356">
        <v>130.43525700000001</v>
      </c>
      <c r="G356">
        <v>484079900</v>
      </c>
      <c r="H356">
        <f t="shared" si="4"/>
        <v>1.1668179562830895E-2</v>
      </c>
      <c r="I356" s="1">
        <v>43647</v>
      </c>
      <c r="J356">
        <v>111.300003</v>
      </c>
      <c r="K356">
        <v>115.489998</v>
      </c>
      <c r="L356">
        <v>109.629997</v>
      </c>
      <c r="M356">
        <v>110.379997</v>
      </c>
      <c r="N356">
        <v>102.665443</v>
      </c>
      <c r="O356">
        <v>91286900</v>
      </c>
      <c r="P356">
        <f t="shared" si="5"/>
        <v>3.5151467665707127E-2</v>
      </c>
    </row>
    <row r="357" spans="1:16" x14ac:dyDescent="0.3">
      <c r="A357" s="1">
        <v>43678</v>
      </c>
      <c r="B357">
        <v>137</v>
      </c>
      <c r="C357">
        <v>140.94000199999999</v>
      </c>
      <c r="D357">
        <v>130.779999</v>
      </c>
      <c r="E357">
        <v>137.86000100000001</v>
      </c>
      <c r="F357">
        <v>131.957199</v>
      </c>
      <c r="G357">
        <v>584482000</v>
      </c>
      <c r="H357">
        <f t="shared" si="4"/>
        <v>1.1845242334978591E-2</v>
      </c>
      <c r="I357" s="1">
        <v>43678</v>
      </c>
      <c r="J357">
        <v>110.32</v>
      </c>
      <c r="K357">
        <v>115.379997</v>
      </c>
      <c r="L357">
        <v>104.839996</v>
      </c>
      <c r="M357">
        <v>114.260002</v>
      </c>
      <c r="N357">
        <v>106.27428399999999</v>
      </c>
      <c r="O357">
        <v>157874200</v>
      </c>
      <c r="P357">
        <f t="shared" si="5"/>
        <v>4.3796437151249187E-2</v>
      </c>
    </row>
    <row r="358" spans="1:16" x14ac:dyDescent="0.3">
      <c r="A358" s="1">
        <v>43709</v>
      </c>
      <c r="B358">
        <v>136.61000100000001</v>
      </c>
      <c r="C358">
        <v>142.36999499999999</v>
      </c>
      <c r="D358">
        <v>134.509995</v>
      </c>
      <c r="E358">
        <v>139.029999</v>
      </c>
      <c r="F358">
        <v>133.520264</v>
      </c>
      <c r="G358">
        <v>472544800</v>
      </c>
      <c r="H358">
        <f t="shared" si="4"/>
        <v>3.1216227972706893E-2</v>
      </c>
      <c r="I358" s="1">
        <v>43709</v>
      </c>
      <c r="J358">
        <v>113.68</v>
      </c>
      <c r="K358">
        <v>119.860001</v>
      </c>
      <c r="L358">
        <v>113.489998</v>
      </c>
      <c r="M358">
        <v>118.68</v>
      </c>
      <c r="N358">
        <v>110.928719</v>
      </c>
      <c r="O358">
        <v>105362500</v>
      </c>
      <c r="P358">
        <f t="shared" si="5"/>
        <v>-1.1964872685494524E-2</v>
      </c>
    </row>
    <row r="359" spans="1:16" x14ac:dyDescent="0.3">
      <c r="A359" s="1">
        <v>43739</v>
      </c>
      <c r="B359">
        <v>139.66000399999999</v>
      </c>
      <c r="C359">
        <v>145.66999799999999</v>
      </c>
      <c r="D359">
        <v>133.220001</v>
      </c>
      <c r="E359">
        <v>143.36999499999999</v>
      </c>
      <c r="F359">
        <v>137.68826300000001</v>
      </c>
      <c r="G359">
        <v>549523400</v>
      </c>
      <c r="H359">
        <f t="shared" si="4"/>
        <v>5.5869438922328471E-2</v>
      </c>
      <c r="I359" s="1">
        <v>43739</v>
      </c>
      <c r="J359">
        <v>118.849998</v>
      </c>
      <c r="K359">
        <v>120.709999</v>
      </c>
      <c r="L359">
        <v>114.58000199999999</v>
      </c>
      <c r="M359">
        <v>117.260002</v>
      </c>
      <c r="N359">
        <v>109.601471</v>
      </c>
      <c r="O359">
        <v>96407600</v>
      </c>
      <c r="P359">
        <f t="shared" si="5"/>
        <v>1.5606286890072815E-2</v>
      </c>
    </row>
    <row r="360" spans="1:16" x14ac:dyDescent="0.3">
      <c r="A360" s="1">
        <v>43770</v>
      </c>
      <c r="B360">
        <v>144.259995</v>
      </c>
      <c r="C360">
        <v>152.5</v>
      </c>
      <c r="D360">
        <v>142.970001</v>
      </c>
      <c r="E360">
        <v>151.38000500000001</v>
      </c>
      <c r="F360">
        <v>145.38082900000001</v>
      </c>
      <c r="G360">
        <v>392371800</v>
      </c>
      <c r="H360">
        <f t="shared" si="4"/>
        <v>4.5294245777068684E-2</v>
      </c>
      <c r="I360" s="1">
        <v>43770</v>
      </c>
      <c r="J360">
        <v>117.91999800000001</v>
      </c>
      <c r="K360">
        <v>125.379997</v>
      </c>
      <c r="L360">
        <v>117.08000199999999</v>
      </c>
      <c r="M360">
        <v>119.089996</v>
      </c>
      <c r="N360">
        <v>111.311943</v>
      </c>
      <c r="O360">
        <v>116620600</v>
      </c>
      <c r="P360">
        <f t="shared" si="5"/>
        <v>-2.09939736655213E-3</v>
      </c>
    </row>
    <row r="361" spans="1:16" x14ac:dyDescent="0.3">
      <c r="A361" s="1">
        <v>43800</v>
      </c>
      <c r="B361">
        <v>151.80999800000001</v>
      </c>
      <c r="C361">
        <v>159.550003</v>
      </c>
      <c r="D361">
        <v>146.64999399999999</v>
      </c>
      <c r="E361">
        <v>157.699997</v>
      </c>
      <c r="F361">
        <v>151.965744</v>
      </c>
      <c r="G361">
        <v>450303300</v>
      </c>
      <c r="H361">
        <f t="shared" si="4"/>
        <v>7.9454057751331159E-2</v>
      </c>
      <c r="I361" s="1">
        <v>43800</v>
      </c>
      <c r="J361">
        <v>119.150002</v>
      </c>
      <c r="K361">
        <v>122.120003</v>
      </c>
      <c r="L361">
        <v>117.41999800000001</v>
      </c>
      <c r="M361">
        <v>118.839996</v>
      </c>
      <c r="N361">
        <v>111.078255</v>
      </c>
      <c r="O361">
        <v>98422700</v>
      </c>
      <c r="P361">
        <f t="shared" si="5"/>
        <v>-3.2282367057350714E-2</v>
      </c>
    </row>
    <row r="362" spans="1:16" x14ac:dyDescent="0.3">
      <c r="A362" s="1">
        <v>43831</v>
      </c>
      <c r="B362">
        <v>158.779999</v>
      </c>
      <c r="C362">
        <v>174.050003</v>
      </c>
      <c r="D362">
        <v>156.509995</v>
      </c>
      <c r="E362">
        <v>170.229996</v>
      </c>
      <c r="F362">
        <v>164.04003900000001</v>
      </c>
      <c r="G362">
        <v>558530000</v>
      </c>
      <c r="H362">
        <f t="shared" si="4"/>
        <v>-4.828748547176348E-2</v>
      </c>
      <c r="I362" s="1">
        <v>43831</v>
      </c>
      <c r="J362">
        <v>118.860001</v>
      </c>
      <c r="K362">
        <v>119.889999</v>
      </c>
      <c r="L362">
        <v>112.68</v>
      </c>
      <c r="M362">
        <v>114.489998</v>
      </c>
      <c r="N362">
        <v>107.492386</v>
      </c>
      <c r="O362">
        <v>127907500</v>
      </c>
      <c r="P362">
        <f t="shared" si="5"/>
        <v>-5.9481338520106841E-2</v>
      </c>
    </row>
    <row r="363" spans="1:16" x14ac:dyDescent="0.3">
      <c r="A363" s="1">
        <v>43862</v>
      </c>
      <c r="B363">
        <v>170.429993</v>
      </c>
      <c r="C363">
        <v>190.699997</v>
      </c>
      <c r="D363">
        <v>152</v>
      </c>
      <c r="E363">
        <v>162.009995</v>
      </c>
      <c r="F363">
        <v>156.11895799999999</v>
      </c>
      <c r="G363">
        <v>887522300</v>
      </c>
      <c r="H363">
        <f t="shared" si="4"/>
        <v>-2.3882435853818565E-2</v>
      </c>
      <c r="I363" s="1">
        <v>43862</v>
      </c>
      <c r="J363">
        <v>114.900002</v>
      </c>
      <c r="K363">
        <v>119.949997</v>
      </c>
      <c r="L363">
        <v>104.370003</v>
      </c>
      <c r="M363">
        <v>107.68</v>
      </c>
      <c r="N363">
        <v>101.098595</v>
      </c>
      <c r="O363">
        <v>132414100</v>
      </c>
      <c r="P363">
        <f t="shared" si="5"/>
        <v>5.516347680202674E-2</v>
      </c>
    </row>
    <row r="364" spans="1:16" x14ac:dyDescent="0.3">
      <c r="A364" s="1">
        <v>43891</v>
      </c>
      <c r="B364">
        <v>165.30999800000001</v>
      </c>
      <c r="C364">
        <v>175</v>
      </c>
      <c r="D364">
        <v>132.520004</v>
      </c>
      <c r="E364">
        <v>157.71000699999999</v>
      </c>
      <c r="F364">
        <v>152.390457</v>
      </c>
      <c r="G364">
        <v>1612695500</v>
      </c>
      <c r="H364">
        <f t="shared" si="4"/>
        <v>0.13632599054414538</v>
      </c>
      <c r="I364" s="1">
        <v>43891</v>
      </c>
      <c r="J364">
        <v>107.599998</v>
      </c>
      <c r="K364">
        <v>128.08000200000001</v>
      </c>
      <c r="L364">
        <v>102</v>
      </c>
      <c r="M364">
        <v>113.620003</v>
      </c>
      <c r="N364">
        <v>106.675545</v>
      </c>
      <c r="O364">
        <v>318954800</v>
      </c>
      <c r="P364">
        <f t="shared" si="5"/>
        <v>7.4527737355361084E-2</v>
      </c>
    </row>
    <row r="365" spans="1:16" x14ac:dyDescent="0.3">
      <c r="A365" s="1">
        <v>43922</v>
      </c>
      <c r="B365">
        <v>153</v>
      </c>
      <c r="C365">
        <v>180.39999399999999</v>
      </c>
      <c r="D365">
        <v>150.36000100000001</v>
      </c>
      <c r="E365">
        <v>179.21000699999999</v>
      </c>
      <c r="F365">
        <v>173.16523699999999</v>
      </c>
      <c r="G365">
        <v>984705000</v>
      </c>
      <c r="H365">
        <f t="shared" si="4"/>
        <v>2.2543664465403148E-2</v>
      </c>
      <c r="I365" s="1">
        <v>43922</v>
      </c>
      <c r="J365">
        <v>112.150002</v>
      </c>
      <c r="K365">
        <v>133.38000500000001</v>
      </c>
      <c r="L365">
        <v>111.800003</v>
      </c>
      <c r="M365">
        <v>121.550003</v>
      </c>
      <c r="N365">
        <v>114.625832</v>
      </c>
      <c r="O365">
        <v>207159800</v>
      </c>
      <c r="P365">
        <f t="shared" si="5"/>
        <v>2.0649760692685749E-2</v>
      </c>
    </row>
    <row r="366" spans="1:16" x14ac:dyDescent="0.3">
      <c r="A366" s="1">
        <v>43952</v>
      </c>
      <c r="B366">
        <v>175.800003</v>
      </c>
      <c r="C366">
        <v>187.509995</v>
      </c>
      <c r="D366">
        <v>173.800003</v>
      </c>
      <c r="E366">
        <v>183.25</v>
      </c>
      <c r="F366">
        <v>177.069016</v>
      </c>
      <c r="G366">
        <v>688845000</v>
      </c>
      <c r="H366">
        <f t="shared" si="4"/>
        <v>0.1136519389705085</v>
      </c>
      <c r="I366" s="1">
        <v>43952</v>
      </c>
      <c r="J366">
        <v>121.480003</v>
      </c>
      <c r="K366">
        <v>131.990005</v>
      </c>
      <c r="L366">
        <v>120.779999</v>
      </c>
      <c r="M366">
        <v>124.05999799999999</v>
      </c>
      <c r="N366">
        <v>116.992828</v>
      </c>
      <c r="O366">
        <v>186789700</v>
      </c>
      <c r="P366">
        <f t="shared" si="5"/>
        <v>-3.0252333074639381E-2</v>
      </c>
    </row>
    <row r="367" spans="1:16" x14ac:dyDescent="0.3">
      <c r="A367" s="1">
        <v>43983</v>
      </c>
      <c r="B367">
        <v>182.53999300000001</v>
      </c>
      <c r="C367">
        <v>204.39999399999999</v>
      </c>
      <c r="D367">
        <v>181.35000600000001</v>
      </c>
      <c r="E367">
        <v>203.509995</v>
      </c>
      <c r="F367">
        <v>197.193253</v>
      </c>
      <c r="G367">
        <v>764965400</v>
      </c>
      <c r="H367">
        <f t="shared" si="4"/>
        <v>7.3708962040400739E-3</v>
      </c>
      <c r="I367" s="1">
        <v>43983</v>
      </c>
      <c r="J367">
        <v>123.44000200000001</v>
      </c>
      <c r="K367">
        <v>124.410004</v>
      </c>
      <c r="L367">
        <v>117.010002</v>
      </c>
      <c r="M367">
        <v>119.779999</v>
      </c>
      <c r="N367">
        <v>113.45352200000001</v>
      </c>
      <c r="O367">
        <v>185852200</v>
      </c>
      <c r="P367">
        <f t="shared" si="5"/>
        <v>8.0313742926376427E-2</v>
      </c>
    </row>
    <row r="368" spans="1:16" x14ac:dyDescent="0.3">
      <c r="A368" s="1">
        <v>44013</v>
      </c>
      <c r="B368">
        <v>203.13999899999999</v>
      </c>
      <c r="C368">
        <v>216.38000500000001</v>
      </c>
      <c r="D368">
        <v>197.509995</v>
      </c>
      <c r="E368">
        <v>205.009995</v>
      </c>
      <c r="F368">
        <v>198.64674400000001</v>
      </c>
      <c r="G368">
        <v>770190800</v>
      </c>
      <c r="H368">
        <f t="shared" si="4"/>
        <v>0.10009253411170928</v>
      </c>
      <c r="I368" s="1">
        <v>44013</v>
      </c>
      <c r="J368">
        <v>119.449997</v>
      </c>
      <c r="K368">
        <v>134.13000500000001</v>
      </c>
      <c r="L368">
        <v>118.220001</v>
      </c>
      <c r="M368">
        <v>129.39999399999999</v>
      </c>
      <c r="N368">
        <v>122.565399</v>
      </c>
      <c r="O368">
        <v>197452100</v>
      </c>
      <c r="P368">
        <f t="shared" si="5"/>
        <v>7.302968923554029E-2</v>
      </c>
    </row>
    <row r="369" spans="1:16" x14ac:dyDescent="0.3">
      <c r="A369" s="1">
        <v>44044</v>
      </c>
      <c r="B369">
        <v>211.520004</v>
      </c>
      <c r="C369">
        <v>231.14999399999999</v>
      </c>
      <c r="D369">
        <v>203.13999899999999</v>
      </c>
      <c r="E369">
        <v>225.529999</v>
      </c>
      <c r="F369">
        <v>218.52979999999999</v>
      </c>
      <c r="G369">
        <v>692423900</v>
      </c>
      <c r="H369">
        <f t="shared" si="4"/>
        <v>-6.5142374175055251E-2</v>
      </c>
      <c r="I369" s="1">
        <v>44044</v>
      </c>
      <c r="J369">
        <v>129.91000399999999</v>
      </c>
      <c r="K369">
        <v>141.070007</v>
      </c>
      <c r="L369">
        <v>128.270004</v>
      </c>
      <c r="M369">
        <v>138.85000600000001</v>
      </c>
      <c r="N369">
        <v>131.516312</v>
      </c>
      <c r="O369">
        <v>230008400</v>
      </c>
      <c r="P369">
        <f t="shared" si="5"/>
        <v>1.1776698847820601E-2</v>
      </c>
    </row>
    <row r="370" spans="1:16" x14ac:dyDescent="0.3">
      <c r="A370" s="1">
        <v>44075</v>
      </c>
      <c r="B370">
        <v>225.509995</v>
      </c>
      <c r="C370">
        <v>232.86000100000001</v>
      </c>
      <c r="D370">
        <v>196.25</v>
      </c>
      <c r="E370">
        <v>210.33000200000001</v>
      </c>
      <c r="F370">
        <v>204.29425000000001</v>
      </c>
      <c r="G370">
        <v>768176300</v>
      </c>
      <c r="H370">
        <f t="shared" si="4"/>
        <v>-3.736992108196887E-2</v>
      </c>
      <c r="I370" s="1">
        <v>44075</v>
      </c>
      <c r="J370">
        <v>141.199997</v>
      </c>
      <c r="K370">
        <v>151.33000200000001</v>
      </c>
      <c r="L370">
        <v>134.75</v>
      </c>
      <c r="M370">
        <v>139.91000399999999</v>
      </c>
      <c r="N370">
        <v>133.06514000000001</v>
      </c>
      <c r="O370">
        <v>268657200</v>
      </c>
      <c r="P370">
        <f t="shared" si="5"/>
        <v>-8.2912173691772617E-3</v>
      </c>
    </row>
    <row r="371" spans="1:16" x14ac:dyDescent="0.3">
      <c r="A371" s="1">
        <v>44105</v>
      </c>
      <c r="B371">
        <v>213.490005</v>
      </c>
      <c r="C371">
        <v>225.21000699999999</v>
      </c>
      <c r="D371">
        <v>199.61999499999999</v>
      </c>
      <c r="E371">
        <v>202.470001</v>
      </c>
      <c r="F371">
        <v>196.65978999999999</v>
      </c>
      <c r="G371">
        <v>631618000</v>
      </c>
      <c r="H371">
        <f t="shared" si="4"/>
        <v>5.7292525330165475E-2</v>
      </c>
      <c r="I371" s="1">
        <v>44105</v>
      </c>
      <c r="J371">
        <v>140.800003</v>
      </c>
      <c r="K371">
        <v>146.60000600000001</v>
      </c>
      <c r="L371">
        <v>137.36999499999999</v>
      </c>
      <c r="M371">
        <v>138.75</v>
      </c>
      <c r="N371">
        <v>131.96186800000001</v>
      </c>
      <c r="O371">
        <v>128995000</v>
      </c>
      <c r="P371">
        <f t="shared" si="5"/>
        <v>0.10118922384457298</v>
      </c>
    </row>
    <row r="372" spans="1:16" x14ac:dyDescent="0.3">
      <c r="A372" s="1">
        <v>44136</v>
      </c>
      <c r="B372">
        <v>204.28999300000001</v>
      </c>
      <c r="C372">
        <v>228.11999499999999</v>
      </c>
      <c r="D372">
        <v>200.11999499999999</v>
      </c>
      <c r="E372">
        <v>214.070007</v>
      </c>
      <c r="F372">
        <v>207.92692600000001</v>
      </c>
      <c r="G372">
        <v>573443000</v>
      </c>
      <c r="H372">
        <f t="shared" si="4"/>
        <v>4.1726096599917911E-2</v>
      </c>
      <c r="I372" s="1">
        <v>44136</v>
      </c>
      <c r="J372">
        <v>140.58999600000001</v>
      </c>
      <c r="K372">
        <v>153.39999399999999</v>
      </c>
      <c r="L372">
        <v>139.029999</v>
      </c>
      <c r="M372">
        <v>152.78999300000001</v>
      </c>
      <c r="N372">
        <v>145.314987</v>
      </c>
      <c r="O372">
        <v>137933500</v>
      </c>
      <c r="P372">
        <f t="shared" si="5"/>
        <v>-5.6548090253072135E-2</v>
      </c>
    </row>
    <row r="373" spans="1:16" x14ac:dyDescent="0.3">
      <c r="A373" s="1">
        <v>44166</v>
      </c>
      <c r="B373">
        <v>214.509995</v>
      </c>
      <c r="C373">
        <v>227.179993</v>
      </c>
      <c r="D373">
        <v>209.11000100000001</v>
      </c>
      <c r="E373">
        <v>222.41999799999999</v>
      </c>
      <c r="F373">
        <v>216.60290499999999</v>
      </c>
      <c r="G373">
        <v>594761700</v>
      </c>
      <c r="H373">
        <f t="shared" si="4"/>
        <v>4.2891839331517814E-2</v>
      </c>
      <c r="I373" s="1">
        <v>44166</v>
      </c>
      <c r="J373">
        <v>153.60000600000001</v>
      </c>
      <c r="K373">
        <v>153.66000399999999</v>
      </c>
      <c r="L373">
        <v>142.300003</v>
      </c>
      <c r="M373">
        <v>144.14999399999999</v>
      </c>
      <c r="N373">
        <v>137.097702</v>
      </c>
      <c r="O373">
        <v>170368500</v>
      </c>
      <c r="P373">
        <f t="shared" si="5"/>
        <v>-2.182789322026699E-2</v>
      </c>
    </row>
    <row r="374" spans="1:16" x14ac:dyDescent="0.3">
      <c r="A374" s="1">
        <v>44197</v>
      </c>
      <c r="B374">
        <v>222.529999</v>
      </c>
      <c r="C374">
        <v>242.63999899999999</v>
      </c>
      <c r="D374">
        <v>211.94000199999999</v>
      </c>
      <c r="E374">
        <v>231.96000699999999</v>
      </c>
      <c r="F374">
        <v>225.89340200000001</v>
      </c>
      <c r="G374">
        <v>648076400</v>
      </c>
      <c r="H374">
        <f t="shared" si="4"/>
        <v>1.8107080436106783E-3</v>
      </c>
      <c r="I374" s="1">
        <v>44197</v>
      </c>
      <c r="J374">
        <v>144.300003</v>
      </c>
      <c r="K374">
        <v>149.929993</v>
      </c>
      <c r="L374">
        <v>140.35000600000001</v>
      </c>
      <c r="M374">
        <v>140.490005</v>
      </c>
      <c r="N374">
        <v>134.10514800000001</v>
      </c>
      <c r="O374">
        <v>150162900</v>
      </c>
      <c r="P374">
        <f t="shared" si="5"/>
        <v>-7.5236649379038151E-2</v>
      </c>
    </row>
    <row r="375" spans="1:16" x14ac:dyDescent="0.3">
      <c r="A375" s="1">
        <v>44228</v>
      </c>
      <c r="B375">
        <v>235.05999800000001</v>
      </c>
      <c r="C375">
        <v>246.13000500000001</v>
      </c>
      <c r="D375">
        <v>227.88000500000001</v>
      </c>
      <c r="E375">
        <v>232.38000500000001</v>
      </c>
      <c r="F375">
        <v>226.30242899999999</v>
      </c>
      <c r="G375">
        <v>490962200</v>
      </c>
      <c r="H375">
        <f t="shared" si="4"/>
        <v>1.6925006138577548E-2</v>
      </c>
      <c r="I375" s="1">
        <v>44228</v>
      </c>
      <c r="J375">
        <v>140.91000399999999</v>
      </c>
      <c r="K375">
        <v>147.5</v>
      </c>
      <c r="L375">
        <v>129.86000100000001</v>
      </c>
      <c r="M375">
        <v>129.91999799999999</v>
      </c>
      <c r="N375">
        <v>124.01552599999999</v>
      </c>
      <c r="O375">
        <v>184999800</v>
      </c>
      <c r="P375">
        <f t="shared" si="5"/>
        <v>4.5489675220181672E-2</v>
      </c>
    </row>
    <row r="376" spans="1:16" x14ac:dyDescent="0.3">
      <c r="A376" s="1">
        <v>44256</v>
      </c>
      <c r="B376">
        <v>235.89999399999999</v>
      </c>
      <c r="C376">
        <v>241.050003</v>
      </c>
      <c r="D376">
        <v>224.259995</v>
      </c>
      <c r="E376">
        <v>235.770004</v>
      </c>
      <c r="F376">
        <v>230.132599</v>
      </c>
      <c r="G376">
        <v>724945800</v>
      </c>
      <c r="H376">
        <f t="shared" si="4"/>
        <v>6.9601651698202011E-2</v>
      </c>
      <c r="I376" s="1">
        <v>44256</v>
      </c>
      <c r="J376">
        <v>131.58000200000001</v>
      </c>
      <c r="K376">
        <v>137.58999600000001</v>
      </c>
      <c r="L376">
        <v>126.279999</v>
      </c>
      <c r="M376">
        <v>135.83000200000001</v>
      </c>
      <c r="N376">
        <v>129.65695199999999</v>
      </c>
      <c r="O376">
        <v>246548100</v>
      </c>
      <c r="P376">
        <f t="shared" si="5"/>
        <v>3.4338143318377569E-2</v>
      </c>
    </row>
    <row r="377" spans="1:16" x14ac:dyDescent="0.3">
      <c r="A377" s="1">
        <v>44287</v>
      </c>
      <c r="B377">
        <v>238.470001</v>
      </c>
      <c r="C377">
        <v>263.19000199999999</v>
      </c>
      <c r="D377">
        <v>238.050003</v>
      </c>
      <c r="E377">
        <v>252.179993</v>
      </c>
      <c r="F377">
        <v>246.15020799999999</v>
      </c>
      <c r="G377">
        <v>568661600</v>
      </c>
      <c r="H377">
        <f t="shared" si="4"/>
        <v>-9.9135890228456789E-3</v>
      </c>
      <c r="I377" s="1">
        <v>44287</v>
      </c>
      <c r="J377">
        <v>135.94000199999999</v>
      </c>
      <c r="K377">
        <v>141.770004</v>
      </c>
      <c r="L377">
        <v>135.33000200000001</v>
      </c>
      <c r="M377">
        <v>139.91000399999999</v>
      </c>
      <c r="N377">
        <v>134.10913099999999</v>
      </c>
      <c r="O377">
        <v>153121900</v>
      </c>
      <c r="P377">
        <f t="shared" si="5"/>
        <v>1.51525029268888E-2</v>
      </c>
    </row>
    <row r="378" spans="1:16" x14ac:dyDescent="0.3">
      <c r="A378" s="1">
        <v>44317</v>
      </c>
      <c r="B378">
        <v>253.39999399999999</v>
      </c>
      <c r="C378">
        <v>254.35000600000001</v>
      </c>
      <c r="D378">
        <v>238.070007</v>
      </c>
      <c r="E378">
        <v>249.679993</v>
      </c>
      <c r="F378">
        <v>243.70997600000001</v>
      </c>
      <c r="G378">
        <v>495084900</v>
      </c>
      <c r="H378">
        <f t="shared" si="4"/>
        <v>8.7494021992764001E-2</v>
      </c>
      <c r="I378" s="1">
        <v>44317</v>
      </c>
      <c r="J378">
        <v>139.679993</v>
      </c>
      <c r="K378">
        <v>144.58000200000001</v>
      </c>
      <c r="L378">
        <v>135.759995</v>
      </c>
      <c r="M378">
        <v>142.029999</v>
      </c>
      <c r="N378">
        <v>136.14122</v>
      </c>
      <c r="O378">
        <v>174777800</v>
      </c>
      <c r="P378">
        <f t="shared" si="5"/>
        <v>-3.2120029481152016E-3</v>
      </c>
    </row>
    <row r="379" spans="1:16" x14ac:dyDescent="0.3">
      <c r="A379" s="1">
        <v>44348</v>
      </c>
      <c r="B379">
        <v>251.229996</v>
      </c>
      <c r="C379">
        <v>271.64999399999999</v>
      </c>
      <c r="D379">
        <v>243</v>
      </c>
      <c r="E379">
        <v>270.89999399999999</v>
      </c>
      <c r="F379">
        <v>265.033142</v>
      </c>
      <c r="G379">
        <v>508572200</v>
      </c>
      <c r="H379">
        <f t="shared" si="4"/>
        <v>5.1716683040342201E-2</v>
      </c>
      <c r="I379" s="1">
        <v>44348</v>
      </c>
      <c r="J379">
        <v>142.21000699999999</v>
      </c>
      <c r="K379">
        <v>142.800003</v>
      </c>
      <c r="L379">
        <v>134.39999399999999</v>
      </c>
      <c r="M379">
        <v>141.020004</v>
      </c>
      <c r="N379">
        <v>135.703934</v>
      </c>
      <c r="O379">
        <v>169107000</v>
      </c>
      <c r="P379">
        <f t="shared" si="5"/>
        <v>1.0849619142212814E-2</v>
      </c>
    </row>
    <row r="380" spans="1:16" x14ac:dyDescent="0.3">
      <c r="A380" s="1">
        <v>44378</v>
      </c>
      <c r="B380">
        <v>269.60998499999999</v>
      </c>
      <c r="C380">
        <v>290.14999399999999</v>
      </c>
      <c r="D380">
        <v>269.60000600000001</v>
      </c>
      <c r="E380">
        <v>284.91000400000001</v>
      </c>
      <c r="F380">
        <v>278.739777</v>
      </c>
      <c r="G380">
        <v>522672700</v>
      </c>
      <c r="H380">
        <f t="shared" si="4"/>
        <v>5.9562532404551588E-2</v>
      </c>
      <c r="I380" s="1">
        <v>44378</v>
      </c>
      <c r="J380">
        <v>140.41000399999999</v>
      </c>
      <c r="K380">
        <v>143.86000100000001</v>
      </c>
      <c r="L380">
        <v>138.220001</v>
      </c>
      <c r="M380">
        <v>142.550003</v>
      </c>
      <c r="N380">
        <v>137.17626999999999</v>
      </c>
      <c r="O380">
        <v>131883100</v>
      </c>
      <c r="P380">
        <f t="shared" si="5"/>
        <v>3.8933884118587114E-2</v>
      </c>
    </row>
    <row r="381" spans="1:16" x14ac:dyDescent="0.3">
      <c r="A381" s="1">
        <v>44409</v>
      </c>
      <c r="B381">
        <v>286.35998499999999</v>
      </c>
      <c r="C381">
        <v>305.83999599999999</v>
      </c>
      <c r="D381">
        <v>283.73998999999998</v>
      </c>
      <c r="E381">
        <v>301.88000499999998</v>
      </c>
      <c r="F381">
        <v>295.34222399999999</v>
      </c>
      <c r="G381">
        <v>441308900</v>
      </c>
      <c r="H381">
        <f t="shared" si="4"/>
        <v>-6.4331116433930469E-2</v>
      </c>
      <c r="I381" s="1">
        <v>44409</v>
      </c>
      <c r="J381">
        <v>142.83000200000001</v>
      </c>
      <c r="K381">
        <v>152.570007</v>
      </c>
      <c r="L381">
        <v>141.66999799999999</v>
      </c>
      <c r="M381">
        <v>148.10000600000001</v>
      </c>
      <c r="N381">
        <v>142.51707500000001</v>
      </c>
      <c r="O381">
        <v>181399800</v>
      </c>
      <c r="P381">
        <f t="shared" si="5"/>
        <v>-5.5416068565819279E-2</v>
      </c>
    </row>
    <row r="382" spans="1:16" x14ac:dyDescent="0.3">
      <c r="A382" s="1">
        <v>44440</v>
      </c>
      <c r="B382">
        <v>302.86999500000002</v>
      </c>
      <c r="C382">
        <v>305.32000699999998</v>
      </c>
      <c r="D382">
        <v>281.61999500000002</v>
      </c>
      <c r="E382">
        <v>281.92001299999998</v>
      </c>
      <c r="F382">
        <v>276.34252900000001</v>
      </c>
      <c r="G382">
        <v>502918700</v>
      </c>
      <c r="H382">
        <f t="shared" si="4"/>
        <v>0.17629123963036469</v>
      </c>
      <c r="I382" s="1">
        <v>44440</v>
      </c>
      <c r="J382">
        <v>147.55999800000001</v>
      </c>
      <c r="K382">
        <v>149.64999399999999</v>
      </c>
      <c r="L382">
        <v>139.25</v>
      </c>
      <c r="M382">
        <v>139.38000500000001</v>
      </c>
      <c r="N382">
        <v>134.619339</v>
      </c>
      <c r="O382">
        <v>151255200</v>
      </c>
      <c r="P382">
        <f t="shared" si="5"/>
        <v>7.2033357703531684E-2</v>
      </c>
    </row>
    <row r="383" spans="1:16" x14ac:dyDescent="0.3">
      <c r="A383" s="1">
        <v>44470</v>
      </c>
      <c r="B383">
        <v>282.11999500000002</v>
      </c>
      <c r="C383">
        <v>332</v>
      </c>
      <c r="D383">
        <v>280.25</v>
      </c>
      <c r="E383">
        <v>331.61999500000002</v>
      </c>
      <c r="F383">
        <v>325.05929600000002</v>
      </c>
      <c r="G383">
        <v>516515800</v>
      </c>
      <c r="H383">
        <f t="shared" si="4"/>
        <v>-3.1061225211046358E-3</v>
      </c>
      <c r="I383" s="1">
        <v>44470</v>
      </c>
      <c r="J383">
        <v>139.259995</v>
      </c>
      <c r="K383">
        <v>150.550003</v>
      </c>
      <c r="L383">
        <v>134.71000699999999</v>
      </c>
      <c r="M383">
        <v>149.41999799999999</v>
      </c>
      <c r="N383">
        <v>144.31642199999999</v>
      </c>
      <c r="O383">
        <v>137999600</v>
      </c>
      <c r="P383">
        <f t="shared" si="5"/>
        <v>-5.8827622541806054E-2</v>
      </c>
    </row>
    <row r="384" spans="1:16" x14ac:dyDescent="0.3">
      <c r="A384" s="1">
        <v>44501</v>
      </c>
      <c r="B384">
        <v>331.35998499999999</v>
      </c>
      <c r="C384">
        <v>349.67001299999998</v>
      </c>
      <c r="D384">
        <v>326.36999500000002</v>
      </c>
      <c r="E384">
        <v>330.58999599999999</v>
      </c>
      <c r="F384">
        <v>324.049622</v>
      </c>
      <c r="G384">
        <v>509885200</v>
      </c>
      <c r="H384">
        <f t="shared" si="4"/>
        <v>1.9193933822888386E-2</v>
      </c>
      <c r="I384" s="1">
        <v>44501</v>
      </c>
      <c r="J384">
        <v>149.979996</v>
      </c>
      <c r="K384">
        <v>152</v>
      </c>
      <c r="L384">
        <v>140.009995</v>
      </c>
      <c r="M384">
        <v>140.63000500000001</v>
      </c>
      <c r="N384">
        <v>135.82662999999999</v>
      </c>
      <c r="O384">
        <v>178086200</v>
      </c>
      <c r="P384">
        <f t="shared" si="5"/>
        <v>2.887030326821775E-2</v>
      </c>
    </row>
    <row r="385" spans="1:16" x14ac:dyDescent="0.3">
      <c r="A385" s="1">
        <v>44531</v>
      </c>
      <c r="B385">
        <v>335.13000499999998</v>
      </c>
      <c r="C385">
        <v>344.29998799999998</v>
      </c>
      <c r="D385">
        <v>317.25</v>
      </c>
      <c r="E385">
        <v>336.32000699999998</v>
      </c>
      <c r="F385">
        <v>330.269409</v>
      </c>
      <c r="G385">
        <v>625674800</v>
      </c>
      <c r="H385">
        <f t="shared" si="4"/>
        <v>-7.5344928479282758E-2</v>
      </c>
      <c r="I385" s="1">
        <v>44531</v>
      </c>
      <c r="J385">
        <v>140.509995</v>
      </c>
      <c r="K385">
        <v>146.529999</v>
      </c>
      <c r="L385">
        <v>135.240005</v>
      </c>
      <c r="M385">
        <v>144.69000199999999</v>
      </c>
      <c r="N385">
        <v>139.747986</v>
      </c>
      <c r="O385">
        <v>238749200</v>
      </c>
      <c r="P385">
        <f t="shared" si="5"/>
        <v>-2.9837016756720815E-2</v>
      </c>
    </row>
    <row r="386" spans="1:16" x14ac:dyDescent="0.3">
      <c r="A386" s="1">
        <v>44562</v>
      </c>
      <c r="B386">
        <v>335.35000600000001</v>
      </c>
      <c r="C386">
        <v>338</v>
      </c>
      <c r="D386">
        <v>276.04998799999998</v>
      </c>
      <c r="E386">
        <v>310.98001099999999</v>
      </c>
      <c r="F386">
        <v>305.38528400000001</v>
      </c>
      <c r="G386">
        <v>947531400</v>
      </c>
      <c r="H386">
        <f t="shared" si="4"/>
        <v>-3.9198689744329704E-2</v>
      </c>
      <c r="I386" s="1">
        <v>44562</v>
      </c>
      <c r="J386">
        <v>144</v>
      </c>
      <c r="K386">
        <v>146.63000500000001</v>
      </c>
      <c r="L386">
        <v>133.949997</v>
      </c>
      <c r="M386">
        <v>139.80999800000001</v>
      </c>
      <c r="N386">
        <v>135.57832300000001</v>
      </c>
      <c r="O386">
        <v>165738700</v>
      </c>
      <c r="P386">
        <f t="shared" si="5"/>
        <v>-3.3259232746225956E-2</v>
      </c>
    </row>
    <row r="387" spans="1:16" x14ac:dyDescent="0.3">
      <c r="A387" s="1">
        <v>44593</v>
      </c>
      <c r="B387">
        <v>310.41000400000001</v>
      </c>
      <c r="C387">
        <v>315.11999500000002</v>
      </c>
      <c r="D387">
        <v>271.51998900000001</v>
      </c>
      <c r="E387">
        <v>298.790009</v>
      </c>
      <c r="F387">
        <v>293.414581</v>
      </c>
      <c r="G387">
        <v>697050600</v>
      </c>
      <c r="H387">
        <f t="shared" si="4"/>
        <v>3.3995352126007732E-2</v>
      </c>
      <c r="I387" s="1">
        <v>44593</v>
      </c>
      <c r="J387">
        <v>139.21000699999999</v>
      </c>
      <c r="K387">
        <v>141.990005</v>
      </c>
      <c r="L387">
        <v>132.009995</v>
      </c>
      <c r="M387">
        <v>135.16000399999999</v>
      </c>
      <c r="N387">
        <v>131.06909200000001</v>
      </c>
      <c r="O387">
        <v>162588100</v>
      </c>
      <c r="P387">
        <f t="shared" si="5"/>
        <v>0.10180524482461495</v>
      </c>
    </row>
    <row r="388" spans="1:16" x14ac:dyDescent="0.3">
      <c r="A388" s="1">
        <v>44621</v>
      </c>
      <c r="B388">
        <v>296.39999399999999</v>
      </c>
      <c r="C388">
        <v>315.95001200000002</v>
      </c>
      <c r="D388">
        <v>270</v>
      </c>
      <c r="E388">
        <v>308.30999800000001</v>
      </c>
      <c r="F388">
        <v>303.38931300000002</v>
      </c>
      <c r="G388">
        <v>734334200</v>
      </c>
      <c r="H388">
        <f t="shared" si="4"/>
        <v>-9.986691258304152E-2</v>
      </c>
      <c r="I388" s="1">
        <v>44621</v>
      </c>
      <c r="J388">
        <v>135.86999499999999</v>
      </c>
      <c r="K388">
        <v>150.53999300000001</v>
      </c>
      <c r="L388">
        <v>135.020004</v>
      </c>
      <c r="M388">
        <v>148.91999799999999</v>
      </c>
      <c r="N388">
        <v>144.41261299999999</v>
      </c>
      <c r="O388">
        <v>185882500</v>
      </c>
      <c r="P388">
        <f t="shared" si="5"/>
        <v>3.1303463777087259E-2</v>
      </c>
    </row>
    <row r="389" spans="1:16" x14ac:dyDescent="0.3">
      <c r="A389" s="1">
        <v>44652</v>
      </c>
      <c r="B389">
        <v>309.36999500000002</v>
      </c>
      <c r="C389">
        <v>315.10998499999999</v>
      </c>
      <c r="D389">
        <v>270</v>
      </c>
      <c r="E389">
        <v>277.51998900000001</v>
      </c>
      <c r="F389">
        <v>273.09075899999999</v>
      </c>
      <c r="G389">
        <v>627343400</v>
      </c>
      <c r="H389">
        <f t="shared" si="4"/>
        <v>-2.0358850736505577E-2</v>
      </c>
      <c r="I389" s="1">
        <v>44652</v>
      </c>
      <c r="J389">
        <v>149.66000399999999</v>
      </c>
      <c r="K389">
        <v>160.770004</v>
      </c>
      <c r="L389">
        <v>148.83999600000001</v>
      </c>
      <c r="M389">
        <v>152.990005</v>
      </c>
      <c r="N389">
        <v>148.93322800000001</v>
      </c>
      <c r="O389">
        <v>142404500</v>
      </c>
      <c r="P389">
        <f t="shared" si="5"/>
        <v>-0.1592260056298519</v>
      </c>
    </row>
    <row r="390" spans="1:16" x14ac:dyDescent="0.3">
      <c r="A390" s="1">
        <v>44682</v>
      </c>
      <c r="B390">
        <v>277.709991</v>
      </c>
      <c r="C390">
        <v>290.88000499999998</v>
      </c>
      <c r="D390">
        <v>246.44000199999999</v>
      </c>
      <c r="E390">
        <v>271.86999500000002</v>
      </c>
      <c r="F390">
        <v>267.53094499999997</v>
      </c>
      <c r="G390">
        <v>742902000</v>
      </c>
      <c r="H390">
        <f t="shared" si="4"/>
        <v>-5.3120281094958852E-2</v>
      </c>
      <c r="I390" s="1">
        <v>44682</v>
      </c>
      <c r="J390">
        <v>154.96000699999999</v>
      </c>
      <c r="K390">
        <v>154.990005</v>
      </c>
      <c r="L390">
        <v>117.269997</v>
      </c>
      <c r="M390">
        <v>128.63000500000001</v>
      </c>
      <c r="N390">
        <v>125.219185</v>
      </c>
      <c r="O390">
        <v>272146600</v>
      </c>
      <c r="P390">
        <f t="shared" si="5"/>
        <v>-5.1372687020762815E-2</v>
      </c>
    </row>
    <row r="391" spans="1:16" x14ac:dyDescent="0.3">
      <c r="A391" s="1">
        <v>44713</v>
      </c>
      <c r="B391">
        <v>275.20001200000002</v>
      </c>
      <c r="C391">
        <v>277.69000199999999</v>
      </c>
      <c r="D391">
        <v>241.509995</v>
      </c>
      <c r="E391">
        <v>256.82998700000002</v>
      </c>
      <c r="F391">
        <v>253.319626</v>
      </c>
      <c r="G391">
        <v>621372300</v>
      </c>
      <c r="H391">
        <f t="shared" si="4"/>
        <v>9.3096639894770683E-2</v>
      </c>
      <c r="I391" s="1">
        <v>44713</v>
      </c>
      <c r="J391">
        <v>128.5</v>
      </c>
      <c r="K391">
        <v>128.91999799999999</v>
      </c>
      <c r="L391">
        <v>117.900002</v>
      </c>
      <c r="M391">
        <v>121.58000199999999</v>
      </c>
      <c r="N391">
        <v>118.786339</v>
      </c>
      <c r="O391">
        <v>170920600</v>
      </c>
      <c r="P391">
        <f t="shared" si="5"/>
        <v>8.611603056476054E-2</v>
      </c>
    </row>
    <row r="392" spans="1:16" x14ac:dyDescent="0.3">
      <c r="A392" s="1">
        <v>44743</v>
      </c>
      <c r="B392">
        <v>256.39001500000001</v>
      </c>
      <c r="C392">
        <v>282</v>
      </c>
      <c r="D392">
        <v>245.94000199999999</v>
      </c>
      <c r="E392">
        <v>280.73998999999998</v>
      </c>
      <c r="F392">
        <v>276.90283199999999</v>
      </c>
      <c r="G392">
        <v>534891800</v>
      </c>
      <c r="H392">
        <f t="shared" si="4"/>
        <v>-6.8640153886183344E-2</v>
      </c>
      <c r="I392" s="1">
        <v>44743</v>
      </c>
      <c r="J392">
        <v>121.94000200000001</v>
      </c>
      <c r="K392">
        <v>133.38999899999999</v>
      </c>
      <c r="L392">
        <v>120.05999799999999</v>
      </c>
      <c r="M392">
        <v>132.050003</v>
      </c>
      <c r="N392">
        <v>129.015747</v>
      </c>
      <c r="O392">
        <v>157645600</v>
      </c>
      <c r="P392">
        <f t="shared" si="5"/>
        <v>3.7864370153202374E-3</v>
      </c>
    </row>
    <row r="393" spans="1:16" x14ac:dyDescent="0.3">
      <c r="A393" s="1">
        <v>44774</v>
      </c>
      <c r="B393">
        <v>277.82000699999998</v>
      </c>
      <c r="C393">
        <v>294.17999300000002</v>
      </c>
      <c r="D393">
        <v>260.66000400000001</v>
      </c>
      <c r="E393">
        <v>261.47000100000002</v>
      </c>
      <c r="F393">
        <v>257.89617900000002</v>
      </c>
      <c r="G393">
        <v>477157600</v>
      </c>
      <c r="H393">
        <f t="shared" si="4"/>
        <v>-0.10737607322208534</v>
      </c>
      <c r="I393" s="1">
        <v>44774</v>
      </c>
      <c r="J393">
        <v>131.05999800000001</v>
      </c>
      <c r="K393">
        <v>142.720001</v>
      </c>
      <c r="L393">
        <v>125.120003</v>
      </c>
      <c r="M393">
        <v>132.550003</v>
      </c>
      <c r="N393">
        <v>129.504257</v>
      </c>
      <c r="O393">
        <v>207893900</v>
      </c>
      <c r="P393">
        <f t="shared" si="5"/>
        <v>-1.7239626339078509E-2</v>
      </c>
    </row>
    <row r="394" spans="1:16" x14ac:dyDescent="0.3">
      <c r="A394" s="1">
        <v>44805</v>
      </c>
      <c r="B394">
        <v>258.86999500000002</v>
      </c>
      <c r="C394">
        <v>267.45001200000002</v>
      </c>
      <c r="D394">
        <v>232.729996</v>
      </c>
      <c r="E394">
        <v>232.89999399999999</v>
      </c>
      <c r="F394">
        <v>230.20429999999999</v>
      </c>
      <c r="G394">
        <v>575586600</v>
      </c>
      <c r="H394">
        <f t="shared" si="4"/>
        <v>-3.3060981050310428E-3</v>
      </c>
      <c r="I394" s="1">
        <v>44805</v>
      </c>
      <c r="J394">
        <v>132.53999300000001</v>
      </c>
      <c r="K394">
        <v>138.25</v>
      </c>
      <c r="L394">
        <v>128.270004</v>
      </c>
      <c r="M394">
        <v>129.699997</v>
      </c>
      <c r="N394">
        <v>127.271652</v>
      </c>
      <c r="O394">
        <v>138842300</v>
      </c>
      <c r="P394">
        <f t="shared" si="5"/>
        <v>9.7378511280736726E-2</v>
      </c>
    </row>
    <row r="395" spans="1:16" x14ac:dyDescent="0.3">
      <c r="A395" s="1">
        <v>44835</v>
      </c>
      <c r="B395">
        <v>235.41000399999999</v>
      </c>
      <c r="C395">
        <v>251.03999300000001</v>
      </c>
      <c r="D395">
        <v>219.13000500000001</v>
      </c>
      <c r="E395">
        <v>232.13000500000001</v>
      </c>
      <c r="F395">
        <v>229.44322199999999</v>
      </c>
      <c r="G395">
        <v>671225100</v>
      </c>
      <c r="H395">
        <f t="shared" si="4"/>
        <v>9.9125403669584097E-2</v>
      </c>
      <c r="I395" s="1">
        <v>44835</v>
      </c>
      <c r="J395">
        <v>130.240005</v>
      </c>
      <c r="K395">
        <v>143.070007</v>
      </c>
      <c r="L395">
        <v>128.070007</v>
      </c>
      <c r="M395">
        <v>142.33000200000001</v>
      </c>
      <c r="N395">
        <v>139.665176</v>
      </c>
      <c r="O395">
        <v>116895000</v>
      </c>
      <c r="P395">
        <f t="shared" si="5"/>
        <v>7.0891529897187708E-2</v>
      </c>
    </row>
    <row r="396" spans="1:16" x14ac:dyDescent="0.3">
      <c r="A396" s="1">
        <v>44866</v>
      </c>
      <c r="B396">
        <v>234.60000600000001</v>
      </c>
      <c r="C396">
        <v>255.33000200000001</v>
      </c>
      <c r="D396">
        <v>213.429993</v>
      </c>
      <c r="E396">
        <v>255.13999899999999</v>
      </c>
      <c r="F396">
        <v>252.18687399999999</v>
      </c>
      <c r="G396">
        <v>615296000</v>
      </c>
      <c r="H396">
        <f t="shared" si="4"/>
        <v>-5.7396484481583264E-2</v>
      </c>
      <c r="I396" s="1">
        <v>44866</v>
      </c>
      <c r="J396">
        <v>142.970001</v>
      </c>
      <c r="K396">
        <v>154.63999899999999</v>
      </c>
      <c r="L396">
        <v>138.270004</v>
      </c>
      <c r="M396">
        <v>152.41999799999999</v>
      </c>
      <c r="N396">
        <v>149.56625399999999</v>
      </c>
      <c r="O396">
        <v>151660700</v>
      </c>
      <c r="P396">
        <f t="shared" si="5"/>
        <v>-6.9741467216261066E-2</v>
      </c>
    </row>
    <row r="397" spans="1:16" x14ac:dyDescent="0.3">
      <c r="A397" s="1">
        <v>44896</v>
      </c>
      <c r="B397">
        <v>253.86999499999999</v>
      </c>
      <c r="C397">
        <v>263.92001299999998</v>
      </c>
      <c r="D397">
        <v>233.86999499999999</v>
      </c>
      <c r="E397">
        <v>239.820007</v>
      </c>
      <c r="F397">
        <v>237.712234</v>
      </c>
      <c r="G397">
        <v>591358700</v>
      </c>
      <c r="H397">
        <f t="shared" si="4"/>
        <v>3.3316627700364802E-2</v>
      </c>
      <c r="I397" s="1">
        <v>44896</v>
      </c>
      <c r="J397">
        <v>152.050003</v>
      </c>
      <c r="K397">
        <v>153.61000100000001</v>
      </c>
      <c r="L397">
        <v>140.80999800000001</v>
      </c>
      <c r="M397">
        <v>141.78999300000001</v>
      </c>
      <c r="N397">
        <v>139.13528400000001</v>
      </c>
      <c r="O397">
        <v>127375100</v>
      </c>
      <c r="P397">
        <f t="shared" si="5"/>
        <v>1.8494647267187674E-2</v>
      </c>
    </row>
    <row r="398" spans="1:16" x14ac:dyDescent="0.3">
      <c r="A398" s="1">
        <v>44927</v>
      </c>
      <c r="B398">
        <v>243.08000200000001</v>
      </c>
      <c r="C398">
        <v>249.83000200000001</v>
      </c>
      <c r="D398">
        <v>219.35000600000001</v>
      </c>
      <c r="E398">
        <v>247.80999800000001</v>
      </c>
      <c r="F398">
        <v>245.63200399999999</v>
      </c>
      <c r="G398">
        <v>666168100</v>
      </c>
      <c r="H398">
        <f t="shared" si="4"/>
        <v>6.4968732657492371E-3</v>
      </c>
      <c r="I398" s="1">
        <v>44927</v>
      </c>
      <c r="J398">
        <v>142.550003</v>
      </c>
      <c r="K398">
        <v>147.86000100000001</v>
      </c>
      <c r="L398">
        <v>138.16999799999999</v>
      </c>
      <c r="M398">
        <v>143.86999499999999</v>
      </c>
      <c r="N398">
        <v>141.70854199999999</v>
      </c>
      <c r="O398">
        <v>108018200</v>
      </c>
      <c r="P398">
        <f t="shared" si="5"/>
        <v>-1.209409803962265E-2</v>
      </c>
    </row>
    <row r="399" spans="1:16" x14ac:dyDescent="0.3">
      <c r="A399" s="1">
        <v>44958</v>
      </c>
      <c r="B399">
        <v>248</v>
      </c>
      <c r="C399">
        <v>276.76001000000002</v>
      </c>
      <c r="D399">
        <v>245.470001</v>
      </c>
      <c r="E399">
        <v>249.41999799999999</v>
      </c>
      <c r="F399">
        <v>247.227844</v>
      </c>
      <c r="G399">
        <v>615501000</v>
      </c>
      <c r="H399">
        <f t="shared" si="4"/>
        <v>0.15877673147527832</v>
      </c>
      <c r="I399" s="1">
        <v>44958</v>
      </c>
      <c r="J399">
        <v>143.66000399999999</v>
      </c>
      <c r="K399">
        <v>148.33999600000001</v>
      </c>
      <c r="L399">
        <v>138.69000199999999</v>
      </c>
      <c r="M399">
        <v>142.13000500000001</v>
      </c>
      <c r="N399">
        <v>139.99470500000001</v>
      </c>
      <c r="O399">
        <v>122851100</v>
      </c>
      <c r="P399">
        <f t="shared" si="5"/>
        <v>3.7430465673683744E-2</v>
      </c>
    </row>
    <row r="400" spans="1:16" x14ac:dyDescent="0.3">
      <c r="A400" s="1">
        <v>44986</v>
      </c>
      <c r="B400">
        <v>250.759995</v>
      </c>
      <c r="C400">
        <v>289.26998900000001</v>
      </c>
      <c r="D400">
        <v>245.61000100000001</v>
      </c>
      <c r="E400">
        <v>288.29998799999998</v>
      </c>
      <c r="F400">
        <v>286.48187300000001</v>
      </c>
      <c r="G400">
        <v>747635000</v>
      </c>
      <c r="H400">
        <f t="shared" si="4"/>
        <v>6.5764907924907232E-2</v>
      </c>
      <c r="I400" s="1">
        <v>44986</v>
      </c>
      <c r="J400">
        <v>141.05999800000001</v>
      </c>
      <c r="K400">
        <v>148.44000199999999</v>
      </c>
      <c r="L400">
        <v>136.08999600000001</v>
      </c>
      <c r="M400">
        <v>147.449997</v>
      </c>
      <c r="N400">
        <v>145.23477199999999</v>
      </c>
      <c r="O400">
        <v>174882900</v>
      </c>
      <c r="P400">
        <f t="shared" si="5"/>
        <v>2.8069028813568254E-2</v>
      </c>
    </row>
    <row r="401" spans="1:16" x14ac:dyDescent="0.3">
      <c r="A401" s="1">
        <v>45017</v>
      </c>
      <c r="B401">
        <v>286.51998900000001</v>
      </c>
      <c r="C401">
        <v>308.92999300000002</v>
      </c>
      <c r="D401">
        <v>275.36999500000002</v>
      </c>
      <c r="E401">
        <v>307.26001000000002</v>
      </c>
      <c r="F401">
        <v>305.32232699999997</v>
      </c>
      <c r="G401">
        <v>551497100</v>
      </c>
      <c r="H401">
        <f t="shared" si="4"/>
        <v>6.8769176516855379E-2</v>
      </c>
      <c r="I401" s="1">
        <v>45017</v>
      </c>
      <c r="J401">
        <v>147.729996</v>
      </c>
      <c r="K401">
        <v>153.75</v>
      </c>
      <c r="L401">
        <v>147.020004</v>
      </c>
      <c r="M401">
        <v>150.970001</v>
      </c>
      <c r="N401">
        <v>149.31137100000001</v>
      </c>
      <c r="O401">
        <v>100629300</v>
      </c>
      <c r="P401">
        <f t="shared" si="5"/>
        <v>-2.7157757462424058E-2</v>
      </c>
    </row>
    <row r="402" spans="1:16" x14ac:dyDescent="0.3">
      <c r="A402" s="1">
        <v>45047</v>
      </c>
      <c r="B402">
        <v>306.97000100000002</v>
      </c>
      <c r="C402">
        <v>335.94000199999999</v>
      </c>
      <c r="D402">
        <v>303.39999399999999</v>
      </c>
      <c r="E402">
        <v>328.39001500000001</v>
      </c>
      <c r="F402">
        <v>326.31909200000001</v>
      </c>
      <c r="G402">
        <v>600807200</v>
      </c>
      <c r="H402">
        <f t="shared" si="4"/>
        <v>3.9265584865013026E-2</v>
      </c>
      <c r="I402" s="1">
        <v>45047</v>
      </c>
      <c r="J402">
        <v>151.03999300000001</v>
      </c>
      <c r="K402">
        <v>154.35000600000001</v>
      </c>
      <c r="L402">
        <v>145.009995</v>
      </c>
      <c r="M402">
        <v>146.86999499999999</v>
      </c>
      <c r="N402">
        <v>145.25640899999999</v>
      </c>
      <c r="O402">
        <v>135478800</v>
      </c>
      <c r="P402">
        <f t="shared" si="5"/>
        <v>7.4263373810927819E-2</v>
      </c>
    </row>
    <row r="403" spans="1:16" x14ac:dyDescent="0.3">
      <c r="A403" s="1">
        <v>45078</v>
      </c>
      <c r="B403">
        <v>325.92999300000002</v>
      </c>
      <c r="C403">
        <v>351.47000100000002</v>
      </c>
      <c r="D403">
        <v>322.5</v>
      </c>
      <c r="E403">
        <v>340.540009</v>
      </c>
      <c r="F403">
        <v>339.13220200000001</v>
      </c>
      <c r="G403">
        <v>547588700</v>
      </c>
      <c r="H403">
        <f t="shared" si="4"/>
        <v>-1.3566659175586014E-2</v>
      </c>
      <c r="I403" s="1">
        <v>45078</v>
      </c>
      <c r="J403">
        <v>146.21000699999999</v>
      </c>
      <c r="K403">
        <v>158.229996</v>
      </c>
      <c r="L403">
        <v>145.94000199999999</v>
      </c>
      <c r="M403">
        <v>157.179993</v>
      </c>
      <c r="N403">
        <v>156.04364000000001</v>
      </c>
      <c r="O403">
        <v>130106800</v>
      </c>
      <c r="P403">
        <f t="shared" si="5"/>
        <v>1.705054432208836E-2</v>
      </c>
    </row>
    <row r="404" spans="1:16" x14ac:dyDescent="0.3">
      <c r="A404" s="1">
        <v>45108</v>
      </c>
      <c r="B404">
        <v>339.19000199999999</v>
      </c>
      <c r="C404">
        <v>366.77999899999998</v>
      </c>
      <c r="D404">
        <v>327</v>
      </c>
      <c r="E404">
        <v>335.92001299999998</v>
      </c>
      <c r="F404">
        <v>334.53131100000002</v>
      </c>
      <c r="G404">
        <v>666764400</v>
      </c>
      <c r="I404" s="1">
        <v>45108</v>
      </c>
      <c r="J404">
        <v>156.80999800000001</v>
      </c>
      <c r="K404">
        <v>160.94000199999999</v>
      </c>
      <c r="L404">
        <v>153.449997</v>
      </c>
      <c r="M404">
        <v>159.86000100000001</v>
      </c>
      <c r="N404">
        <v>158.70426900000001</v>
      </c>
      <c r="O404">
        <v>90725700</v>
      </c>
    </row>
    <row r="405" spans="1:16" x14ac:dyDescent="0.3">
      <c r="A405" s="1">
        <v>45139</v>
      </c>
      <c r="B405">
        <v>335.19000199999999</v>
      </c>
      <c r="C405">
        <v>338.540009</v>
      </c>
      <c r="D405">
        <v>311.54998799999998</v>
      </c>
      <c r="E405">
        <v>327.76001000000002</v>
      </c>
      <c r="F405">
        <v>326.40505999999999</v>
      </c>
      <c r="G405">
        <v>479456700</v>
      </c>
      <c r="I405" s="1">
        <v>45139</v>
      </c>
      <c r="J405">
        <v>159.949997</v>
      </c>
      <c r="K405">
        <v>162.990005</v>
      </c>
      <c r="L405">
        <v>155.020004</v>
      </c>
      <c r="M405">
        <v>162.61000100000001</v>
      </c>
      <c r="N405">
        <v>161.43438699999999</v>
      </c>
      <c r="O405">
        <v>130555600</v>
      </c>
    </row>
    <row r="406" spans="1:16" x14ac:dyDescent="0.3">
      <c r="A406" s="1">
        <v>45170</v>
      </c>
      <c r="B406">
        <v>331.30999800000001</v>
      </c>
      <c r="C406">
        <v>340.85998499999999</v>
      </c>
      <c r="D406">
        <v>309.45001200000002</v>
      </c>
      <c r="E406">
        <v>315.75</v>
      </c>
      <c r="F406">
        <v>315.11044299999998</v>
      </c>
      <c r="G406">
        <v>416680700</v>
      </c>
      <c r="I406" s="1">
        <v>45170</v>
      </c>
      <c r="J406">
        <v>162.86999499999999</v>
      </c>
      <c r="K406">
        <v>165.85000600000001</v>
      </c>
      <c r="L406">
        <v>159.19000199999999</v>
      </c>
      <c r="M406">
        <v>159.929993</v>
      </c>
      <c r="N406">
        <v>159.33819600000001</v>
      </c>
      <c r="O406">
        <v>110365200</v>
      </c>
    </row>
    <row r="407" spans="1:16" x14ac:dyDescent="0.3">
      <c r="A407" s="1">
        <v>45200</v>
      </c>
      <c r="B407">
        <v>316.27999899999998</v>
      </c>
      <c r="C407">
        <v>346.20001200000002</v>
      </c>
      <c r="D407">
        <v>311.209991</v>
      </c>
      <c r="E407">
        <v>338.10998499999999</v>
      </c>
      <c r="F407">
        <v>337.42514</v>
      </c>
      <c r="G407">
        <v>540907000</v>
      </c>
      <c r="I407" s="1">
        <v>45200</v>
      </c>
      <c r="J407">
        <v>159.490005</v>
      </c>
      <c r="K407">
        <v>164.33000200000001</v>
      </c>
      <c r="L407">
        <v>151.64999399999999</v>
      </c>
      <c r="M407">
        <v>163.41000399999999</v>
      </c>
      <c r="N407">
        <v>162.805328</v>
      </c>
      <c r="O407">
        <v>114664700</v>
      </c>
    </row>
    <row r="408" spans="1:16" x14ac:dyDescent="0.3">
      <c r="A408" s="1">
        <v>45231</v>
      </c>
      <c r="B408">
        <v>339.790009</v>
      </c>
      <c r="C408">
        <v>384.29998799999998</v>
      </c>
      <c r="D408">
        <v>339.64999399999999</v>
      </c>
      <c r="E408">
        <v>378.91000400000001</v>
      </c>
      <c r="F408">
        <v>378.142517</v>
      </c>
      <c r="G408">
        <v>563880300</v>
      </c>
      <c r="I408" s="1">
        <v>45231</v>
      </c>
      <c r="J408">
        <v>164.21000699999999</v>
      </c>
      <c r="K408">
        <v>169.94000199999999</v>
      </c>
      <c r="L408">
        <v>154.13000500000001</v>
      </c>
      <c r="M408">
        <v>155.69000199999999</v>
      </c>
      <c r="N408">
        <v>155.11390700000001</v>
      </c>
      <c r="O408">
        <v>178827100</v>
      </c>
    </row>
    <row r="409" spans="1:16" x14ac:dyDescent="0.3">
      <c r="A409" s="1">
        <v>45261</v>
      </c>
      <c r="B409">
        <v>376.76001000000002</v>
      </c>
      <c r="C409">
        <v>378.16000400000001</v>
      </c>
      <c r="D409">
        <v>362.89999399999999</v>
      </c>
      <c r="E409">
        <v>376.040009</v>
      </c>
      <c r="F409">
        <v>376.040009</v>
      </c>
      <c r="G409">
        <v>522003700</v>
      </c>
      <c r="I409" s="1">
        <v>45261</v>
      </c>
      <c r="J409">
        <v>155.38000500000001</v>
      </c>
      <c r="K409">
        <v>158.33000200000001</v>
      </c>
      <c r="L409">
        <v>149.53999300000001</v>
      </c>
      <c r="M409">
        <v>157.64999399999999</v>
      </c>
      <c r="N409">
        <v>157.06663499999999</v>
      </c>
      <c r="O409">
        <v>181283700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43FC-52F8-4755-BDC2-54121177F924}">
  <dimension ref="A2:L24"/>
  <sheetViews>
    <sheetView workbookViewId="0">
      <selection activeCell="H21" sqref="H21"/>
    </sheetView>
  </sheetViews>
  <sheetFormatPr defaultRowHeight="14.4" x14ac:dyDescent="0.3"/>
  <cols>
    <col min="4" max="4" width="21.88671875" bestFit="1" customWidth="1"/>
    <col min="5" max="5" width="15.6640625" bestFit="1" customWidth="1"/>
    <col min="6" max="6" width="19.5546875" bestFit="1" customWidth="1"/>
    <col min="7" max="7" width="16.88671875" bestFit="1" customWidth="1"/>
    <col min="10" max="10" width="14.109375" bestFit="1" customWidth="1"/>
  </cols>
  <sheetData>
    <row r="2" spans="1:12" x14ac:dyDescent="0.3">
      <c r="B2" t="s">
        <v>11</v>
      </c>
      <c r="C2" t="s">
        <v>55</v>
      </c>
    </row>
    <row r="3" spans="1:12" x14ac:dyDescent="0.3">
      <c r="A3" t="str">
        <f>'[1]Task 1'!A2</f>
        <v xml:space="preserve">Arithmetic Average </v>
      </c>
      <c r="B3">
        <f>'Task 1 '!S2</f>
        <v>1.6643685036992945E-2</v>
      </c>
      <c r="C3">
        <f>'Task 1 '!T2</f>
        <v>9.360907505723836E-3</v>
      </c>
      <c r="F3" t="s">
        <v>56</v>
      </c>
      <c r="G3">
        <f>_xlfn.VAR.S([1]MSFT!H211:H403)</f>
        <v>4.6308398320342803E-3</v>
      </c>
      <c r="J3" s="2" t="s">
        <v>57</v>
      </c>
      <c r="K3" s="8">
        <f>B3*G5+C3*G6</f>
        <v>1.1620983067005942E-2</v>
      </c>
      <c r="L3">
        <f>K3</f>
        <v>1.1620983067005942E-2</v>
      </c>
    </row>
    <row r="4" spans="1:12" x14ac:dyDescent="0.3">
      <c r="A4" t="str">
        <f>'[1]Task 1'!A3</f>
        <v>Geometic Mean</v>
      </c>
      <c r="B4">
        <f>'Task 1 '!S3</f>
        <v>1.437205934148289E-2</v>
      </c>
      <c r="C4">
        <f>'Task 1 '!T3</f>
        <v>8.0799793927537333E-3</v>
      </c>
      <c r="F4" t="s">
        <v>58</v>
      </c>
      <c r="G4">
        <f>_xlfn.VAR.S([1]Wmt!H211:H403)</f>
        <v>2.5637321436189505E-3</v>
      </c>
      <c r="J4" s="9" t="s">
        <v>59</v>
      </c>
      <c r="K4" s="10">
        <f>SQRT(((G5*B5)^2+(G6*C5)^2+2*G5*G6*B5*C5*B7))</f>
        <v>4.5154589880883202E-2</v>
      </c>
    </row>
    <row r="5" spans="1:12" x14ac:dyDescent="0.3">
      <c r="A5" t="str">
        <f>'[1]Task 1'!A4</f>
        <v>Standard_dev</v>
      </c>
      <c r="B5">
        <f>'Task 1 '!S4</f>
        <v>6.8050274298009111E-2</v>
      </c>
      <c r="C5">
        <f>'Task 1 '!T4</f>
        <v>5.0633310612865821E-2</v>
      </c>
      <c r="F5" s="9" t="s">
        <v>60</v>
      </c>
      <c r="G5">
        <f>(G4-(B7*B5*C5))/(G3+G4-2*B7*B5*C5)</f>
        <v>0.31033153924835882</v>
      </c>
    </row>
    <row r="6" spans="1:12" x14ac:dyDescent="0.3">
      <c r="A6" t="str">
        <f>'[1]Task 1'!A5</f>
        <v>Covariance</v>
      </c>
      <c r="B6">
        <f>'Task 1 '!S5</f>
        <v>8.6813160150667505E-4</v>
      </c>
      <c r="F6" s="9" t="s">
        <v>61</v>
      </c>
      <c r="G6">
        <f>1-G5</f>
        <v>0.68966846075164123</v>
      </c>
    </row>
    <row r="7" spans="1:12" x14ac:dyDescent="0.3">
      <c r="A7" t="str">
        <f>'[1]Task 1'!A6</f>
        <v>Correlation</v>
      </c>
      <c r="B7">
        <f>'Task 1 '!S6</f>
        <v>0.25326515453066523</v>
      </c>
      <c r="F7" s="11"/>
    </row>
    <row r="11" spans="1:12" x14ac:dyDescent="0.3">
      <c r="A11" s="2" t="s">
        <v>62</v>
      </c>
      <c r="B11" s="2" t="s">
        <v>63</v>
      </c>
      <c r="C11" s="2"/>
      <c r="D11" s="2" t="s">
        <v>64</v>
      </c>
      <c r="E11" s="2" t="s">
        <v>65</v>
      </c>
      <c r="F11" s="2" t="s">
        <v>66</v>
      </c>
      <c r="G11" s="2" t="s">
        <v>67</v>
      </c>
    </row>
    <row r="12" spans="1:12" x14ac:dyDescent="0.3">
      <c r="A12" s="2">
        <v>1</v>
      </c>
      <c r="B12" s="2">
        <v>0</v>
      </c>
      <c r="C12" s="2"/>
      <c r="D12" s="2">
        <f>A12*$B$3+B12*$C$3</f>
        <v>1.6643685036992945E-2</v>
      </c>
      <c r="E12" s="2">
        <f>(A12*$B$5)^2+(B12*$C$5)^2+(2*A12*B12*$B$5*$C$5*$B$7)</f>
        <v>4.6308398320342795E-3</v>
      </c>
      <c r="F12" s="2">
        <f>SQRT((A12*$B$5)^2+(B12*$C$5)^2+2*A12*B12*$B$5*$C$5*$B$7)</f>
        <v>6.8050274298009111E-2</v>
      </c>
      <c r="G12" s="2">
        <f>D12</f>
        <v>1.6643685036992945E-2</v>
      </c>
    </row>
    <row r="13" spans="1:12" x14ac:dyDescent="0.3">
      <c r="A13" s="2">
        <v>0.9</v>
      </c>
      <c r="B13" s="2">
        <v>0.1</v>
      </c>
      <c r="C13" s="2"/>
      <c r="D13" s="2">
        <f t="shared" ref="D13:D22" si="0">A13*$B$3+B13*$C$3</f>
        <v>1.5915407283866034E-2</v>
      </c>
      <c r="E13" s="2">
        <f t="shared" ref="E13:E21" si="1">(A13*$B$5)^2+(B13*$C$5)^2+(2*A13*B13*$B$5*$C$5*$B$7)</f>
        <v>3.9336951470315702E-3</v>
      </c>
      <c r="F13" s="2">
        <f t="shared" ref="F13:F22" si="2">SQRT((A13*$B$5)^2+(B13*$C$5)^2+2*A13*B13*$B$5*$C$5*$B$7)</f>
        <v>6.2719176868255927E-2</v>
      </c>
      <c r="G13" s="2">
        <f t="shared" ref="G13:G22" si="3">D13</f>
        <v>1.5915407283866034E-2</v>
      </c>
    </row>
    <row r="14" spans="1:12" x14ac:dyDescent="0.3">
      <c r="A14" s="2">
        <v>0.8</v>
      </c>
      <c r="B14" s="2">
        <v>0.2</v>
      </c>
      <c r="C14" s="2"/>
      <c r="D14" s="2">
        <f t="shared" si="0"/>
        <v>1.5187129530739123E-2</v>
      </c>
      <c r="E14" s="2">
        <f t="shared" si="1"/>
        <v>3.3455357767313448E-3</v>
      </c>
      <c r="F14" s="2">
        <f t="shared" si="2"/>
        <v>5.7840606642144972E-2</v>
      </c>
      <c r="G14" s="2">
        <f t="shared" si="3"/>
        <v>1.5187129530739123E-2</v>
      </c>
    </row>
    <row r="15" spans="1:12" x14ac:dyDescent="0.3">
      <c r="A15" s="2">
        <v>0.7</v>
      </c>
      <c r="B15" s="2">
        <v>0.3</v>
      </c>
      <c r="C15" s="2"/>
      <c r="D15" s="2">
        <f t="shared" si="0"/>
        <v>1.4458851777612212E-2</v>
      </c>
      <c r="E15" s="2">
        <f t="shared" si="1"/>
        <v>2.8663617211336007E-3</v>
      </c>
      <c r="F15" s="2">
        <f t="shared" si="2"/>
        <v>5.3538413509681075E-2</v>
      </c>
      <c r="G15" s="2">
        <f t="shared" si="3"/>
        <v>1.4458851777612212E-2</v>
      </c>
    </row>
    <row r="16" spans="1:12" x14ac:dyDescent="0.3">
      <c r="A16" s="2">
        <v>0.6</v>
      </c>
      <c r="B16" s="2">
        <v>0.4</v>
      </c>
      <c r="C16" s="2"/>
      <c r="D16" s="2">
        <f t="shared" si="0"/>
        <v>1.3730574024485302E-2</v>
      </c>
      <c r="E16" s="2">
        <f t="shared" si="1"/>
        <v>2.4961729802383428E-3</v>
      </c>
      <c r="F16" s="2">
        <f t="shared" si="2"/>
        <v>4.9961715145082269E-2</v>
      </c>
      <c r="G16" s="2">
        <f t="shared" si="3"/>
        <v>1.3730574024485302E-2</v>
      </c>
    </row>
    <row r="17" spans="1:7" x14ac:dyDescent="0.3">
      <c r="A17" s="2">
        <v>0.5</v>
      </c>
      <c r="B17" s="2">
        <v>0.5</v>
      </c>
      <c r="C17" s="2"/>
      <c r="D17" s="2">
        <f t="shared" si="0"/>
        <v>1.3002296271358391E-2</v>
      </c>
      <c r="E17" s="2">
        <f t="shared" si="1"/>
        <v>2.2349695540455684E-3</v>
      </c>
      <c r="F17" s="2">
        <f t="shared" si="2"/>
        <v>4.727546460951567E-2</v>
      </c>
      <c r="G17" s="2">
        <f t="shared" si="3"/>
        <v>1.3002296271358391E-2</v>
      </c>
    </row>
    <row r="18" spans="1:7" x14ac:dyDescent="0.3">
      <c r="A18" s="2">
        <v>0.4</v>
      </c>
      <c r="B18" s="2">
        <v>0.6</v>
      </c>
      <c r="C18" s="2"/>
      <c r="D18" s="2">
        <f t="shared" si="0"/>
        <v>1.227401851823148E-2</v>
      </c>
      <c r="E18" s="2">
        <f t="shared" si="1"/>
        <v>2.0827514425552775E-3</v>
      </c>
      <c r="F18" s="2">
        <f t="shared" si="2"/>
        <v>4.5637171719501608E-2</v>
      </c>
      <c r="G18" s="2">
        <f t="shared" si="3"/>
        <v>1.227401851823148E-2</v>
      </c>
    </row>
    <row r="19" spans="1:7" x14ac:dyDescent="0.3">
      <c r="A19" s="2">
        <v>0.3</v>
      </c>
      <c r="B19" s="2">
        <v>0.7</v>
      </c>
      <c r="C19" s="2"/>
      <c r="D19" s="2">
        <f t="shared" si="0"/>
        <v>1.1545740765104569E-2</v>
      </c>
      <c r="E19" s="2">
        <f t="shared" si="1"/>
        <v>2.03951864576747E-3</v>
      </c>
      <c r="F19" s="2">
        <f t="shared" si="2"/>
        <v>4.5161030167252272E-2</v>
      </c>
      <c r="G19" s="2">
        <f t="shared" si="3"/>
        <v>1.1545740765104569E-2</v>
      </c>
    </row>
    <row r="20" spans="1:7" x14ac:dyDescent="0.3">
      <c r="A20" s="2">
        <v>0.2</v>
      </c>
      <c r="B20" s="2">
        <v>0.8</v>
      </c>
      <c r="C20" s="2"/>
      <c r="D20" s="2">
        <f t="shared" si="0"/>
        <v>1.0817463011977658E-2</v>
      </c>
      <c r="E20" s="2">
        <f t="shared" si="1"/>
        <v>2.105271163682147E-3</v>
      </c>
      <c r="F20" s="2">
        <f t="shared" si="2"/>
        <v>4.5883234015075124E-2</v>
      </c>
      <c r="G20" s="2">
        <f t="shared" si="3"/>
        <v>1.0817463011977658E-2</v>
      </c>
    </row>
    <row r="21" spans="1:7" x14ac:dyDescent="0.3">
      <c r="A21" s="2">
        <v>0.1</v>
      </c>
      <c r="B21" s="2">
        <v>0.9</v>
      </c>
      <c r="C21" s="2"/>
      <c r="D21" s="2">
        <f t="shared" si="0"/>
        <v>1.0089185258850749E-2</v>
      </c>
      <c r="E21" s="2">
        <f t="shared" si="1"/>
        <v>2.280008996299307E-3</v>
      </c>
      <c r="F21" s="2">
        <f t="shared" si="2"/>
        <v>4.7749439748538486E-2</v>
      </c>
      <c r="G21" s="2">
        <f t="shared" si="3"/>
        <v>1.0089185258850749E-2</v>
      </c>
    </row>
    <row r="22" spans="1:7" x14ac:dyDescent="0.3">
      <c r="A22" s="2">
        <v>0</v>
      </c>
      <c r="B22" s="2">
        <v>1</v>
      </c>
      <c r="C22" s="2"/>
      <c r="D22" s="2">
        <f t="shared" si="0"/>
        <v>9.360907505723836E-3</v>
      </c>
      <c r="E22" s="2">
        <f>(A22*$B$5)^2+(B22*$C$5)^2+(2*A22*B22*$B$5*$C$5*$B$7)</f>
        <v>2.5637321436189505E-3</v>
      </c>
      <c r="F22" s="2">
        <f t="shared" si="2"/>
        <v>5.0633310612865821E-2</v>
      </c>
      <c r="G22" s="2">
        <f t="shared" si="3"/>
        <v>9.360907505723836E-3</v>
      </c>
    </row>
    <row r="24" spans="1:7" x14ac:dyDescent="0.3">
      <c r="D24">
        <f>MIN(D12:D22)</f>
        <v>9.360907505723836E-3</v>
      </c>
      <c r="E24">
        <f>MIN(E12:E22)</f>
        <v>2.03951864576747E-3</v>
      </c>
      <c r="F24">
        <f>MIN(F12:F22)</f>
        <v>4.5161030167252272E-2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5866-F98D-4761-BF82-27B2CF8AB29F}">
  <dimension ref="A1:T409"/>
  <sheetViews>
    <sheetView workbookViewId="0">
      <selection activeCell="P15" sqref="P15"/>
    </sheetView>
  </sheetViews>
  <sheetFormatPr defaultRowHeight="14.4" x14ac:dyDescent="0.3"/>
  <cols>
    <col min="1" max="1" width="10.33203125" bestFit="1" customWidth="1"/>
    <col min="3" max="3" width="10.33203125" bestFit="1" customWidth="1"/>
    <col min="6" max="6" width="20.5546875" bestFit="1" customWidth="1"/>
    <col min="7" max="7" width="22.88671875" bestFit="1" customWidth="1"/>
    <col min="8" max="8" width="20.6640625" bestFit="1" customWidth="1"/>
    <col min="9" max="9" width="23" bestFit="1" customWidth="1"/>
  </cols>
  <sheetData>
    <row r="1" spans="1:20" x14ac:dyDescent="0.3">
      <c r="A1" t="s">
        <v>0</v>
      </c>
      <c r="B1" t="s">
        <v>5</v>
      </c>
      <c r="C1" t="s">
        <v>0</v>
      </c>
      <c r="D1" t="s">
        <v>5</v>
      </c>
      <c r="E1" t="s">
        <v>68</v>
      </c>
      <c r="F1" t="s">
        <v>69</v>
      </c>
      <c r="G1" t="s">
        <v>70</v>
      </c>
      <c r="H1" s="12" t="s">
        <v>71</v>
      </c>
      <c r="I1" s="12" t="s">
        <v>72</v>
      </c>
      <c r="J1" t="s">
        <v>73</v>
      </c>
      <c r="K1" t="s">
        <v>74</v>
      </c>
      <c r="P1" t="s">
        <v>75</v>
      </c>
    </row>
    <row r="2" spans="1:20" x14ac:dyDescent="0.3">
      <c r="A2" s="1">
        <v>32874</v>
      </c>
      <c r="B2">
        <v>0.39824100000000001</v>
      </c>
      <c r="C2" s="1">
        <v>32874</v>
      </c>
      <c r="D2">
        <v>329.07998700000002</v>
      </c>
      <c r="E2">
        <v>6.5969645413770372E-3</v>
      </c>
      <c r="F2">
        <f>(B3/B2)-1</f>
        <v>6.756712643851337E-2</v>
      </c>
      <c r="G2">
        <f>(D3/D2)-1</f>
        <v>8.5390425155207339E-3</v>
      </c>
      <c r="H2">
        <f>F2-E2</f>
        <v>6.0970161897136332E-2</v>
      </c>
      <c r="I2">
        <f>G2-E2</f>
        <v>1.9420779741436967E-3</v>
      </c>
      <c r="J2">
        <f>IF(H2=$P$3, 1, 0)</f>
        <v>0</v>
      </c>
      <c r="K2">
        <f>I2*J2</f>
        <v>0</v>
      </c>
    </row>
    <row r="3" spans="1:20" x14ac:dyDescent="0.3">
      <c r="A3" s="1">
        <v>32905</v>
      </c>
      <c r="B3">
        <v>0.425149</v>
      </c>
      <c r="C3" s="1">
        <v>32905</v>
      </c>
      <c r="D3">
        <v>331.89001500000001</v>
      </c>
      <c r="E3">
        <v>6.7982917736004733E-3</v>
      </c>
      <c r="F3">
        <f t="shared" ref="F3:F66" si="0">(B4/B3)-1</f>
        <v>0.12151739743007739</v>
      </c>
      <c r="G3">
        <f t="shared" ref="G3:G66" si="1">(D4/D3)-1</f>
        <v>2.4254983989199008E-2</v>
      </c>
      <c r="H3">
        <f t="shared" ref="H3:H66" si="2">F3-E3</f>
        <v>0.11471910565647692</v>
      </c>
      <c r="I3">
        <f t="shared" ref="I3:I66" si="3">G3-E3</f>
        <v>1.7456692215598535E-2</v>
      </c>
      <c r="J3">
        <f t="shared" ref="J3:J66" si="4">IF(H3=$P$3, 1, 0)</f>
        <v>0</v>
      </c>
      <c r="K3">
        <f t="shared" ref="K3:K66" si="5">I3*J3</f>
        <v>0</v>
      </c>
      <c r="P3">
        <f>MAX(H2:H408)</f>
        <v>0.40351585887389452</v>
      </c>
    </row>
    <row r="4" spans="1:20" x14ac:dyDescent="0.3">
      <c r="A4" s="1">
        <v>32933</v>
      </c>
      <c r="B4">
        <v>0.47681200000000001</v>
      </c>
      <c r="C4" s="1">
        <v>32933</v>
      </c>
      <c r="D4">
        <v>339.94000199999999</v>
      </c>
      <c r="E4">
        <v>6.8910628764466964E-3</v>
      </c>
      <c r="F4">
        <f t="shared" si="0"/>
        <v>4.7404427740912469E-2</v>
      </c>
      <c r="G4">
        <f t="shared" si="1"/>
        <v>-2.688713874867843E-2</v>
      </c>
      <c r="H4">
        <f t="shared" si="2"/>
        <v>4.0513364864465773E-2</v>
      </c>
      <c r="I4">
        <f t="shared" si="3"/>
        <v>-3.3778201625125126E-2</v>
      </c>
      <c r="J4">
        <f t="shared" si="4"/>
        <v>0</v>
      </c>
      <c r="K4">
        <f t="shared" si="5"/>
        <v>0</v>
      </c>
      <c r="Q4" t="s">
        <v>100</v>
      </c>
      <c r="R4">
        <f>AVERAGE(F2:F408)</f>
        <v>2.0644568088740097E-2</v>
      </c>
    </row>
    <row r="5" spans="1:20" x14ac:dyDescent="0.3">
      <c r="A5" s="1">
        <v>32964</v>
      </c>
      <c r="B5">
        <v>0.499415</v>
      </c>
      <c r="C5" s="1">
        <v>32964</v>
      </c>
      <c r="D5">
        <v>330.79998799999998</v>
      </c>
      <c r="E5">
        <v>7.0454727500885994E-3</v>
      </c>
      <c r="F5">
        <f t="shared" si="0"/>
        <v>0.25862058608572025</v>
      </c>
      <c r="G5">
        <f t="shared" si="1"/>
        <v>9.1989190156802625E-2</v>
      </c>
      <c r="H5">
        <f t="shared" si="2"/>
        <v>0.25157511333563165</v>
      </c>
      <c r="I5">
        <f t="shared" si="3"/>
        <v>8.4943717406714025E-2</v>
      </c>
      <c r="J5">
        <f t="shared" si="4"/>
        <v>0</v>
      </c>
      <c r="K5">
        <f t="shared" si="5"/>
        <v>0</v>
      </c>
      <c r="Q5" t="s">
        <v>59</v>
      </c>
      <c r="R5">
        <f>STDEV(F2:F408)</f>
        <v>8.6967135608905038E-2</v>
      </c>
      <c r="T5">
        <v>-0.2</v>
      </c>
    </row>
    <row r="6" spans="1:20" x14ac:dyDescent="0.3">
      <c r="A6" s="1">
        <v>32994</v>
      </c>
      <c r="B6">
        <v>0.62857399999999997</v>
      </c>
      <c r="C6" s="1">
        <v>32994</v>
      </c>
      <c r="D6">
        <v>361.23001099999999</v>
      </c>
      <c r="E6">
        <v>7.022327866001099E-3</v>
      </c>
      <c r="F6">
        <f t="shared" si="0"/>
        <v>4.1097786418146542E-2</v>
      </c>
      <c r="G6">
        <f t="shared" si="1"/>
        <v>-8.8863657565815268E-3</v>
      </c>
      <c r="H6">
        <f t="shared" si="2"/>
        <v>3.4075458552145443E-2</v>
      </c>
      <c r="I6">
        <f t="shared" si="3"/>
        <v>-1.5908693622582626E-2</v>
      </c>
      <c r="J6">
        <f t="shared" si="4"/>
        <v>0</v>
      </c>
      <c r="K6">
        <f t="shared" si="5"/>
        <v>0</v>
      </c>
      <c r="Q6" t="s">
        <v>101</v>
      </c>
      <c r="R6">
        <f>(T5-R4)/R5</f>
        <v>-2.5371028555084103</v>
      </c>
    </row>
    <row r="7" spans="1:20" x14ac:dyDescent="0.3">
      <c r="A7" s="1">
        <v>33025</v>
      </c>
      <c r="B7">
        <v>0.65440699999999996</v>
      </c>
      <c r="C7" s="1">
        <v>33025</v>
      </c>
      <c r="D7">
        <v>358.01998900000001</v>
      </c>
      <c r="E7">
        <v>6.8060262912292835E-3</v>
      </c>
      <c r="F7">
        <f t="shared" si="0"/>
        <v>-0.12500171911364022</v>
      </c>
      <c r="G7">
        <f t="shared" si="1"/>
        <v>-5.2231580846174852E-3</v>
      </c>
      <c r="H7">
        <f t="shared" si="2"/>
        <v>-0.1318077454048695</v>
      </c>
      <c r="I7">
        <f t="shared" si="3"/>
        <v>-1.2029184375846769E-2</v>
      </c>
      <c r="J7">
        <f t="shared" si="4"/>
        <v>0</v>
      </c>
      <c r="K7">
        <f t="shared" si="5"/>
        <v>0</v>
      </c>
      <c r="Q7" t="s">
        <v>102</v>
      </c>
      <c r="R7">
        <f>_xlfn.NORM.S.DIST(R6,TRUE)</f>
        <v>5.5887054499810761E-3</v>
      </c>
    </row>
    <row r="8" spans="1:20" x14ac:dyDescent="0.3">
      <c r="A8" s="1">
        <v>33055</v>
      </c>
      <c r="B8">
        <v>0.57260500000000003</v>
      </c>
      <c r="C8" s="1">
        <v>33055</v>
      </c>
      <c r="D8">
        <v>356.14999399999999</v>
      </c>
      <c r="E8">
        <v>6.7982917736004733E-3</v>
      </c>
      <c r="F8">
        <f t="shared" si="0"/>
        <v>-7.5186210389360908E-2</v>
      </c>
      <c r="G8">
        <f t="shared" si="1"/>
        <v>-9.4314183815485286E-2</v>
      </c>
      <c r="H8">
        <f t="shared" si="2"/>
        <v>-8.1984502162961381E-2</v>
      </c>
      <c r="I8">
        <f t="shared" si="3"/>
        <v>-0.10111247558908576</v>
      </c>
      <c r="J8">
        <f t="shared" si="4"/>
        <v>0</v>
      </c>
      <c r="K8">
        <f t="shared" si="5"/>
        <v>0</v>
      </c>
    </row>
    <row r="9" spans="1:20" x14ac:dyDescent="0.3">
      <c r="A9" s="1">
        <v>33086</v>
      </c>
      <c r="B9">
        <v>0.52955300000000005</v>
      </c>
      <c r="C9" s="1">
        <v>33086</v>
      </c>
      <c r="D9">
        <v>322.55999800000001</v>
      </c>
      <c r="E9">
        <v>7.0146116041400752E-3</v>
      </c>
      <c r="F9">
        <f t="shared" si="0"/>
        <v>2.4388493691849256E-2</v>
      </c>
      <c r="G9">
        <f t="shared" si="1"/>
        <v>-5.118430711299804E-2</v>
      </c>
      <c r="H9">
        <f t="shared" si="2"/>
        <v>1.737388208770918E-2</v>
      </c>
      <c r="I9">
        <f t="shared" si="3"/>
        <v>-5.8198918717138115E-2</v>
      </c>
      <c r="J9">
        <f t="shared" si="4"/>
        <v>0</v>
      </c>
      <c r="K9">
        <f t="shared" si="5"/>
        <v>0</v>
      </c>
    </row>
    <row r="10" spans="1:20" x14ac:dyDescent="0.3">
      <c r="A10" s="1">
        <v>33117</v>
      </c>
      <c r="B10">
        <v>0.54246799999999995</v>
      </c>
      <c r="C10" s="1">
        <v>33117</v>
      </c>
      <c r="D10">
        <v>306.04998799999998</v>
      </c>
      <c r="E10">
        <v>7.1225801322394311E-3</v>
      </c>
      <c r="F10">
        <f t="shared" si="0"/>
        <v>1.1906693113695299E-2</v>
      </c>
      <c r="G10">
        <f t="shared" si="1"/>
        <v>-6.6982129729734607E-3</v>
      </c>
      <c r="H10">
        <f t="shared" si="2"/>
        <v>4.7841129814558681E-3</v>
      </c>
      <c r="I10">
        <f t="shared" si="3"/>
        <v>-1.3820793105212892E-2</v>
      </c>
      <c r="J10">
        <f t="shared" si="4"/>
        <v>0</v>
      </c>
      <c r="K10">
        <f t="shared" si="5"/>
        <v>0</v>
      </c>
    </row>
    <row r="11" spans="1:20" x14ac:dyDescent="0.3">
      <c r="A11" s="1">
        <v>33147</v>
      </c>
      <c r="B11">
        <v>0.54892700000000005</v>
      </c>
      <c r="C11" s="1">
        <v>33147</v>
      </c>
      <c r="D11">
        <v>304</v>
      </c>
      <c r="E11">
        <v>6.9914589154564943E-3</v>
      </c>
      <c r="F11">
        <f t="shared" si="0"/>
        <v>0.13333102580124478</v>
      </c>
      <c r="G11">
        <f t="shared" si="1"/>
        <v>5.993421381578945E-2</v>
      </c>
      <c r="H11">
        <f t="shared" si="2"/>
        <v>0.12633956688578829</v>
      </c>
      <c r="I11">
        <f t="shared" si="3"/>
        <v>5.2942754900332956E-2</v>
      </c>
      <c r="J11">
        <f t="shared" si="4"/>
        <v>0</v>
      </c>
      <c r="K11">
        <f t="shared" si="5"/>
        <v>0</v>
      </c>
    </row>
    <row r="12" spans="1:20" x14ac:dyDescent="0.3">
      <c r="A12" s="1">
        <v>33178</v>
      </c>
      <c r="B12">
        <v>0.622116</v>
      </c>
      <c r="C12" s="1">
        <v>33178</v>
      </c>
      <c r="D12">
        <v>322.22000100000002</v>
      </c>
      <c r="E12">
        <v>6.7363920910228359E-3</v>
      </c>
      <c r="F12">
        <f t="shared" si="0"/>
        <v>4.15228028213388E-2</v>
      </c>
      <c r="G12">
        <f t="shared" si="1"/>
        <v>2.4827757355757596E-2</v>
      </c>
      <c r="H12">
        <f t="shared" si="2"/>
        <v>3.4786410730315964E-2</v>
      </c>
      <c r="I12">
        <f t="shared" si="3"/>
        <v>1.809136526473476E-2</v>
      </c>
      <c r="J12">
        <f t="shared" si="4"/>
        <v>0</v>
      </c>
      <c r="K12">
        <f t="shared" si="5"/>
        <v>0</v>
      </c>
    </row>
    <row r="13" spans="1:20" x14ac:dyDescent="0.3">
      <c r="A13" s="1">
        <v>33208</v>
      </c>
      <c r="B13">
        <v>0.64794799999999997</v>
      </c>
      <c r="C13" s="1">
        <v>33208</v>
      </c>
      <c r="D13">
        <v>330.22000100000002</v>
      </c>
      <c r="E13">
        <v>6.4883738308543215E-3</v>
      </c>
      <c r="F13">
        <f t="shared" si="0"/>
        <v>0.30398735701013058</v>
      </c>
      <c r="G13">
        <f t="shared" si="1"/>
        <v>4.1517751676101611E-2</v>
      </c>
      <c r="H13">
        <f t="shared" si="2"/>
        <v>0.29749898317927626</v>
      </c>
      <c r="I13">
        <f t="shared" si="3"/>
        <v>3.5029377845247289E-2</v>
      </c>
      <c r="J13">
        <f t="shared" si="4"/>
        <v>0</v>
      </c>
      <c r="K13">
        <f t="shared" si="5"/>
        <v>0</v>
      </c>
    </row>
    <row r="14" spans="1:20" x14ac:dyDescent="0.3">
      <c r="A14" s="1">
        <v>33239</v>
      </c>
      <c r="B14">
        <v>0.844916</v>
      </c>
      <c r="C14" s="1">
        <v>33239</v>
      </c>
      <c r="D14">
        <v>343.92999300000002</v>
      </c>
      <c r="E14">
        <v>6.5038946817226329E-3</v>
      </c>
      <c r="F14">
        <f t="shared" si="0"/>
        <v>5.732522522949024E-2</v>
      </c>
      <c r="G14">
        <f t="shared" si="1"/>
        <v>6.7281174863978555E-2</v>
      </c>
      <c r="H14">
        <f t="shared" si="2"/>
        <v>5.0821330547767607E-2</v>
      </c>
      <c r="I14">
        <f t="shared" si="3"/>
        <v>6.0777280182255922E-2</v>
      </c>
      <c r="J14">
        <f t="shared" si="4"/>
        <v>0</v>
      </c>
      <c r="K14">
        <f t="shared" si="5"/>
        <v>0</v>
      </c>
    </row>
    <row r="15" spans="1:20" x14ac:dyDescent="0.3">
      <c r="A15" s="1">
        <v>33270</v>
      </c>
      <c r="B15">
        <v>0.89335100000000001</v>
      </c>
      <c r="C15" s="1">
        <v>33270</v>
      </c>
      <c r="D15">
        <v>367.07000699999998</v>
      </c>
      <c r="E15">
        <v>6.3174704723885089E-3</v>
      </c>
      <c r="F15">
        <f t="shared" si="0"/>
        <v>2.2891338342935663E-2</v>
      </c>
      <c r="G15">
        <f t="shared" si="1"/>
        <v>2.2202832823658314E-2</v>
      </c>
      <c r="H15">
        <f t="shared" si="2"/>
        <v>1.6573867870547154E-2</v>
      </c>
      <c r="I15">
        <f t="shared" si="3"/>
        <v>1.5885362351269805E-2</v>
      </c>
      <c r="J15">
        <f t="shared" si="4"/>
        <v>0</v>
      </c>
      <c r="K15">
        <f t="shared" si="5"/>
        <v>0</v>
      </c>
    </row>
    <row r="16" spans="1:20" x14ac:dyDescent="0.3">
      <c r="A16" s="1">
        <v>33298</v>
      </c>
      <c r="B16">
        <v>0.91380099999999997</v>
      </c>
      <c r="C16" s="1">
        <v>33298</v>
      </c>
      <c r="D16">
        <v>375.22000100000002</v>
      </c>
      <c r="E16">
        <v>6.5194129002956736E-3</v>
      </c>
      <c r="F16">
        <f t="shared" si="0"/>
        <v>-6.7138250012858336E-2</v>
      </c>
      <c r="G16">
        <f t="shared" si="1"/>
        <v>3.1979905037093914E-4</v>
      </c>
      <c r="H16">
        <f t="shared" si="2"/>
        <v>-7.3657662913154009E-2</v>
      </c>
      <c r="I16">
        <f t="shared" si="3"/>
        <v>-6.1996138499247344E-3</v>
      </c>
      <c r="J16">
        <f t="shared" si="4"/>
        <v>0</v>
      </c>
      <c r="K16">
        <f t="shared" si="5"/>
        <v>0</v>
      </c>
    </row>
    <row r="17" spans="1:11" x14ac:dyDescent="0.3">
      <c r="A17" s="1">
        <v>33329</v>
      </c>
      <c r="B17">
        <v>0.85245000000000004</v>
      </c>
      <c r="C17" s="1">
        <v>33329</v>
      </c>
      <c r="D17">
        <v>375.33999599999999</v>
      </c>
      <c r="E17">
        <v>6.4650876169554117E-3</v>
      </c>
      <c r="F17">
        <f t="shared" si="0"/>
        <v>0.10858701390110848</v>
      </c>
      <c r="G17">
        <f t="shared" si="1"/>
        <v>3.8604974568178019E-2</v>
      </c>
      <c r="H17">
        <f t="shared" si="2"/>
        <v>0.10212192628415306</v>
      </c>
      <c r="I17">
        <f t="shared" si="3"/>
        <v>3.2139886951222607E-2</v>
      </c>
      <c r="J17">
        <f t="shared" si="4"/>
        <v>0</v>
      </c>
      <c r="K17">
        <f t="shared" si="5"/>
        <v>0</v>
      </c>
    </row>
    <row r="18" spans="1:11" x14ac:dyDescent="0.3">
      <c r="A18" s="1">
        <v>33359</v>
      </c>
      <c r="B18">
        <v>0.94501500000000005</v>
      </c>
      <c r="C18" s="1">
        <v>33359</v>
      </c>
      <c r="D18">
        <v>389.82998700000002</v>
      </c>
      <c r="E18">
        <v>6.4883738308543215E-3</v>
      </c>
      <c r="F18">
        <f t="shared" si="0"/>
        <v>-6.8906842748527763E-2</v>
      </c>
      <c r="G18">
        <f t="shared" si="1"/>
        <v>-4.7892629152718302E-2</v>
      </c>
      <c r="H18">
        <f t="shared" si="2"/>
        <v>-7.5395216579382085E-2</v>
      </c>
      <c r="I18">
        <f t="shared" si="3"/>
        <v>-5.4381002983572624E-2</v>
      </c>
      <c r="J18">
        <f t="shared" si="4"/>
        <v>0</v>
      </c>
      <c r="K18">
        <f t="shared" si="5"/>
        <v>0</v>
      </c>
    </row>
    <row r="19" spans="1:11" x14ac:dyDescent="0.3">
      <c r="A19" s="1">
        <v>33390</v>
      </c>
      <c r="B19">
        <v>0.87989700000000004</v>
      </c>
      <c r="C19" s="1">
        <v>33390</v>
      </c>
      <c r="D19">
        <v>371.16000400000001</v>
      </c>
      <c r="E19">
        <v>6.6512116109906927E-3</v>
      </c>
      <c r="F19">
        <f t="shared" si="0"/>
        <v>7.8899007497468476E-2</v>
      </c>
      <c r="G19">
        <f t="shared" si="1"/>
        <v>4.4859343195825518E-2</v>
      </c>
      <c r="H19">
        <f t="shared" si="2"/>
        <v>7.2247795886477784E-2</v>
      </c>
      <c r="I19">
        <f t="shared" si="3"/>
        <v>3.8208131584834826E-2</v>
      </c>
      <c r="J19">
        <f t="shared" si="4"/>
        <v>0</v>
      </c>
      <c r="K19">
        <f t="shared" si="5"/>
        <v>0</v>
      </c>
    </row>
    <row r="20" spans="1:11" x14ac:dyDescent="0.3">
      <c r="A20" s="1">
        <v>33420</v>
      </c>
      <c r="B20">
        <v>0.94932000000000005</v>
      </c>
      <c r="C20" s="1">
        <v>33420</v>
      </c>
      <c r="D20">
        <v>387.80999800000001</v>
      </c>
      <c r="E20">
        <v>6.6434639981336474E-3</v>
      </c>
      <c r="F20">
        <f t="shared" si="0"/>
        <v>0.15986390258290117</v>
      </c>
      <c r="G20">
        <f t="shared" si="1"/>
        <v>1.9648784299779676E-2</v>
      </c>
      <c r="H20">
        <f t="shared" si="2"/>
        <v>0.15322043858476753</v>
      </c>
      <c r="I20">
        <f t="shared" si="3"/>
        <v>1.3005320301646028E-2</v>
      </c>
      <c r="J20">
        <f t="shared" si="4"/>
        <v>0</v>
      </c>
      <c r="K20">
        <f t="shared" si="5"/>
        <v>0</v>
      </c>
    </row>
    <row r="21" spans="1:11" x14ac:dyDescent="0.3">
      <c r="A21" s="1">
        <v>33451</v>
      </c>
      <c r="B21">
        <v>1.1010819999999999</v>
      </c>
      <c r="C21" s="1">
        <v>33451</v>
      </c>
      <c r="D21">
        <v>395.42999300000002</v>
      </c>
      <c r="E21">
        <v>6.356340187460896E-3</v>
      </c>
      <c r="F21">
        <f t="shared" si="0"/>
        <v>4.39876412474276E-2</v>
      </c>
      <c r="G21">
        <f t="shared" si="1"/>
        <v>-1.9143737536368444E-2</v>
      </c>
      <c r="H21">
        <f t="shared" si="2"/>
        <v>3.7631301059966704E-2</v>
      </c>
      <c r="I21">
        <f t="shared" si="3"/>
        <v>-2.550007772382934E-2</v>
      </c>
      <c r="J21">
        <f t="shared" si="4"/>
        <v>0</v>
      </c>
      <c r="K21">
        <f t="shared" si="5"/>
        <v>0</v>
      </c>
    </row>
    <row r="22" spans="1:11" x14ac:dyDescent="0.3">
      <c r="A22" s="1">
        <v>33482</v>
      </c>
      <c r="B22">
        <v>1.149516</v>
      </c>
      <c r="C22" s="1">
        <v>33482</v>
      </c>
      <c r="D22">
        <v>387.85998499999999</v>
      </c>
      <c r="E22">
        <v>6.1618262441982541E-3</v>
      </c>
      <c r="F22">
        <f t="shared" si="0"/>
        <v>5.4775227139074234E-2</v>
      </c>
      <c r="G22">
        <f t="shared" si="1"/>
        <v>1.1834237037883666E-2</v>
      </c>
      <c r="H22">
        <f t="shared" si="2"/>
        <v>4.861340089487598E-2</v>
      </c>
      <c r="I22">
        <f t="shared" si="3"/>
        <v>5.6724107936854118E-3</v>
      </c>
      <c r="J22">
        <f t="shared" si="4"/>
        <v>0</v>
      </c>
      <c r="K22">
        <f t="shared" si="5"/>
        <v>0</v>
      </c>
    </row>
    <row r="23" spans="1:11" x14ac:dyDescent="0.3">
      <c r="A23" s="1">
        <v>33512</v>
      </c>
      <c r="B23">
        <v>1.2124809999999999</v>
      </c>
      <c r="C23" s="1">
        <v>33512</v>
      </c>
      <c r="D23">
        <v>392.45001200000002</v>
      </c>
      <c r="E23">
        <v>6.0683124257288057E-3</v>
      </c>
      <c r="F23">
        <f t="shared" si="0"/>
        <v>3.5952728331413164E-2</v>
      </c>
      <c r="G23">
        <f t="shared" si="1"/>
        <v>-4.3903708684304932E-2</v>
      </c>
      <c r="H23">
        <f t="shared" si="2"/>
        <v>2.9884415905684358E-2</v>
      </c>
      <c r="I23">
        <f t="shared" si="3"/>
        <v>-4.9972021110033737E-2</v>
      </c>
      <c r="J23">
        <f t="shared" si="4"/>
        <v>0</v>
      </c>
      <c r="K23">
        <f t="shared" si="5"/>
        <v>0</v>
      </c>
    </row>
    <row r="24" spans="1:11" x14ac:dyDescent="0.3">
      <c r="A24" s="1">
        <v>33543</v>
      </c>
      <c r="B24">
        <v>1.256073</v>
      </c>
      <c r="C24" s="1">
        <v>33543</v>
      </c>
      <c r="D24">
        <v>375.22000100000002</v>
      </c>
      <c r="E24">
        <v>5.9825073511525773E-3</v>
      </c>
      <c r="F24">
        <f t="shared" si="0"/>
        <v>0.14395819351263817</v>
      </c>
      <c r="G24">
        <f t="shared" si="1"/>
        <v>0.11158785482760014</v>
      </c>
      <c r="H24">
        <f t="shared" si="2"/>
        <v>0.13797568616148559</v>
      </c>
      <c r="I24">
        <f t="shared" si="3"/>
        <v>0.10560534747644756</v>
      </c>
      <c r="J24">
        <f t="shared" si="4"/>
        <v>0</v>
      </c>
      <c r="K24">
        <f t="shared" si="5"/>
        <v>0</v>
      </c>
    </row>
    <row r="25" spans="1:11" x14ac:dyDescent="0.3">
      <c r="A25" s="1">
        <v>33573</v>
      </c>
      <c r="B25">
        <v>1.436895</v>
      </c>
      <c r="C25" s="1">
        <v>33573</v>
      </c>
      <c r="D25">
        <v>417.08999599999999</v>
      </c>
      <c r="E25">
        <v>5.7246080037485214E-3</v>
      </c>
      <c r="F25">
        <f t="shared" si="0"/>
        <v>8.0899439416241226E-2</v>
      </c>
      <c r="G25">
        <f t="shared" si="1"/>
        <v>-1.9923750460799861E-2</v>
      </c>
      <c r="H25">
        <f t="shared" si="2"/>
        <v>7.5174831412492704E-2</v>
      </c>
      <c r="I25">
        <f t="shared" si="3"/>
        <v>-2.5648358464548382E-2</v>
      </c>
      <c r="J25">
        <f t="shared" si="4"/>
        <v>0</v>
      </c>
      <c r="K25">
        <f t="shared" si="5"/>
        <v>0</v>
      </c>
    </row>
    <row r="26" spans="1:11" x14ac:dyDescent="0.3">
      <c r="A26" s="1">
        <v>33604</v>
      </c>
      <c r="B26">
        <v>1.553139</v>
      </c>
      <c r="C26" s="1">
        <v>33604</v>
      </c>
      <c r="D26">
        <v>408.77999899999998</v>
      </c>
      <c r="E26">
        <v>5.6776389607060551E-3</v>
      </c>
      <c r="F26">
        <f t="shared" si="0"/>
        <v>2.7026557185158673E-2</v>
      </c>
      <c r="G26">
        <f t="shared" si="1"/>
        <v>9.5895420754186222E-3</v>
      </c>
      <c r="H26">
        <f t="shared" si="2"/>
        <v>2.1348918224452618E-2</v>
      </c>
      <c r="I26">
        <f t="shared" si="3"/>
        <v>3.9119031147125671E-3</v>
      </c>
      <c r="J26">
        <f t="shared" si="4"/>
        <v>0</v>
      </c>
      <c r="K26">
        <f t="shared" si="5"/>
        <v>0</v>
      </c>
    </row>
    <row r="27" spans="1:11" x14ac:dyDescent="0.3">
      <c r="A27" s="1">
        <v>33635</v>
      </c>
      <c r="B27">
        <v>1.5951150000000001</v>
      </c>
      <c r="C27" s="1">
        <v>33635</v>
      </c>
      <c r="D27">
        <v>412.70001200000002</v>
      </c>
      <c r="E27">
        <v>5.9200530563485732E-3</v>
      </c>
      <c r="F27">
        <f t="shared" si="0"/>
        <v>-4.048610915200479E-2</v>
      </c>
      <c r="G27">
        <f t="shared" si="1"/>
        <v>-2.1831862704186245E-2</v>
      </c>
      <c r="H27">
        <f t="shared" si="2"/>
        <v>-4.6406162208353363E-2</v>
      </c>
      <c r="I27">
        <f t="shared" si="3"/>
        <v>-2.7751915760534818E-2</v>
      </c>
      <c r="J27">
        <f t="shared" si="4"/>
        <v>0</v>
      </c>
      <c r="K27">
        <f t="shared" si="5"/>
        <v>0</v>
      </c>
    </row>
    <row r="28" spans="1:11" x14ac:dyDescent="0.3">
      <c r="A28" s="1">
        <v>33664</v>
      </c>
      <c r="B28">
        <v>1.530535</v>
      </c>
      <c r="C28" s="1">
        <v>33664</v>
      </c>
      <c r="D28">
        <v>403.69000199999999</v>
      </c>
      <c r="E28">
        <v>6.0761088967336008E-3</v>
      </c>
      <c r="F28">
        <f t="shared" si="0"/>
        <v>-6.9620100161054688E-2</v>
      </c>
      <c r="G28">
        <f t="shared" si="1"/>
        <v>2.7892714568640731E-2</v>
      </c>
      <c r="H28">
        <f t="shared" si="2"/>
        <v>-7.5696209057788288E-2</v>
      </c>
      <c r="I28">
        <f t="shared" si="3"/>
        <v>2.181660567190713E-2</v>
      </c>
      <c r="J28">
        <f t="shared" si="4"/>
        <v>0</v>
      </c>
      <c r="K28">
        <f t="shared" si="5"/>
        <v>0</v>
      </c>
    </row>
    <row r="29" spans="1:11" x14ac:dyDescent="0.3">
      <c r="A29" s="1">
        <v>33695</v>
      </c>
      <c r="B29">
        <v>1.4239790000000001</v>
      </c>
      <c r="C29" s="1">
        <v>33695</v>
      </c>
      <c r="D29">
        <v>414.95001200000002</v>
      </c>
      <c r="E29">
        <v>6.029320098462243E-3</v>
      </c>
      <c r="F29">
        <f t="shared" si="0"/>
        <v>9.7505651417612027E-2</v>
      </c>
      <c r="G29">
        <f t="shared" si="1"/>
        <v>9.6395707538854403E-4</v>
      </c>
      <c r="H29">
        <f t="shared" si="2"/>
        <v>9.1476331319149784E-2</v>
      </c>
      <c r="I29">
        <f t="shared" si="3"/>
        <v>-5.065363023073699E-3</v>
      </c>
      <c r="J29">
        <f t="shared" si="4"/>
        <v>0</v>
      </c>
      <c r="K29">
        <f t="shared" si="5"/>
        <v>0</v>
      </c>
    </row>
    <row r="30" spans="1:11" x14ac:dyDescent="0.3">
      <c r="A30" s="1">
        <v>33725</v>
      </c>
      <c r="B30">
        <v>1.5628249999999999</v>
      </c>
      <c r="C30" s="1">
        <v>33725</v>
      </c>
      <c r="D30">
        <v>415.35000600000001</v>
      </c>
      <c r="E30">
        <v>5.9590919885958993E-3</v>
      </c>
      <c r="F30">
        <f t="shared" si="0"/>
        <v>-0.13223105594036433</v>
      </c>
      <c r="G30">
        <f t="shared" si="1"/>
        <v>-1.7358832059340301E-2</v>
      </c>
      <c r="H30">
        <f t="shared" si="2"/>
        <v>-0.13819014792896023</v>
      </c>
      <c r="I30">
        <f t="shared" si="3"/>
        <v>-2.33179240479362E-2</v>
      </c>
      <c r="J30">
        <f t="shared" si="4"/>
        <v>0</v>
      </c>
      <c r="K30">
        <f t="shared" si="5"/>
        <v>0</v>
      </c>
    </row>
    <row r="31" spans="1:11" x14ac:dyDescent="0.3">
      <c r="A31" s="1">
        <v>33756</v>
      </c>
      <c r="B31">
        <v>1.356171</v>
      </c>
      <c r="C31" s="1">
        <v>33756</v>
      </c>
      <c r="D31">
        <v>408.14001500000001</v>
      </c>
      <c r="E31">
        <v>5.8575560789742021E-3</v>
      </c>
      <c r="F31">
        <f t="shared" si="0"/>
        <v>3.9285606313657961E-2</v>
      </c>
      <c r="G31">
        <f t="shared" si="1"/>
        <v>3.9373684053008118E-2</v>
      </c>
      <c r="H31">
        <f t="shared" si="2"/>
        <v>3.3428050234683759E-2</v>
      </c>
      <c r="I31">
        <f t="shared" si="3"/>
        <v>3.3516127974033916E-2</v>
      </c>
      <c r="J31">
        <f t="shared" si="4"/>
        <v>0</v>
      </c>
      <c r="K31">
        <f t="shared" si="5"/>
        <v>0</v>
      </c>
    </row>
    <row r="32" spans="1:11" x14ac:dyDescent="0.3">
      <c r="A32" s="1">
        <v>33786</v>
      </c>
      <c r="B32">
        <v>1.409449</v>
      </c>
      <c r="C32" s="1">
        <v>33786</v>
      </c>
      <c r="D32">
        <v>424.209991</v>
      </c>
      <c r="E32">
        <v>5.528744261182883E-3</v>
      </c>
      <c r="F32">
        <f t="shared" si="0"/>
        <v>2.4054790205250587E-2</v>
      </c>
      <c r="G32">
        <f t="shared" si="1"/>
        <v>-2.3997530034600256E-2</v>
      </c>
      <c r="H32">
        <f t="shared" si="2"/>
        <v>1.8526045944067704E-2</v>
      </c>
      <c r="I32">
        <f t="shared" si="3"/>
        <v>-2.9526274295783139E-2</v>
      </c>
      <c r="J32">
        <f t="shared" si="4"/>
        <v>0</v>
      </c>
      <c r="K32">
        <f t="shared" si="5"/>
        <v>0</v>
      </c>
    </row>
    <row r="33" spans="1:11" x14ac:dyDescent="0.3">
      <c r="A33" s="1">
        <v>33817</v>
      </c>
      <c r="B33">
        <v>1.4433530000000001</v>
      </c>
      <c r="C33" s="1">
        <v>33817</v>
      </c>
      <c r="D33">
        <v>414.02999899999998</v>
      </c>
      <c r="E33">
        <v>5.3324599488508984E-3</v>
      </c>
      <c r="F33">
        <f t="shared" si="0"/>
        <v>8.0537470736541827E-2</v>
      </c>
      <c r="G33">
        <f t="shared" si="1"/>
        <v>9.105593819543456E-3</v>
      </c>
      <c r="H33">
        <f t="shared" si="2"/>
        <v>7.5205010787690929E-2</v>
      </c>
      <c r="I33">
        <f t="shared" si="3"/>
        <v>3.7731338706925577E-3</v>
      </c>
      <c r="J33">
        <f t="shared" si="4"/>
        <v>0</v>
      </c>
      <c r="K33">
        <f t="shared" si="5"/>
        <v>0</v>
      </c>
    </row>
    <row r="34" spans="1:11" x14ac:dyDescent="0.3">
      <c r="A34" s="1">
        <v>33848</v>
      </c>
      <c r="B34">
        <v>1.5595969999999999</v>
      </c>
      <c r="C34" s="1">
        <v>33848</v>
      </c>
      <c r="D34">
        <v>417.79998799999998</v>
      </c>
      <c r="E34">
        <v>5.1987454217645723E-3</v>
      </c>
      <c r="F34">
        <f t="shared" si="0"/>
        <v>0.10248416738426669</v>
      </c>
      <c r="G34">
        <f t="shared" si="1"/>
        <v>2.1062829709799225E-3</v>
      </c>
      <c r="H34">
        <f t="shared" si="2"/>
        <v>9.7285421962502117E-2</v>
      </c>
      <c r="I34">
        <f t="shared" si="3"/>
        <v>-3.0924624507846499E-3</v>
      </c>
      <c r="J34">
        <f t="shared" si="4"/>
        <v>0</v>
      </c>
      <c r="K34">
        <f t="shared" si="5"/>
        <v>0</v>
      </c>
    </row>
    <row r="35" spans="1:11" x14ac:dyDescent="0.3">
      <c r="A35" s="1">
        <v>33878</v>
      </c>
      <c r="B35">
        <v>1.7194309999999999</v>
      </c>
      <c r="C35" s="1">
        <v>33878</v>
      </c>
      <c r="D35">
        <v>418.67999300000002</v>
      </c>
      <c r="E35">
        <v>5.3324599488508984E-3</v>
      </c>
      <c r="F35">
        <f t="shared" si="0"/>
        <v>4.929537736611711E-2</v>
      </c>
      <c r="G35">
        <f t="shared" si="1"/>
        <v>3.0261806658623769E-2</v>
      </c>
      <c r="H35">
        <f t="shared" si="2"/>
        <v>4.3962917417266212E-2</v>
      </c>
      <c r="I35">
        <f t="shared" si="3"/>
        <v>2.492934670977287E-2</v>
      </c>
      <c r="J35">
        <f t="shared" si="4"/>
        <v>0</v>
      </c>
      <c r="K35">
        <f t="shared" si="5"/>
        <v>0</v>
      </c>
    </row>
    <row r="36" spans="1:11" x14ac:dyDescent="0.3">
      <c r="A36" s="1">
        <v>33909</v>
      </c>
      <c r="B36">
        <v>1.8041910000000001</v>
      </c>
      <c r="C36" s="1">
        <v>33909</v>
      </c>
      <c r="D36">
        <v>431.35000600000001</v>
      </c>
      <c r="E36">
        <v>5.5522700792010049E-3</v>
      </c>
      <c r="F36">
        <f t="shared" si="0"/>
        <v>-8.3221233228632729E-2</v>
      </c>
      <c r="G36">
        <f t="shared" si="1"/>
        <v>1.0107766174460187E-2</v>
      </c>
      <c r="H36">
        <f t="shared" si="2"/>
        <v>-8.8773503307833734E-2</v>
      </c>
      <c r="I36">
        <f t="shared" si="3"/>
        <v>4.5554960952591816E-3</v>
      </c>
      <c r="J36">
        <f t="shared" si="4"/>
        <v>0</v>
      </c>
      <c r="K36">
        <f t="shared" si="5"/>
        <v>0</v>
      </c>
    </row>
    <row r="37" spans="1:11" x14ac:dyDescent="0.3">
      <c r="A37" s="1">
        <v>33939</v>
      </c>
      <c r="B37">
        <v>1.6540440000000001</v>
      </c>
      <c r="C37" s="1">
        <v>33939</v>
      </c>
      <c r="D37">
        <v>435.709991</v>
      </c>
      <c r="E37">
        <v>5.4738271283234496E-3</v>
      </c>
      <c r="F37">
        <f t="shared" si="0"/>
        <v>1.3176795780523332E-2</v>
      </c>
      <c r="G37">
        <f t="shared" si="1"/>
        <v>7.0459894503542841E-3</v>
      </c>
      <c r="H37">
        <f t="shared" si="2"/>
        <v>7.7029686521998819E-3</v>
      </c>
      <c r="I37">
        <f t="shared" si="3"/>
        <v>1.5721623220308345E-3</v>
      </c>
      <c r="J37">
        <f t="shared" si="4"/>
        <v>0</v>
      </c>
      <c r="K37">
        <f t="shared" si="5"/>
        <v>0</v>
      </c>
    </row>
    <row r="38" spans="1:11" x14ac:dyDescent="0.3">
      <c r="A38" s="1">
        <v>33970</v>
      </c>
      <c r="B38">
        <v>1.6758390000000001</v>
      </c>
      <c r="C38" s="1">
        <v>33970</v>
      </c>
      <c r="D38">
        <v>438.77999899999998</v>
      </c>
      <c r="E38">
        <v>5.3403194199830306E-3</v>
      </c>
      <c r="F38">
        <f t="shared" si="0"/>
        <v>-3.6126978784954855E-2</v>
      </c>
      <c r="G38">
        <f t="shared" si="1"/>
        <v>1.0483627354217706E-2</v>
      </c>
      <c r="H38">
        <f t="shared" si="2"/>
        <v>-4.1467298204937886E-2</v>
      </c>
      <c r="I38">
        <f t="shared" si="3"/>
        <v>5.1433079342346755E-3</v>
      </c>
      <c r="J38">
        <f t="shared" si="4"/>
        <v>0</v>
      </c>
      <c r="K38">
        <f t="shared" si="5"/>
        <v>0</v>
      </c>
    </row>
    <row r="39" spans="1:11" x14ac:dyDescent="0.3">
      <c r="A39" s="1">
        <v>34001</v>
      </c>
      <c r="B39">
        <v>1.6152960000000001</v>
      </c>
      <c r="C39" s="1">
        <v>34001</v>
      </c>
      <c r="D39">
        <v>443.38000499999998</v>
      </c>
      <c r="E39">
        <v>5.0727174711968637E-3</v>
      </c>
      <c r="F39">
        <f t="shared" si="0"/>
        <v>0.10944557530013066</v>
      </c>
      <c r="G39">
        <f t="shared" si="1"/>
        <v>1.8697297817929392E-2</v>
      </c>
      <c r="H39">
        <f t="shared" si="2"/>
        <v>0.1043728578289338</v>
      </c>
      <c r="I39">
        <f t="shared" si="3"/>
        <v>1.3624580346732529E-2</v>
      </c>
      <c r="J39">
        <f t="shared" si="4"/>
        <v>0</v>
      </c>
      <c r="K39">
        <f t="shared" si="5"/>
        <v>0</v>
      </c>
    </row>
    <row r="40" spans="1:11" x14ac:dyDescent="0.3">
      <c r="A40" s="1">
        <v>34029</v>
      </c>
      <c r="B40">
        <v>1.7920830000000001</v>
      </c>
      <c r="C40" s="1">
        <v>34029</v>
      </c>
      <c r="D40">
        <v>451.67001299999998</v>
      </c>
      <c r="E40">
        <v>4.8517493945887669E-3</v>
      </c>
      <c r="F40">
        <f t="shared" si="0"/>
        <v>-7.5675624399093144E-2</v>
      </c>
      <c r="G40">
        <f t="shared" si="1"/>
        <v>-2.5416810214496155E-2</v>
      </c>
      <c r="H40">
        <f t="shared" si="2"/>
        <v>-8.0527373793681911E-2</v>
      </c>
      <c r="I40">
        <f t="shared" si="3"/>
        <v>-3.0268559609084922E-2</v>
      </c>
      <c r="J40">
        <f t="shared" si="4"/>
        <v>0</v>
      </c>
      <c r="K40">
        <f t="shared" si="5"/>
        <v>0</v>
      </c>
    </row>
    <row r="41" spans="1:11" x14ac:dyDescent="0.3">
      <c r="A41" s="1">
        <v>34060</v>
      </c>
      <c r="B41">
        <v>1.656466</v>
      </c>
      <c r="C41" s="1">
        <v>34060</v>
      </c>
      <c r="D41">
        <v>440.19000199999999</v>
      </c>
      <c r="E41">
        <v>4.8438477841514782E-3</v>
      </c>
      <c r="F41">
        <f t="shared" si="0"/>
        <v>8.3332830254288393E-2</v>
      </c>
      <c r="G41">
        <f t="shared" si="1"/>
        <v>2.2717462810525113E-2</v>
      </c>
      <c r="H41">
        <f t="shared" si="2"/>
        <v>7.8488982470136914E-2</v>
      </c>
      <c r="I41">
        <f t="shared" si="3"/>
        <v>1.7873615026373635E-2</v>
      </c>
      <c r="J41">
        <f t="shared" si="4"/>
        <v>0</v>
      </c>
      <c r="K41">
        <f t="shared" si="5"/>
        <v>0</v>
      </c>
    </row>
    <row r="42" spans="1:11" x14ac:dyDescent="0.3">
      <c r="A42" s="1">
        <v>34090</v>
      </c>
      <c r="B42">
        <v>1.7945040000000001</v>
      </c>
      <c r="C42" s="1">
        <v>34090</v>
      </c>
      <c r="D42">
        <v>450.19000199999999</v>
      </c>
      <c r="E42">
        <v>4.899144709827663E-3</v>
      </c>
      <c r="F42">
        <f t="shared" si="0"/>
        <v>-4.9932460445894833E-2</v>
      </c>
      <c r="G42">
        <f t="shared" si="1"/>
        <v>7.5523001063881878E-4</v>
      </c>
      <c r="H42">
        <f t="shared" si="2"/>
        <v>-5.4831605155722496E-2</v>
      </c>
      <c r="I42">
        <f t="shared" si="3"/>
        <v>-4.1439146991888443E-3</v>
      </c>
      <c r="J42">
        <f t="shared" si="4"/>
        <v>0</v>
      </c>
      <c r="K42">
        <f t="shared" si="5"/>
        <v>0</v>
      </c>
    </row>
    <row r="43" spans="1:11" x14ac:dyDescent="0.3">
      <c r="A43" s="1">
        <v>34121</v>
      </c>
      <c r="B43">
        <v>1.7049000000000001</v>
      </c>
      <c r="C43" s="1">
        <v>34121</v>
      </c>
      <c r="D43">
        <v>450.52999899999998</v>
      </c>
      <c r="E43">
        <v>4.8359454901756305E-3</v>
      </c>
      <c r="F43">
        <f t="shared" si="0"/>
        <v>-0.15909085576866677</v>
      </c>
      <c r="G43">
        <f t="shared" si="1"/>
        <v>-5.3270459355138078E-3</v>
      </c>
      <c r="H43">
        <f t="shared" si="2"/>
        <v>-0.1639268012588424</v>
      </c>
      <c r="I43">
        <f t="shared" si="3"/>
        <v>-1.0162991425689438E-2</v>
      </c>
      <c r="J43">
        <f t="shared" si="4"/>
        <v>0</v>
      </c>
      <c r="K43">
        <f t="shared" si="5"/>
        <v>0</v>
      </c>
    </row>
    <row r="44" spans="1:11" x14ac:dyDescent="0.3">
      <c r="A44" s="1">
        <v>34151</v>
      </c>
      <c r="B44">
        <v>1.4336660000000001</v>
      </c>
      <c r="C44" s="1">
        <v>34151</v>
      </c>
      <c r="D44">
        <v>448.13000499999998</v>
      </c>
      <c r="E44">
        <v>4.7173289717712397E-3</v>
      </c>
      <c r="F44">
        <f t="shared" si="0"/>
        <v>1.5202983121591629E-2</v>
      </c>
      <c r="G44">
        <f t="shared" si="1"/>
        <v>3.4431956860375923E-2</v>
      </c>
      <c r="H44">
        <f t="shared" si="2"/>
        <v>1.0485654149820389E-2</v>
      </c>
      <c r="I44">
        <f t="shared" si="3"/>
        <v>2.9714627888604683E-2</v>
      </c>
      <c r="J44">
        <f t="shared" si="4"/>
        <v>0</v>
      </c>
      <c r="K44">
        <f t="shared" si="5"/>
        <v>0</v>
      </c>
    </row>
    <row r="45" spans="1:11" x14ac:dyDescent="0.3">
      <c r="A45" s="1">
        <v>34182</v>
      </c>
      <c r="B45">
        <v>1.455462</v>
      </c>
      <c r="C45" s="1">
        <v>34182</v>
      </c>
      <c r="D45">
        <v>463.55999800000001</v>
      </c>
      <c r="E45">
        <v>4.6144032393260481E-3</v>
      </c>
      <c r="F45">
        <f t="shared" si="0"/>
        <v>9.81695159337721E-2</v>
      </c>
      <c r="G45">
        <f t="shared" si="1"/>
        <v>-9.9879304080935372E-3</v>
      </c>
      <c r="H45">
        <f t="shared" si="2"/>
        <v>9.3555112694446052E-2</v>
      </c>
      <c r="I45">
        <f t="shared" si="3"/>
        <v>-1.4602333647419585E-2</v>
      </c>
      <c r="J45">
        <f t="shared" si="4"/>
        <v>0</v>
      </c>
      <c r="K45">
        <f t="shared" si="5"/>
        <v>0</v>
      </c>
    </row>
    <row r="46" spans="1:11" x14ac:dyDescent="0.3">
      <c r="A46" s="1">
        <v>34213</v>
      </c>
      <c r="B46">
        <v>1.598344</v>
      </c>
      <c r="C46" s="1">
        <v>34213</v>
      </c>
      <c r="D46">
        <v>458.92999300000002</v>
      </c>
      <c r="E46">
        <v>4.3605522809628816E-3</v>
      </c>
      <c r="F46">
        <f t="shared" si="0"/>
        <v>-2.8788546145260385E-2</v>
      </c>
      <c r="G46">
        <f t="shared" si="1"/>
        <v>1.9392922963742842E-2</v>
      </c>
      <c r="H46">
        <f t="shared" si="2"/>
        <v>-3.3149098426223267E-2</v>
      </c>
      <c r="I46">
        <f t="shared" si="3"/>
        <v>1.5032370682779961E-2</v>
      </c>
      <c r="J46">
        <f t="shared" si="4"/>
        <v>0</v>
      </c>
      <c r="K46">
        <f t="shared" si="5"/>
        <v>0</v>
      </c>
    </row>
    <row r="47" spans="1:11" x14ac:dyDescent="0.3">
      <c r="A47" s="1">
        <v>34243</v>
      </c>
      <c r="B47">
        <v>1.55233</v>
      </c>
      <c r="C47" s="1">
        <v>34243</v>
      </c>
      <c r="D47">
        <v>467.82998700000002</v>
      </c>
      <c r="E47">
        <v>4.3367175322408524E-3</v>
      </c>
      <c r="F47">
        <f t="shared" si="0"/>
        <v>-1.5595910663325219E-3</v>
      </c>
      <c r="G47">
        <f t="shared" si="1"/>
        <v>-1.2910626013377002E-2</v>
      </c>
      <c r="H47">
        <f t="shared" si="2"/>
        <v>-5.8963085985733743E-3</v>
      </c>
      <c r="I47">
        <f t="shared" si="3"/>
        <v>-1.7247343545617855E-2</v>
      </c>
      <c r="J47">
        <f t="shared" si="4"/>
        <v>0</v>
      </c>
      <c r="K47">
        <f t="shared" si="5"/>
        <v>0</v>
      </c>
    </row>
    <row r="48" spans="1:11" x14ac:dyDescent="0.3">
      <c r="A48" s="1">
        <v>34274</v>
      </c>
      <c r="B48">
        <v>1.549909</v>
      </c>
      <c r="C48" s="1">
        <v>34274</v>
      </c>
      <c r="D48">
        <v>461.790009</v>
      </c>
      <c r="E48">
        <v>4.6460850512481944E-3</v>
      </c>
      <c r="F48">
        <f t="shared" si="0"/>
        <v>7.8127167465960046E-3</v>
      </c>
      <c r="G48">
        <f t="shared" si="1"/>
        <v>1.0091173280450949E-2</v>
      </c>
      <c r="H48">
        <f t="shared" si="2"/>
        <v>3.1666316953478102E-3</v>
      </c>
      <c r="I48">
        <f t="shared" si="3"/>
        <v>5.4450882292027547E-3</v>
      </c>
      <c r="J48">
        <f t="shared" si="4"/>
        <v>0</v>
      </c>
      <c r="K48">
        <f t="shared" si="5"/>
        <v>0</v>
      </c>
    </row>
    <row r="49" spans="1:11" x14ac:dyDescent="0.3">
      <c r="A49" s="1">
        <v>34304</v>
      </c>
      <c r="B49">
        <v>1.5620179999999999</v>
      </c>
      <c r="C49" s="1">
        <v>34304</v>
      </c>
      <c r="D49">
        <v>466.45001200000002</v>
      </c>
      <c r="E49">
        <v>4.6856718676875353E-3</v>
      </c>
      <c r="F49">
        <f t="shared" si="0"/>
        <v>5.5813697409376806E-2</v>
      </c>
      <c r="G49">
        <f t="shared" si="1"/>
        <v>3.2500745224549377E-2</v>
      </c>
      <c r="H49">
        <f t="shared" si="2"/>
        <v>5.112802554168927E-2</v>
      </c>
      <c r="I49">
        <f t="shared" si="3"/>
        <v>2.7815073356861841E-2</v>
      </c>
      <c r="J49">
        <f t="shared" si="4"/>
        <v>0</v>
      </c>
      <c r="K49">
        <f t="shared" si="5"/>
        <v>0</v>
      </c>
    </row>
    <row r="50" spans="1:11" x14ac:dyDescent="0.3">
      <c r="A50" s="1">
        <v>34335</v>
      </c>
      <c r="B50">
        <v>1.6492</v>
      </c>
      <c r="C50" s="1">
        <v>34335</v>
      </c>
      <c r="D50">
        <v>481.60998499999999</v>
      </c>
      <c r="E50">
        <v>4.6698392000357192E-3</v>
      </c>
      <c r="F50">
        <f t="shared" si="0"/>
        <v>-3.0836769342711623E-2</v>
      </c>
      <c r="G50">
        <f t="shared" si="1"/>
        <v>-3.0044995848663714E-2</v>
      </c>
      <c r="H50">
        <f t="shared" si="2"/>
        <v>-3.5506608542747342E-2</v>
      </c>
      <c r="I50">
        <f t="shared" si="3"/>
        <v>-3.4714835048699433E-2</v>
      </c>
      <c r="J50">
        <f t="shared" si="4"/>
        <v>0</v>
      </c>
      <c r="K50">
        <f t="shared" si="5"/>
        <v>0</v>
      </c>
    </row>
    <row r="51" spans="1:11" x14ac:dyDescent="0.3">
      <c r="A51" s="1">
        <v>34366</v>
      </c>
      <c r="B51">
        <v>1.598344</v>
      </c>
      <c r="C51" s="1">
        <v>34366</v>
      </c>
      <c r="D51">
        <v>467.14001500000001</v>
      </c>
      <c r="E51">
        <v>4.8438477841514782E-3</v>
      </c>
      <c r="F51">
        <f t="shared" si="0"/>
        <v>2.7272602143218139E-2</v>
      </c>
      <c r="G51">
        <f t="shared" si="1"/>
        <v>-4.5746511353774721E-2</v>
      </c>
      <c r="H51">
        <f t="shared" si="2"/>
        <v>2.242875435906666E-2</v>
      </c>
      <c r="I51">
        <f t="shared" si="3"/>
        <v>-5.05903591379262E-2</v>
      </c>
      <c r="J51">
        <f t="shared" si="4"/>
        <v>0</v>
      </c>
      <c r="K51">
        <f t="shared" si="5"/>
        <v>0</v>
      </c>
    </row>
    <row r="52" spans="1:11" x14ac:dyDescent="0.3">
      <c r="A52" s="1">
        <v>34394</v>
      </c>
      <c r="B52">
        <v>1.6419349999999999</v>
      </c>
      <c r="C52" s="1">
        <v>34394</v>
      </c>
      <c r="D52">
        <v>445.76998900000001</v>
      </c>
      <c r="E52">
        <v>5.2459611277158036E-3</v>
      </c>
      <c r="F52">
        <f t="shared" si="0"/>
        <v>9.1445763687356685E-2</v>
      </c>
      <c r="G52">
        <f t="shared" si="1"/>
        <v>1.1530643889981596E-2</v>
      </c>
      <c r="H52">
        <f t="shared" si="2"/>
        <v>8.6199802559640881E-2</v>
      </c>
      <c r="I52">
        <f t="shared" si="3"/>
        <v>6.2846827622657919E-3</v>
      </c>
      <c r="J52">
        <f t="shared" si="4"/>
        <v>0</v>
      </c>
      <c r="K52">
        <f t="shared" si="5"/>
        <v>0</v>
      </c>
    </row>
    <row r="53" spans="1:11" x14ac:dyDescent="0.3">
      <c r="A53" s="1">
        <v>34425</v>
      </c>
      <c r="B53">
        <v>1.7920830000000001</v>
      </c>
      <c r="C53" s="1">
        <v>34425</v>
      </c>
      <c r="D53">
        <v>450.91000400000001</v>
      </c>
      <c r="E53">
        <v>5.6306457752604011E-3</v>
      </c>
      <c r="F53">
        <f t="shared" si="0"/>
        <v>0.16216213199946661</v>
      </c>
      <c r="G53">
        <f t="shared" si="1"/>
        <v>1.2397143444171643E-2</v>
      </c>
      <c r="H53">
        <f t="shared" si="2"/>
        <v>0.15653148622420621</v>
      </c>
      <c r="I53">
        <f t="shared" si="3"/>
        <v>6.7664976689112422E-3</v>
      </c>
      <c r="J53">
        <f t="shared" si="4"/>
        <v>0</v>
      </c>
      <c r="K53">
        <f t="shared" si="5"/>
        <v>0</v>
      </c>
    </row>
    <row r="54" spans="1:11" x14ac:dyDescent="0.3">
      <c r="A54" s="1">
        <v>34455</v>
      </c>
      <c r="B54">
        <v>2.0826910000000001</v>
      </c>
      <c r="C54" s="1">
        <v>34455</v>
      </c>
      <c r="D54">
        <v>456.5</v>
      </c>
      <c r="E54">
        <v>5.7950163579920666E-3</v>
      </c>
      <c r="F54">
        <f t="shared" si="0"/>
        <v>-3.9534909403267315E-2</v>
      </c>
      <c r="G54">
        <f t="shared" si="1"/>
        <v>-2.6790823658269458E-2</v>
      </c>
      <c r="H54">
        <f t="shared" si="2"/>
        <v>-4.5329925761259382E-2</v>
      </c>
      <c r="I54">
        <f t="shared" si="3"/>
        <v>-3.2585840016261525E-2</v>
      </c>
      <c r="J54">
        <f t="shared" si="4"/>
        <v>0</v>
      </c>
      <c r="K54">
        <f t="shared" si="5"/>
        <v>0</v>
      </c>
    </row>
    <row r="55" spans="1:11" x14ac:dyDescent="0.3">
      <c r="A55" s="1">
        <v>34486</v>
      </c>
      <c r="B55">
        <v>2.0003519999999999</v>
      </c>
      <c r="C55" s="1">
        <v>34486</v>
      </c>
      <c r="D55">
        <v>444.26998900000001</v>
      </c>
      <c r="E55">
        <v>5.7324338322313206E-3</v>
      </c>
      <c r="F55">
        <f t="shared" si="0"/>
        <v>-2.4210738909951068E-3</v>
      </c>
      <c r="G55">
        <f t="shared" si="1"/>
        <v>3.148990781819383E-2</v>
      </c>
      <c r="H55">
        <f t="shared" si="2"/>
        <v>-8.1535077232264275E-3</v>
      </c>
      <c r="I55">
        <f t="shared" si="3"/>
        <v>2.5757473985962509E-2</v>
      </c>
      <c r="J55">
        <f t="shared" si="4"/>
        <v>0</v>
      </c>
      <c r="K55">
        <f t="shared" si="5"/>
        <v>0</v>
      </c>
    </row>
    <row r="56" spans="1:11" x14ac:dyDescent="0.3">
      <c r="A56" s="1">
        <v>34516</v>
      </c>
      <c r="B56">
        <v>1.995509</v>
      </c>
      <c r="C56" s="1">
        <v>34516</v>
      </c>
      <c r="D56">
        <v>458.26001000000002</v>
      </c>
      <c r="E56">
        <v>5.8888099067944122E-3</v>
      </c>
      <c r="F56">
        <f t="shared" si="0"/>
        <v>0.12864036193271988</v>
      </c>
      <c r="G56">
        <f t="shared" si="1"/>
        <v>3.7598698607805625E-2</v>
      </c>
      <c r="H56">
        <f t="shared" si="2"/>
        <v>0.12275155202592547</v>
      </c>
      <c r="I56">
        <f t="shared" si="3"/>
        <v>3.1709888701011213E-2</v>
      </c>
      <c r="J56">
        <f t="shared" si="4"/>
        <v>0</v>
      </c>
      <c r="K56">
        <f t="shared" si="5"/>
        <v>0</v>
      </c>
    </row>
    <row r="57" spans="1:11" x14ac:dyDescent="0.3">
      <c r="A57" s="1">
        <v>34547</v>
      </c>
      <c r="B57">
        <v>2.2522120000000001</v>
      </c>
      <c r="C57" s="1">
        <v>34547</v>
      </c>
      <c r="D57">
        <v>475.48998999999998</v>
      </c>
      <c r="E57">
        <v>5.8419251583290421E-3</v>
      </c>
      <c r="F57">
        <f t="shared" si="0"/>
        <v>-3.4408394946834675E-2</v>
      </c>
      <c r="G57">
        <f t="shared" si="1"/>
        <v>-2.6877535318882262E-2</v>
      </c>
      <c r="H57">
        <f t="shared" si="2"/>
        <v>-4.0250320105163717E-2</v>
      </c>
      <c r="I57">
        <f t="shared" si="3"/>
        <v>-3.2719460477211304E-2</v>
      </c>
      <c r="J57">
        <f t="shared" si="4"/>
        <v>0</v>
      </c>
      <c r="K57">
        <f t="shared" si="5"/>
        <v>0</v>
      </c>
    </row>
    <row r="58" spans="1:11" x14ac:dyDescent="0.3">
      <c r="A58" s="1">
        <v>34578</v>
      </c>
      <c r="B58">
        <v>2.1747169999999998</v>
      </c>
      <c r="C58" s="1">
        <v>34578</v>
      </c>
      <c r="D58">
        <v>462.709991</v>
      </c>
      <c r="E58">
        <v>6.0137185116289071E-3</v>
      </c>
      <c r="F58">
        <f t="shared" si="0"/>
        <v>0.1224940992322221</v>
      </c>
      <c r="G58">
        <f t="shared" si="1"/>
        <v>2.0833816402291649E-2</v>
      </c>
      <c r="H58">
        <f t="shared" si="2"/>
        <v>0.11648038072059319</v>
      </c>
      <c r="I58">
        <f t="shared" si="3"/>
        <v>1.4820097890662742E-2</v>
      </c>
      <c r="J58">
        <f t="shared" si="4"/>
        <v>0</v>
      </c>
      <c r="K58">
        <f t="shared" si="5"/>
        <v>0</v>
      </c>
    </row>
    <row r="59" spans="1:11" x14ac:dyDescent="0.3">
      <c r="A59" s="1">
        <v>34608</v>
      </c>
      <c r="B59">
        <v>2.4411070000000001</v>
      </c>
      <c r="C59" s="1">
        <v>34608</v>
      </c>
      <c r="D59">
        <v>472.35000600000001</v>
      </c>
      <c r="E59">
        <v>6.2318989207894582E-3</v>
      </c>
      <c r="F59">
        <f t="shared" si="0"/>
        <v>-1.983526326375662E-3</v>
      </c>
      <c r="G59">
        <f t="shared" si="1"/>
        <v>-3.9504612602884182E-2</v>
      </c>
      <c r="H59">
        <f t="shared" si="2"/>
        <v>-8.2154252471651201E-3</v>
      </c>
      <c r="I59">
        <f t="shared" si="3"/>
        <v>-4.573651152367364E-2</v>
      </c>
      <c r="J59">
        <f t="shared" si="4"/>
        <v>0</v>
      </c>
      <c r="K59">
        <f t="shared" si="5"/>
        <v>0</v>
      </c>
    </row>
    <row r="60" spans="1:11" x14ac:dyDescent="0.3">
      <c r="A60" s="1">
        <v>34639</v>
      </c>
      <c r="B60">
        <v>2.4362650000000001</v>
      </c>
      <c r="C60" s="1">
        <v>34639</v>
      </c>
      <c r="D60">
        <v>453.69000199999999</v>
      </c>
      <c r="E60">
        <v>6.395193395115184E-3</v>
      </c>
      <c r="F60">
        <f t="shared" si="0"/>
        <v>-2.7832768602758851E-2</v>
      </c>
      <c r="G60">
        <f t="shared" si="1"/>
        <v>1.22991182864991E-2</v>
      </c>
      <c r="H60">
        <f t="shared" si="2"/>
        <v>-3.4227961997874035E-2</v>
      </c>
      <c r="I60">
        <f t="shared" si="3"/>
        <v>5.903924891383916E-3</v>
      </c>
      <c r="J60">
        <f t="shared" si="4"/>
        <v>0</v>
      </c>
      <c r="K60">
        <f t="shared" si="5"/>
        <v>0</v>
      </c>
    </row>
    <row r="61" spans="1:11" x14ac:dyDescent="0.3">
      <c r="A61" s="1">
        <v>34669</v>
      </c>
      <c r="B61">
        <v>2.3684569999999998</v>
      </c>
      <c r="C61" s="1">
        <v>34669</v>
      </c>
      <c r="D61">
        <v>459.26998900000001</v>
      </c>
      <c r="E61">
        <v>6.2863628051315068E-3</v>
      </c>
      <c r="F61">
        <f t="shared" si="0"/>
        <v>-2.8630876558029095E-2</v>
      </c>
      <c r="G61">
        <f t="shared" si="1"/>
        <v>2.4277710860832968E-2</v>
      </c>
      <c r="H61">
        <f t="shared" si="2"/>
        <v>-3.4917239363160602E-2</v>
      </c>
      <c r="I61">
        <f t="shared" si="3"/>
        <v>1.7991348055701462E-2</v>
      </c>
      <c r="J61">
        <f t="shared" si="4"/>
        <v>0</v>
      </c>
      <c r="K61">
        <f t="shared" si="5"/>
        <v>0</v>
      </c>
    </row>
    <row r="62" spans="1:11" x14ac:dyDescent="0.3">
      <c r="A62" s="1">
        <v>34700</v>
      </c>
      <c r="B62">
        <v>2.300646</v>
      </c>
      <c r="C62" s="1">
        <v>34700</v>
      </c>
      <c r="D62">
        <v>470.42001299999998</v>
      </c>
      <c r="E62">
        <v>6.2630251108877211E-3</v>
      </c>
      <c r="F62">
        <f t="shared" si="0"/>
        <v>6.10528521119722E-2</v>
      </c>
      <c r="G62">
        <f t="shared" si="1"/>
        <v>3.6074149761991636E-2</v>
      </c>
      <c r="H62">
        <f t="shared" si="2"/>
        <v>5.4789827001084479E-2</v>
      </c>
      <c r="I62">
        <f t="shared" si="3"/>
        <v>2.9811124651103915E-2</v>
      </c>
      <c r="J62">
        <f t="shared" si="4"/>
        <v>0</v>
      </c>
      <c r="K62">
        <f t="shared" si="5"/>
        <v>0</v>
      </c>
    </row>
    <row r="63" spans="1:11" x14ac:dyDescent="0.3">
      <c r="A63" s="1">
        <v>34731</v>
      </c>
      <c r="B63">
        <v>2.4411070000000001</v>
      </c>
      <c r="C63" s="1">
        <v>34731</v>
      </c>
      <c r="D63">
        <v>487.39001500000001</v>
      </c>
      <c r="E63">
        <v>6.0215196377304547E-3</v>
      </c>
      <c r="F63">
        <f t="shared" si="0"/>
        <v>0.12896853763476979</v>
      </c>
      <c r="G63">
        <f t="shared" si="1"/>
        <v>2.7329193438646815E-2</v>
      </c>
      <c r="H63">
        <f t="shared" si="2"/>
        <v>0.12294701799703933</v>
      </c>
      <c r="I63">
        <f t="shared" si="3"/>
        <v>2.130767380091636E-2</v>
      </c>
      <c r="J63">
        <f t="shared" si="4"/>
        <v>0</v>
      </c>
      <c r="K63">
        <f t="shared" si="5"/>
        <v>0</v>
      </c>
    </row>
    <row r="64" spans="1:11" x14ac:dyDescent="0.3">
      <c r="A64" s="1">
        <v>34759</v>
      </c>
      <c r="B64">
        <v>2.7559330000000002</v>
      </c>
      <c r="C64" s="1">
        <v>34759</v>
      </c>
      <c r="D64">
        <v>500.709991</v>
      </c>
      <c r="E64">
        <v>5.8106552987937654E-3</v>
      </c>
      <c r="F64">
        <f t="shared" si="0"/>
        <v>0.14938498142008538</v>
      </c>
      <c r="G64">
        <f t="shared" si="1"/>
        <v>2.7960358793799323E-2</v>
      </c>
      <c r="H64">
        <f t="shared" si="2"/>
        <v>0.14357432612129162</v>
      </c>
      <c r="I64">
        <f t="shared" si="3"/>
        <v>2.2149703495005557E-2</v>
      </c>
      <c r="J64">
        <f t="shared" si="4"/>
        <v>0</v>
      </c>
      <c r="K64">
        <f t="shared" si="5"/>
        <v>0</v>
      </c>
    </row>
    <row r="65" spans="1:11" x14ac:dyDescent="0.3">
      <c r="A65" s="1">
        <v>34790</v>
      </c>
      <c r="B65">
        <v>3.1676280000000001</v>
      </c>
      <c r="C65" s="1">
        <v>34790</v>
      </c>
      <c r="D65">
        <v>514.71002199999998</v>
      </c>
      <c r="E65">
        <v>5.7011264984068166E-3</v>
      </c>
      <c r="F65">
        <f t="shared" si="0"/>
        <v>3.5932565313856246E-2</v>
      </c>
      <c r="G65">
        <f t="shared" si="1"/>
        <v>3.6311711839953409E-2</v>
      </c>
      <c r="H65">
        <f t="shared" si="2"/>
        <v>3.023143881544943E-2</v>
      </c>
      <c r="I65">
        <f t="shared" si="3"/>
        <v>3.0610585341546592E-2</v>
      </c>
      <c r="J65">
        <f t="shared" si="4"/>
        <v>0</v>
      </c>
      <c r="K65">
        <f t="shared" si="5"/>
        <v>0</v>
      </c>
    </row>
    <row r="66" spans="1:11" x14ac:dyDescent="0.3">
      <c r="A66" s="1">
        <v>34820</v>
      </c>
      <c r="B66">
        <v>3.2814489999999998</v>
      </c>
      <c r="C66" s="1">
        <v>34820</v>
      </c>
      <c r="D66">
        <v>533.40002400000003</v>
      </c>
      <c r="E66">
        <v>5.3638937789661778E-3</v>
      </c>
      <c r="F66">
        <f t="shared" si="0"/>
        <v>6.7158746029574168E-2</v>
      </c>
      <c r="G66">
        <f t="shared" si="1"/>
        <v>2.1278544224437423E-2</v>
      </c>
      <c r="H66">
        <f t="shared" si="2"/>
        <v>6.179485225060799E-2</v>
      </c>
      <c r="I66">
        <f t="shared" si="3"/>
        <v>1.5914650445471246E-2</v>
      </c>
      <c r="J66">
        <f t="shared" si="4"/>
        <v>0</v>
      </c>
      <c r="K66">
        <f t="shared" si="5"/>
        <v>0</v>
      </c>
    </row>
    <row r="67" spans="1:11" x14ac:dyDescent="0.3">
      <c r="A67" s="1">
        <v>34851</v>
      </c>
      <c r="B67">
        <v>3.501827</v>
      </c>
      <c r="C67" s="1">
        <v>34851</v>
      </c>
      <c r="D67">
        <v>544.75</v>
      </c>
      <c r="E67">
        <v>5.0017502848112017E-3</v>
      </c>
      <c r="F67">
        <f t="shared" ref="F67:F130" si="6">(B68/B67)-1</f>
        <v>1.3832779289211228E-3</v>
      </c>
      <c r="G67">
        <f t="shared" ref="G67:G130" si="7">(D68/D67)-1</f>
        <v>3.1776040385497861E-2</v>
      </c>
      <c r="H67">
        <f t="shared" ref="H67:H130" si="8">F67-E67</f>
        <v>-3.6184723558900789E-3</v>
      </c>
      <c r="I67">
        <f t="shared" ref="I67:I130" si="9">G67-E67</f>
        <v>2.677429010068666E-2</v>
      </c>
      <c r="J67">
        <f t="shared" ref="J67:J130" si="10">IF(H67=$P$3, 1, 0)</f>
        <v>0</v>
      </c>
      <c r="K67">
        <f t="shared" ref="K67:K130" si="11">I67*J67</f>
        <v>0</v>
      </c>
    </row>
    <row r="68" spans="1:11" x14ac:dyDescent="0.3">
      <c r="A68" s="1">
        <v>34881</v>
      </c>
      <c r="B68">
        <v>3.5066709999999999</v>
      </c>
      <c r="C68" s="1">
        <v>34881</v>
      </c>
      <c r="D68">
        <v>562.05999799999995</v>
      </c>
      <c r="E68">
        <v>5.0884804742696854E-3</v>
      </c>
      <c r="F68">
        <f t="shared" si="6"/>
        <v>2.2099307291730597E-2</v>
      </c>
      <c r="G68">
        <f t="shared" si="7"/>
        <v>-3.2023805401637517E-4</v>
      </c>
      <c r="H68">
        <f t="shared" si="8"/>
        <v>1.7010826817460911E-2</v>
      </c>
      <c r="I68">
        <f t="shared" si="9"/>
        <v>-5.4087185282860606E-3</v>
      </c>
      <c r="J68">
        <f t="shared" si="10"/>
        <v>0</v>
      </c>
      <c r="K68">
        <f t="shared" si="11"/>
        <v>0</v>
      </c>
    </row>
    <row r="69" spans="1:11" x14ac:dyDescent="0.3">
      <c r="A69" s="1">
        <v>34912</v>
      </c>
      <c r="B69">
        <v>3.5841660000000002</v>
      </c>
      <c r="C69" s="1">
        <v>34912</v>
      </c>
      <c r="D69">
        <v>561.88000499999998</v>
      </c>
      <c r="E69">
        <v>5.2538280408596094E-3</v>
      </c>
      <c r="F69">
        <f t="shared" si="6"/>
        <v>-2.1621487397626149E-2</v>
      </c>
      <c r="G69">
        <f t="shared" si="7"/>
        <v>4.0097472413171298E-2</v>
      </c>
      <c r="H69">
        <f t="shared" si="8"/>
        <v>-2.6875315438485758E-2</v>
      </c>
      <c r="I69">
        <f t="shared" si="9"/>
        <v>3.4843644372311688E-2</v>
      </c>
      <c r="J69">
        <f t="shared" si="10"/>
        <v>0</v>
      </c>
      <c r="K69">
        <f t="shared" si="11"/>
        <v>0</v>
      </c>
    </row>
    <row r="70" spans="1:11" x14ac:dyDescent="0.3">
      <c r="A70" s="1">
        <v>34943</v>
      </c>
      <c r="B70">
        <v>3.5066709999999999</v>
      </c>
      <c r="C70" s="1">
        <v>34943</v>
      </c>
      <c r="D70">
        <v>584.40997300000004</v>
      </c>
      <c r="E70">
        <v>5.0254121388362272E-3</v>
      </c>
      <c r="F70">
        <f t="shared" si="6"/>
        <v>0.10497220868453305</v>
      </c>
      <c r="G70">
        <f t="shared" si="7"/>
        <v>-4.9793349436904055E-3</v>
      </c>
      <c r="H70">
        <f t="shared" si="8"/>
        <v>9.9946796545696825E-2</v>
      </c>
      <c r="I70">
        <f t="shared" si="9"/>
        <v>-1.0004747082526633E-2</v>
      </c>
      <c r="J70">
        <f t="shared" si="10"/>
        <v>0</v>
      </c>
      <c r="K70">
        <f t="shared" si="11"/>
        <v>0</v>
      </c>
    </row>
    <row r="71" spans="1:11" x14ac:dyDescent="0.3">
      <c r="A71" s="1">
        <v>34973</v>
      </c>
      <c r="B71">
        <v>3.8747739999999999</v>
      </c>
      <c r="C71" s="1">
        <v>34973</v>
      </c>
      <c r="D71">
        <v>581.5</v>
      </c>
      <c r="E71">
        <v>4.899144709827663E-3</v>
      </c>
      <c r="F71">
        <f t="shared" si="6"/>
        <v>-0.12874996064286581</v>
      </c>
      <c r="G71">
        <f t="shared" si="7"/>
        <v>4.1049002579535809E-2</v>
      </c>
      <c r="H71">
        <f t="shared" si="8"/>
        <v>-0.13364910535269348</v>
      </c>
      <c r="I71">
        <f t="shared" si="9"/>
        <v>3.6149857869708146E-2</v>
      </c>
      <c r="J71">
        <f t="shared" si="10"/>
        <v>0</v>
      </c>
      <c r="K71">
        <f t="shared" si="11"/>
        <v>0</v>
      </c>
    </row>
    <row r="72" spans="1:11" x14ac:dyDescent="0.3">
      <c r="A72" s="1">
        <v>35004</v>
      </c>
      <c r="B72">
        <v>3.3758970000000001</v>
      </c>
      <c r="C72" s="1">
        <v>35004</v>
      </c>
      <c r="D72">
        <v>605.36999500000002</v>
      </c>
      <c r="E72">
        <v>4.8122345057812765E-3</v>
      </c>
      <c r="F72">
        <f t="shared" si="6"/>
        <v>7.173204632724195E-3</v>
      </c>
      <c r="G72">
        <f t="shared" si="7"/>
        <v>1.7443874138492799E-2</v>
      </c>
      <c r="H72">
        <f t="shared" si="8"/>
        <v>2.3609701269429184E-3</v>
      </c>
      <c r="I72">
        <f t="shared" si="9"/>
        <v>1.2631639632711522E-2</v>
      </c>
      <c r="J72">
        <f t="shared" si="10"/>
        <v>0</v>
      </c>
      <c r="K72">
        <f t="shared" si="11"/>
        <v>0</v>
      </c>
    </row>
    <row r="73" spans="1:11" x14ac:dyDescent="0.3">
      <c r="A73" s="1">
        <v>35034</v>
      </c>
      <c r="B73">
        <v>3.4001130000000002</v>
      </c>
      <c r="C73" s="1">
        <v>35034</v>
      </c>
      <c r="D73">
        <v>615.92999299999997</v>
      </c>
      <c r="E73">
        <v>4.638165628538804E-3</v>
      </c>
      <c r="F73">
        <f t="shared" si="6"/>
        <v>5.4131436219913898E-2</v>
      </c>
      <c r="G73">
        <f t="shared" si="7"/>
        <v>3.2617387086717242E-2</v>
      </c>
      <c r="H73">
        <f t="shared" si="8"/>
        <v>4.9493270591375094E-2</v>
      </c>
      <c r="I73">
        <f t="shared" si="9"/>
        <v>2.7979221458178438E-2</v>
      </c>
      <c r="J73">
        <f t="shared" si="10"/>
        <v>0</v>
      </c>
      <c r="K73">
        <f t="shared" si="11"/>
        <v>0</v>
      </c>
    </row>
    <row r="74" spans="1:11" x14ac:dyDescent="0.3">
      <c r="A74" s="1">
        <v>35065</v>
      </c>
      <c r="B74">
        <v>3.5841660000000002</v>
      </c>
      <c r="C74" s="1">
        <v>35065</v>
      </c>
      <c r="D74">
        <v>636.02002000000005</v>
      </c>
      <c r="E74">
        <v>4.5906346658710628E-3</v>
      </c>
      <c r="F74">
        <f t="shared" si="6"/>
        <v>6.6891991051753585E-2</v>
      </c>
      <c r="G74">
        <f t="shared" si="7"/>
        <v>6.933701552350291E-3</v>
      </c>
      <c r="H74">
        <f t="shared" si="8"/>
        <v>6.2301356385882523E-2</v>
      </c>
      <c r="I74">
        <f t="shared" si="9"/>
        <v>2.3430668864792281E-3</v>
      </c>
      <c r="J74">
        <f t="shared" si="10"/>
        <v>0</v>
      </c>
      <c r="K74">
        <f t="shared" si="11"/>
        <v>0</v>
      </c>
    </row>
    <row r="75" spans="1:11" x14ac:dyDescent="0.3">
      <c r="A75" s="1">
        <v>35096</v>
      </c>
      <c r="B75">
        <v>3.8239179999999999</v>
      </c>
      <c r="C75" s="1">
        <v>35096</v>
      </c>
      <c r="D75">
        <v>640.42999299999997</v>
      </c>
      <c r="E75">
        <v>4.7173289717712397E-3</v>
      </c>
      <c r="F75">
        <f t="shared" si="6"/>
        <v>4.4965137850759396E-2</v>
      </c>
      <c r="G75">
        <f t="shared" si="7"/>
        <v>7.9165670805803057E-3</v>
      </c>
      <c r="H75">
        <f t="shared" si="8"/>
        <v>4.0247808878988156E-2</v>
      </c>
      <c r="I75">
        <f t="shared" si="9"/>
        <v>3.199238108809066E-3</v>
      </c>
      <c r="J75">
        <f t="shared" si="10"/>
        <v>0</v>
      </c>
      <c r="K75">
        <f t="shared" si="11"/>
        <v>0</v>
      </c>
    </row>
    <row r="76" spans="1:11" x14ac:dyDescent="0.3">
      <c r="A76" s="1">
        <v>35125</v>
      </c>
      <c r="B76">
        <v>3.9958610000000001</v>
      </c>
      <c r="C76" s="1">
        <v>35125</v>
      </c>
      <c r="D76">
        <v>645.5</v>
      </c>
      <c r="E76">
        <v>5.0805993126556981E-3</v>
      </c>
      <c r="F76">
        <f t="shared" si="6"/>
        <v>9.8181593403774636E-2</v>
      </c>
      <c r="G76">
        <f t="shared" si="7"/>
        <v>1.3431422153369565E-2</v>
      </c>
      <c r="H76">
        <f t="shared" si="8"/>
        <v>9.3100994091118938E-2</v>
      </c>
      <c r="I76">
        <f t="shared" si="9"/>
        <v>8.3508228407138674E-3</v>
      </c>
      <c r="J76">
        <f t="shared" si="10"/>
        <v>0</v>
      </c>
      <c r="K76">
        <f t="shared" si="11"/>
        <v>0</v>
      </c>
    </row>
    <row r="77" spans="1:11" x14ac:dyDescent="0.3">
      <c r="A77" s="1">
        <v>35156</v>
      </c>
      <c r="B77">
        <v>4.3881810000000003</v>
      </c>
      <c r="C77" s="1">
        <v>35156</v>
      </c>
      <c r="D77">
        <v>654.169983</v>
      </c>
      <c r="E77">
        <v>5.2695598358027951E-3</v>
      </c>
      <c r="F77">
        <f t="shared" si="6"/>
        <v>4.8564997660761833E-2</v>
      </c>
      <c r="G77">
        <f t="shared" si="7"/>
        <v>2.2853405672085048E-2</v>
      </c>
      <c r="H77">
        <f t="shared" si="8"/>
        <v>4.3295437824959038E-2</v>
      </c>
      <c r="I77">
        <f t="shared" si="9"/>
        <v>1.7583845836282253E-2</v>
      </c>
      <c r="J77">
        <f t="shared" si="10"/>
        <v>0</v>
      </c>
      <c r="K77">
        <f t="shared" si="11"/>
        <v>0</v>
      </c>
    </row>
    <row r="78" spans="1:11" x14ac:dyDescent="0.3">
      <c r="A78" s="1">
        <v>35186</v>
      </c>
      <c r="B78">
        <v>4.6012930000000001</v>
      </c>
      <c r="C78" s="1">
        <v>35186</v>
      </c>
      <c r="D78">
        <v>669.11999500000002</v>
      </c>
      <c r="E78">
        <v>5.4502811103220861E-3</v>
      </c>
      <c r="F78">
        <f t="shared" si="6"/>
        <v>1.1579136560093017E-2</v>
      </c>
      <c r="G78">
        <f t="shared" si="7"/>
        <v>2.2567103229369501E-3</v>
      </c>
      <c r="H78">
        <f t="shared" si="8"/>
        <v>6.1288554497709313E-3</v>
      </c>
      <c r="I78">
        <f t="shared" si="9"/>
        <v>-3.193570787385136E-3</v>
      </c>
      <c r="J78">
        <f t="shared" si="10"/>
        <v>0</v>
      </c>
      <c r="K78">
        <f t="shared" si="11"/>
        <v>0</v>
      </c>
    </row>
    <row r="79" spans="1:11" x14ac:dyDescent="0.3">
      <c r="A79" s="1">
        <v>35217</v>
      </c>
      <c r="B79">
        <v>4.6545719999999999</v>
      </c>
      <c r="C79" s="1">
        <v>35217</v>
      </c>
      <c r="D79">
        <v>670.63000499999998</v>
      </c>
      <c r="E79">
        <v>5.5836284214501042E-3</v>
      </c>
      <c r="F79">
        <f t="shared" si="6"/>
        <v>-1.8730615833206454E-2</v>
      </c>
      <c r="G79">
        <f t="shared" si="7"/>
        <v>-4.5748017194667479E-2</v>
      </c>
      <c r="H79">
        <f t="shared" si="8"/>
        <v>-2.4314244254656558E-2</v>
      </c>
      <c r="I79">
        <f t="shared" si="9"/>
        <v>-5.1331645616117583E-2</v>
      </c>
      <c r="J79">
        <f t="shared" si="10"/>
        <v>0</v>
      </c>
      <c r="K79">
        <f t="shared" si="11"/>
        <v>0</v>
      </c>
    </row>
    <row r="80" spans="1:11" x14ac:dyDescent="0.3">
      <c r="A80" s="1">
        <v>35247</v>
      </c>
      <c r="B80">
        <v>4.5673890000000004</v>
      </c>
      <c r="C80" s="1">
        <v>35247</v>
      </c>
      <c r="D80">
        <v>639.95001200000002</v>
      </c>
      <c r="E80">
        <v>5.5522700792010049E-3</v>
      </c>
      <c r="F80">
        <f t="shared" si="6"/>
        <v>3.9236859396035495E-2</v>
      </c>
      <c r="G80">
        <f t="shared" si="7"/>
        <v>1.8813935110919333E-2</v>
      </c>
      <c r="H80">
        <f t="shared" si="8"/>
        <v>3.368458931683449E-2</v>
      </c>
      <c r="I80">
        <f t="shared" si="9"/>
        <v>1.3261665031718328E-2</v>
      </c>
      <c r="J80">
        <f t="shared" si="10"/>
        <v>0</v>
      </c>
      <c r="K80">
        <f t="shared" si="11"/>
        <v>0</v>
      </c>
    </row>
    <row r="81" spans="1:11" x14ac:dyDescent="0.3">
      <c r="A81" s="1">
        <v>35278</v>
      </c>
      <c r="B81">
        <v>4.7465989999999998</v>
      </c>
      <c r="C81" s="1">
        <v>35278</v>
      </c>
      <c r="D81">
        <v>651.98999000000003</v>
      </c>
      <c r="E81">
        <v>5.3717505475605609E-3</v>
      </c>
      <c r="F81">
        <f t="shared" si="6"/>
        <v>7.6530585372811322E-2</v>
      </c>
      <c r="G81">
        <f t="shared" si="7"/>
        <v>5.4203327569492199E-2</v>
      </c>
      <c r="H81">
        <f t="shared" si="8"/>
        <v>7.1158834825250761E-2</v>
      </c>
      <c r="I81">
        <f t="shared" si="9"/>
        <v>4.8831577021931638E-2</v>
      </c>
      <c r="J81">
        <f t="shared" si="10"/>
        <v>0</v>
      </c>
      <c r="K81">
        <f t="shared" si="11"/>
        <v>0</v>
      </c>
    </row>
    <row r="82" spans="1:11" x14ac:dyDescent="0.3">
      <c r="A82" s="1">
        <v>35309</v>
      </c>
      <c r="B82">
        <v>5.1098590000000002</v>
      </c>
      <c r="C82" s="1">
        <v>35309</v>
      </c>
      <c r="D82">
        <v>687.330017</v>
      </c>
      <c r="E82">
        <v>5.5209009761847394E-3</v>
      </c>
      <c r="F82">
        <f t="shared" si="6"/>
        <v>4.0758463198299566E-2</v>
      </c>
      <c r="G82">
        <f t="shared" si="7"/>
        <v>2.6101003239030751E-2</v>
      </c>
      <c r="H82">
        <f t="shared" si="8"/>
        <v>3.5237562222114827E-2</v>
      </c>
      <c r="I82">
        <f t="shared" si="9"/>
        <v>2.0580102262846012E-2</v>
      </c>
      <c r="J82">
        <f t="shared" si="10"/>
        <v>0</v>
      </c>
      <c r="K82">
        <f t="shared" si="11"/>
        <v>0</v>
      </c>
    </row>
    <row r="83" spans="1:11" x14ac:dyDescent="0.3">
      <c r="A83" s="1">
        <v>35339</v>
      </c>
      <c r="B83">
        <v>5.3181289999999999</v>
      </c>
      <c r="C83" s="1">
        <v>35339</v>
      </c>
      <c r="D83">
        <v>705.27002000000005</v>
      </c>
      <c r="E83">
        <v>5.2852889230994293E-3</v>
      </c>
      <c r="F83">
        <f t="shared" si="6"/>
        <v>0.14298656538794008</v>
      </c>
      <c r="G83">
        <f t="shared" si="7"/>
        <v>7.3376151732637007E-2</v>
      </c>
      <c r="H83">
        <f t="shared" si="8"/>
        <v>0.13770127646484065</v>
      </c>
      <c r="I83">
        <f t="shared" si="9"/>
        <v>6.8090862809537578E-2</v>
      </c>
      <c r="J83">
        <f t="shared" si="10"/>
        <v>0</v>
      </c>
      <c r="K83">
        <f t="shared" si="11"/>
        <v>0</v>
      </c>
    </row>
    <row r="84" spans="1:11" x14ac:dyDescent="0.3">
      <c r="A84" s="1">
        <v>35370</v>
      </c>
      <c r="B84">
        <v>6.0785499999999999</v>
      </c>
      <c r="C84" s="1">
        <v>35370</v>
      </c>
      <c r="D84">
        <v>757.02002000000005</v>
      </c>
      <c r="E84">
        <v>5.0254121388362272E-3</v>
      </c>
      <c r="F84">
        <f t="shared" si="6"/>
        <v>5.3387074220003106E-2</v>
      </c>
      <c r="G84">
        <f t="shared" si="7"/>
        <v>-2.1505415404998174E-2</v>
      </c>
      <c r="H84">
        <f t="shared" si="8"/>
        <v>4.8361662081166878E-2</v>
      </c>
      <c r="I84">
        <f t="shared" si="9"/>
        <v>-2.6530827543834401E-2</v>
      </c>
      <c r="J84">
        <f t="shared" si="10"/>
        <v>0</v>
      </c>
      <c r="K84">
        <f t="shared" si="11"/>
        <v>0</v>
      </c>
    </row>
    <row r="85" spans="1:11" x14ac:dyDescent="0.3">
      <c r="A85" s="1">
        <v>35400</v>
      </c>
      <c r="B85">
        <v>6.4030659999999999</v>
      </c>
      <c r="C85" s="1">
        <v>35400</v>
      </c>
      <c r="D85">
        <v>740.73999000000003</v>
      </c>
      <c r="E85">
        <v>5.1042407584538374E-3</v>
      </c>
      <c r="F85">
        <f t="shared" si="6"/>
        <v>0.23449250718327752</v>
      </c>
      <c r="G85">
        <f t="shared" si="7"/>
        <v>6.1317039194819234E-2</v>
      </c>
      <c r="H85">
        <f t="shared" si="8"/>
        <v>0.22938826642482368</v>
      </c>
      <c r="I85">
        <f t="shared" si="9"/>
        <v>5.6212798436365397E-2</v>
      </c>
      <c r="J85">
        <f t="shared" si="10"/>
        <v>0</v>
      </c>
      <c r="K85">
        <f t="shared" si="11"/>
        <v>0</v>
      </c>
    </row>
    <row r="86" spans="1:11" x14ac:dyDescent="0.3">
      <c r="A86" s="1">
        <v>35431</v>
      </c>
      <c r="B86">
        <v>7.9045370000000004</v>
      </c>
      <c r="C86" s="1">
        <v>35431</v>
      </c>
      <c r="D86">
        <v>786.15997300000004</v>
      </c>
      <c r="E86">
        <v>5.3245998017803498E-3</v>
      </c>
      <c r="F86">
        <f t="shared" si="6"/>
        <v>-4.4117447992210068E-2</v>
      </c>
      <c r="G86">
        <f t="shared" si="7"/>
        <v>5.927590007180461E-3</v>
      </c>
      <c r="H86">
        <f t="shared" si="8"/>
        <v>-4.9442047793990418E-2</v>
      </c>
      <c r="I86">
        <f t="shared" si="9"/>
        <v>6.0299020540011128E-4</v>
      </c>
      <c r="J86">
        <f t="shared" si="10"/>
        <v>0</v>
      </c>
      <c r="K86">
        <f t="shared" si="11"/>
        <v>0</v>
      </c>
    </row>
    <row r="87" spans="1:11" x14ac:dyDescent="0.3">
      <c r="A87" s="1">
        <v>35462</v>
      </c>
      <c r="B87">
        <v>7.555809</v>
      </c>
      <c r="C87" s="1">
        <v>35462</v>
      </c>
      <c r="D87">
        <v>790.82000700000003</v>
      </c>
      <c r="E87">
        <v>5.1987454217645723E-3</v>
      </c>
      <c r="F87">
        <f t="shared" si="6"/>
        <v>-5.9615323785977115E-2</v>
      </c>
      <c r="G87">
        <f t="shared" si="7"/>
        <v>-4.2614010396426427E-2</v>
      </c>
      <c r="H87">
        <f t="shared" si="8"/>
        <v>-6.4814069207741687E-2</v>
      </c>
      <c r="I87">
        <f t="shared" si="9"/>
        <v>-4.7812755818191E-2</v>
      </c>
      <c r="J87">
        <f t="shared" si="10"/>
        <v>0</v>
      </c>
      <c r="K87">
        <f t="shared" si="11"/>
        <v>0</v>
      </c>
    </row>
    <row r="88" spans="1:11" x14ac:dyDescent="0.3">
      <c r="A88" s="1">
        <v>35490</v>
      </c>
      <c r="B88">
        <v>7.1053670000000002</v>
      </c>
      <c r="C88" s="1">
        <v>35490</v>
      </c>
      <c r="D88">
        <v>757.11999500000002</v>
      </c>
      <c r="E88">
        <v>5.4110242629969996E-3</v>
      </c>
      <c r="F88">
        <f t="shared" si="6"/>
        <v>0.32515280350754572</v>
      </c>
      <c r="G88">
        <f t="shared" si="7"/>
        <v>5.8405579422057041E-2</v>
      </c>
      <c r="H88">
        <f t="shared" si="8"/>
        <v>0.31974177924454872</v>
      </c>
      <c r="I88">
        <f t="shared" si="9"/>
        <v>5.2994555159060042E-2</v>
      </c>
      <c r="J88">
        <f t="shared" si="10"/>
        <v>0</v>
      </c>
      <c r="K88">
        <f t="shared" si="11"/>
        <v>0</v>
      </c>
    </row>
    <row r="89" spans="1:11" x14ac:dyDescent="0.3">
      <c r="A89" s="1">
        <v>35521</v>
      </c>
      <c r="B89">
        <v>9.4156969999999998</v>
      </c>
      <c r="C89" s="1">
        <v>35521</v>
      </c>
      <c r="D89">
        <v>801.34002699999996</v>
      </c>
      <c r="E89">
        <v>5.5679505949390862E-3</v>
      </c>
      <c r="F89">
        <f t="shared" si="6"/>
        <v>2.0575959485527262E-2</v>
      </c>
      <c r="G89">
        <f t="shared" si="7"/>
        <v>5.8576884241924976E-2</v>
      </c>
      <c r="H89">
        <f t="shared" si="8"/>
        <v>1.5008008890588176E-2</v>
      </c>
      <c r="I89">
        <f t="shared" si="9"/>
        <v>5.300893364698589E-2</v>
      </c>
      <c r="J89">
        <f t="shared" si="10"/>
        <v>0</v>
      </c>
      <c r="K89">
        <f t="shared" si="11"/>
        <v>0</v>
      </c>
    </row>
    <row r="90" spans="1:11" x14ac:dyDescent="0.3">
      <c r="A90" s="1">
        <v>35551</v>
      </c>
      <c r="B90">
        <v>9.6094340000000003</v>
      </c>
      <c r="C90" s="1">
        <v>35551</v>
      </c>
      <c r="D90">
        <v>848.28002900000001</v>
      </c>
      <c r="E90">
        <v>5.4267290252520972E-3</v>
      </c>
      <c r="F90">
        <f t="shared" si="6"/>
        <v>1.9153573457083795E-2</v>
      </c>
      <c r="G90">
        <f t="shared" si="7"/>
        <v>4.3452615574897546E-2</v>
      </c>
      <c r="H90">
        <f t="shared" si="8"/>
        <v>1.3726844431831697E-2</v>
      </c>
      <c r="I90">
        <f t="shared" si="9"/>
        <v>3.8025886549645449E-2</v>
      </c>
      <c r="J90">
        <f t="shared" si="10"/>
        <v>0</v>
      </c>
      <c r="K90">
        <f t="shared" si="11"/>
        <v>0</v>
      </c>
    </row>
    <row r="91" spans="1:11" x14ac:dyDescent="0.3">
      <c r="A91" s="1">
        <v>35582</v>
      </c>
      <c r="B91">
        <v>9.7934889999999992</v>
      </c>
      <c r="C91" s="1">
        <v>35582</v>
      </c>
      <c r="D91">
        <v>885.14001499999995</v>
      </c>
      <c r="E91">
        <v>5.2538280408596094E-3</v>
      </c>
      <c r="F91">
        <f t="shared" si="6"/>
        <v>0.11869436928963739</v>
      </c>
      <c r="G91">
        <f t="shared" si="7"/>
        <v>7.8145809507889075E-2</v>
      </c>
      <c r="H91">
        <f t="shared" si="8"/>
        <v>0.11344054124877778</v>
      </c>
      <c r="I91">
        <f t="shared" si="9"/>
        <v>7.2891981467029465E-2</v>
      </c>
      <c r="J91">
        <f t="shared" si="10"/>
        <v>0</v>
      </c>
      <c r="K91">
        <f t="shared" si="11"/>
        <v>0</v>
      </c>
    </row>
    <row r="92" spans="1:11" x14ac:dyDescent="0.3">
      <c r="A92" s="1">
        <v>35612</v>
      </c>
      <c r="B92">
        <v>10.955921</v>
      </c>
      <c r="C92" s="1">
        <v>35612</v>
      </c>
      <c r="D92">
        <v>954.30999799999995</v>
      </c>
      <c r="E92">
        <v>5.0411833044619048E-3</v>
      </c>
      <c r="F92">
        <f t="shared" si="6"/>
        <v>-6.4986777469461465E-2</v>
      </c>
      <c r="G92">
        <f t="shared" si="7"/>
        <v>-5.7465631833399256E-2</v>
      </c>
      <c r="H92">
        <f t="shared" si="8"/>
        <v>-7.002796077392337E-2</v>
      </c>
      <c r="I92">
        <f t="shared" si="9"/>
        <v>-6.250681513786116E-2</v>
      </c>
      <c r="J92">
        <f t="shared" si="10"/>
        <v>0</v>
      </c>
      <c r="K92">
        <f t="shared" si="11"/>
        <v>0</v>
      </c>
    </row>
    <row r="93" spans="1:11" x14ac:dyDescent="0.3">
      <c r="A93" s="1">
        <v>35643</v>
      </c>
      <c r="B93">
        <v>10.243931</v>
      </c>
      <c r="C93" s="1">
        <v>35643</v>
      </c>
      <c r="D93">
        <v>899.46997099999999</v>
      </c>
      <c r="E93">
        <v>5.1042407584538374E-3</v>
      </c>
      <c r="F93">
        <f t="shared" si="6"/>
        <v>9.4592593409714709E-4</v>
      </c>
      <c r="G93">
        <f t="shared" si="7"/>
        <v>5.3153589937912527E-2</v>
      </c>
      <c r="H93">
        <f t="shared" si="8"/>
        <v>-4.1583148243566903E-3</v>
      </c>
      <c r="I93">
        <f t="shared" si="9"/>
        <v>4.8049349179458689E-2</v>
      </c>
      <c r="J93">
        <f t="shared" si="10"/>
        <v>0</v>
      </c>
      <c r="K93">
        <f t="shared" si="11"/>
        <v>0</v>
      </c>
    </row>
    <row r="94" spans="1:11" x14ac:dyDescent="0.3">
      <c r="A94" s="1">
        <v>35674</v>
      </c>
      <c r="B94">
        <v>10.253621000000001</v>
      </c>
      <c r="C94" s="1">
        <v>35674</v>
      </c>
      <c r="D94">
        <v>947.28002900000001</v>
      </c>
      <c r="E94">
        <v>5.0332980619396395E-3</v>
      </c>
      <c r="F94">
        <f t="shared" si="6"/>
        <v>-1.7477630585331805E-2</v>
      </c>
      <c r="G94">
        <f t="shared" si="7"/>
        <v>-3.4477697196337753E-2</v>
      </c>
      <c r="H94">
        <f t="shared" si="8"/>
        <v>-2.2510928647271444E-2</v>
      </c>
      <c r="I94">
        <f t="shared" si="9"/>
        <v>-3.9510995258277393E-2</v>
      </c>
      <c r="J94">
        <f t="shared" si="10"/>
        <v>0</v>
      </c>
      <c r="K94">
        <f t="shared" si="11"/>
        <v>0</v>
      </c>
    </row>
    <row r="95" spans="1:11" x14ac:dyDescent="0.3">
      <c r="A95" s="1">
        <v>35704</v>
      </c>
      <c r="B95">
        <v>10.074412000000001</v>
      </c>
      <c r="C95" s="1">
        <v>35704</v>
      </c>
      <c r="D95">
        <v>914.61999500000002</v>
      </c>
      <c r="E95">
        <v>4.8912471980258054E-3</v>
      </c>
      <c r="F95">
        <f t="shared" si="6"/>
        <v>8.8460845159002766E-2</v>
      </c>
      <c r="G95">
        <f t="shared" si="7"/>
        <v>4.4586854893763794E-2</v>
      </c>
      <c r="H95">
        <f t="shared" si="8"/>
        <v>8.356959796097696E-2</v>
      </c>
      <c r="I95">
        <f t="shared" si="9"/>
        <v>3.9695607695737989E-2</v>
      </c>
      <c r="J95">
        <f t="shared" si="10"/>
        <v>0</v>
      </c>
      <c r="K95">
        <f t="shared" si="11"/>
        <v>0</v>
      </c>
    </row>
    <row r="96" spans="1:11" x14ac:dyDescent="0.3">
      <c r="A96" s="1">
        <v>35735</v>
      </c>
      <c r="B96">
        <v>10.965603</v>
      </c>
      <c r="C96" s="1">
        <v>35735</v>
      </c>
      <c r="D96">
        <v>955.40002400000003</v>
      </c>
      <c r="E96">
        <v>4.7727025161425907E-3</v>
      </c>
      <c r="F96">
        <f t="shared" si="6"/>
        <v>-8.6571527347834798E-2</v>
      </c>
      <c r="G96">
        <f t="shared" si="7"/>
        <v>1.5731597888257953E-2</v>
      </c>
      <c r="H96">
        <f t="shared" si="8"/>
        <v>-9.1344229863977389E-2</v>
      </c>
      <c r="I96">
        <f t="shared" si="9"/>
        <v>1.0958895372115363E-2</v>
      </c>
      <c r="J96">
        <f t="shared" si="10"/>
        <v>0</v>
      </c>
      <c r="K96">
        <f t="shared" si="11"/>
        <v>0</v>
      </c>
    </row>
    <row r="97" spans="1:11" x14ac:dyDescent="0.3">
      <c r="A97" s="1">
        <v>35765</v>
      </c>
      <c r="B97">
        <v>10.016294</v>
      </c>
      <c r="C97" s="1">
        <v>35765</v>
      </c>
      <c r="D97">
        <v>970.42999299999997</v>
      </c>
      <c r="E97">
        <v>4.7173289717712397E-3</v>
      </c>
      <c r="F97">
        <f t="shared" si="6"/>
        <v>0.15425485713578291</v>
      </c>
      <c r="G97">
        <f t="shared" si="7"/>
        <v>1.0150176798997546E-2</v>
      </c>
      <c r="H97">
        <f t="shared" si="8"/>
        <v>0.14953752816401167</v>
      </c>
      <c r="I97">
        <f t="shared" si="9"/>
        <v>5.4328478272263059E-3</v>
      </c>
      <c r="J97">
        <f t="shared" si="10"/>
        <v>0</v>
      </c>
      <c r="K97">
        <f t="shared" si="11"/>
        <v>0</v>
      </c>
    </row>
    <row r="98" spans="1:11" x14ac:dyDescent="0.3">
      <c r="A98" s="1">
        <v>35796</v>
      </c>
      <c r="B98">
        <v>11.561356</v>
      </c>
      <c r="C98" s="1">
        <v>35796</v>
      </c>
      <c r="D98">
        <v>980.28002900000001</v>
      </c>
      <c r="E98">
        <v>4.5034302658089054E-3</v>
      </c>
      <c r="F98">
        <f t="shared" si="6"/>
        <v>0.13615392519700964</v>
      </c>
      <c r="G98">
        <f t="shared" si="7"/>
        <v>7.0449193043797154E-2</v>
      </c>
      <c r="H98">
        <f t="shared" si="8"/>
        <v>0.13165049493120073</v>
      </c>
      <c r="I98">
        <f t="shared" si="9"/>
        <v>6.5945762777988248E-2</v>
      </c>
      <c r="J98">
        <f t="shared" si="10"/>
        <v>0</v>
      </c>
      <c r="K98">
        <f t="shared" si="11"/>
        <v>0</v>
      </c>
    </row>
    <row r="99" spans="1:11" x14ac:dyDescent="0.3">
      <c r="A99" s="1">
        <v>35827</v>
      </c>
      <c r="B99">
        <v>13.135479999999999</v>
      </c>
      <c r="C99" s="1">
        <v>35827</v>
      </c>
      <c r="D99">
        <v>1049.339966</v>
      </c>
      <c r="E99">
        <v>4.5272215436409358E-3</v>
      </c>
      <c r="F99">
        <f t="shared" si="6"/>
        <v>5.6047742450218818E-2</v>
      </c>
      <c r="G99">
        <f t="shared" si="7"/>
        <v>4.9945714161429455E-2</v>
      </c>
      <c r="H99">
        <f t="shared" si="8"/>
        <v>5.1520520906577882E-2</v>
      </c>
      <c r="I99">
        <f t="shared" si="9"/>
        <v>4.541849261778852E-2</v>
      </c>
      <c r="J99">
        <f t="shared" si="10"/>
        <v>0</v>
      </c>
      <c r="K99">
        <f t="shared" si="11"/>
        <v>0</v>
      </c>
    </row>
    <row r="100" spans="1:11" x14ac:dyDescent="0.3">
      <c r="A100" s="1">
        <v>35855</v>
      </c>
      <c r="B100">
        <v>13.871694</v>
      </c>
      <c r="C100" s="1">
        <v>35855</v>
      </c>
      <c r="D100">
        <v>1101.75</v>
      </c>
      <c r="E100">
        <v>4.5906346658710628E-3</v>
      </c>
      <c r="F100">
        <f t="shared" si="6"/>
        <v>6.982636727713265E-3</v>
      </c>
      <c r="G100">
        <f t="shared" si="7"/>
        <v>9.0764692534603952E-3</v>
      </c>
      <c r="H100">
        <f t="shared" si="8"/>
        <v>2.3920020618422022E-3</v>
      </c>
      <c r="I100">
        <f t="shared" si="9"/>
        <v>4.4858345875893324E-3</v>
      </c>
      <c r="J100">
        <f t="shared" si="10"/>
        <v>0</v>
      </c>
      <c r="K100">
        <f t="shared" si="11"/>
        <v>0</v>
      </c>
    </row>
    <row r="101" spans="1:11" x14ac:dyDescent="0.3">
      <c r="A101" s="1">
        <v>35886</v>
      </c>
      <c r="B101">
        <v>13.968555</v>
      </c>
      <c r="C101" s="1">
        <v>35886</v>
      </c>
      <c r="D101">
        <v>1111.75</v>
      </c>
      <c r="E101">
        <v>4.5827104331948032E-3</v>
      </c>
      <c r="F101">
        <f t="shared" si="6"/>
        <v>-5.8945538747565585E-2</v>
      </c>
      <c r="G101">
        <f t="shared" si="7"/>
        <v>-1.8826223521475116E-2</v>
      </c>
      <c r="H101">
        <f t="shared" si="8"/>
        <v>-6.3528249180760388E-2</v>
      </c>
      <c r="I101">
        <f t="shared" si="9"/>
        <v>-2.3408933954669919E-2</v>
      </c>
      <c r="J101">
        <f t="shared" si="10"/>
        <v>0</v>
      </c>
      <c r="K101">
        <f t="shared" si="11"/>
        <v>0</v>
      </c>
    </row>
    <row r="102" spans="1:11" x14ac:dyDescent="0.3">
      <c r="A102" s="1">
        <v>35916</v>
      </c>
      <c r="B102">
        <v>13.145170999999999</v>
      </c>
      <c r="C102" s="1">
        <v>35916</v>
      </c>
      <c r="D102">
        <v>1090.8199460000001</v>
      </c>
      <c r="E102">
        <v>4.5906346658710628E-3</v>
      </c>
      <c r="F102">
        <f t="shared" si="6"/>
        <v>0.27781905613856206</v>
      </c>
      <c r="G102">
        <f t="shared" si="7"/>
        <v>3.9438241075214098E-2</v>
      </c>
      <c r="H102">
        <f t="shared" si="8"/>
        <v>0.273228421472691</v>
      </c>
      <c r="I102">
        <f t="shared" si="9"/>
        <v>3.4847606409343035E-2</v>
      </c>
      <c r="J102">
        <f t="shared" si="10"/>
        <v>0</v>
      </c>
      <c r="K102">
        <f t="shared" si="11"/>
        <v>0</v>
      </c>
    </row>
    <row r="103" spans="1:11" x14ac:dyDescent="0.3">
      <c r="A103" s="1">
        <v>35947</v>
      </c>
      <c r="B103">
        <v>16.797149999999998</v>
      </c>
      <c r="C103" s="1">
        <v>35947</v>
      </c>
      <c r="D103">
        <v>1133.839966</v>
      </c>
      <c r="E103">
        <v>4.471698917043021E-3</v>
      </c>
      <c r="F103">
        <f t="shared" si="6"/>
        <v>1.4417207681065136E-2</v>
      </c>
      <c r="G103">
        <f t="shared" si="7"/>
        <v>-1.161532702578949E-2</v>
      </c>
      <c r="H103">
        <f t="shared" si="8"/>
        <v>9.9455087640221151E-3</v>
      </c>
      <c r="I103">
        <f t="shared" si="9"/>
        <v>-1.6087025942832511E-2</v>
      </c>
      <c r="J103">
        <f t="shared" si="10"/>
        <v>0</v>
      </c>
      <c r="K103">
        <f t="shared" si="11"/>
        <v>0</v>
      </c>
    </row>
    <row r="104" spans="1:11" x14ac:dyDescent="0.3">
      <c r="A104" s="1">
        <v>35977</v>
      </c>
      <c r="B104">
        <v>17.039318000000002</v>
      </c>
      <c r="C104" s="1">
        <v>35977</v>
      </c>
      <c r="D104">
        <v>1120.670044</v>
      </c>
      <c r="E104">
        <v>4.439956538087042E-3</v>
      </c>
      <c r="F104">
        <f t="shared" si="6"/>
        <v>-0.1273451789561062</v>
      </c>
      <c r="G104">
        <f t="shared" si="7"/>
        <v>-0.14579671855670651</v>
      </c>
      <c r="H104">
        <f t="shared" si="8"/>
        <v>-0.13178513549419324</v>
      </c>
      <c r="I104">
        <f t="shared" si="9"/>
        <v>-0.15023667509479355</v>
      </c>
      <c r="J104">
        <f t="shared" si="10"/>
        <v>0</v>
      </c>
      <c r="K104">
        <f t="shared" si="11"/>
        <v>0</v>
      </c>
    </row>
    <row r="105" spans="1:11" x14ac:dyDescent="0.3">
      <c r="A105" s="1">
        <v>36008</v>
      </c>
      <c r="B105">
        <v>14.869443</v>
      </c>
      <c r="C105" s="1">
        <v>36008</v>
      </c>
      <c r="D105">
        <v>957.28002900000001</v>
      </c>
      <c r="E105">
        <v>4.3446631398347257E-3</v>
      </c>
      <c r="F105">
        <f t="shared" si="6"/>
        <v>0.14723133879325534</v>
      </c>
      <c r="G105">
        <f t="shared" si="7"/>
        <v>6.2395515617718944E-2</v>
      </c>
      <c r="H105">
        <f t="shared" si="8"/>
        <v>0.14288667565342061</v>
      </c>
      <c r="I105">
        <f t="shared" si="9"/>
        <v>5.8050852477884218E-2</v>
      </c>
      <c r="J105">
        <f t="shared" si="10"/>
        <v>0</v>
      </c>
      <c r="K105">
        <f t="shared" si="11"/>
        <v>0</v>
      </c>
    </row>
    <row r="106" spans="1:11" x14ac:dyDescent="0.3">
      <c r="A106" s="1">
        <v>36039</v>
      </c>
      <c r="B106">
        <v>17.058691</v>
      </c>
      <c r="C106" s="1">
        <v>36039</v>
      </c>
      <c r="D106">
        <v>1017.01001</v>
      </c>
      <c r="E106">
        <v>3.9225900629809018E-3</v>
      </c>
      <c r="F106">
        <f t="shared" si="6"/>
        <v>-3.8046354201503596E-2</v>
      </c>
      <c r="G106">
        <f t="shared" si="7"/>
        <v>8.0294228372442378E-2</v>
      </c>
      <c r="H106">
        <f t="shared" si="8"/>
        <v>-4.1968944264484498E-2</v>
      </c>
      <c r="I106">
        <f t="shared" si="9"/>
        <v>7.6371638309461476E-2</v>
      </c>
      <c r="J106">
        <f t="shared" si="10"/>
        <v>0</v>
      </c>
      <c r="K106">
        <f t="shared" si="11"/>
        <v>0</v>
      </c>
    </row>
    <row r="107" spans="1:11" x14ac:dyDescent="0.3">
      <c r="A107" s="1">
        <v>36069</v>
      </c>
      <c r="B107">
        <v>16.409669999999998</v>
      </c>
      <c r="C107" s="1">
        <v>36069</v>
      </c>
      <c r="D107">
        <v>1098.670044</v>
      </c>
      <c r="E107">
        <v>3.6988176007033413E-3</v>
      </c>
      <c r="F107">
        <f t="shared" si="6"/>
        <v>0.15230208773241638</v>
      </c>
      <c r="G107">
        <f t="shared" si="7"/>
        <v>5.9125996339625342E-2</v>
      </c>
      <c r="H107">
        <f t="shared" si="8"/>
        <v>0.14860327013171304</v>
      </c>
      <c r="I107">
        <f t="shared" si="9"/>
        <v>5.5427178738922001E-2</v>
      </c>
      <c r="J107">
        <f t="shared" si="10"/>
        <v>0</v>
      </c>
      <c r="K107">
        <f t="shared" si="11"/>
        <v>0</v>
      </c>
    </row>
    <row r="108" spans="1:11" x14ac:dyDescent="0.3">
      <c r="A108" s="1">
        <v>36100</v>
      </c>
      <c r="B108">
        <v>18.908897</v>
      </c>
      <c r="C108" s="1">
        <v>36100</v>
      </c>
      <c r="D108">
        <v>1163.630005</v>
      </c>
      <c r="E108">
        <v>3.9385528336748354E-3</v>
      </c>
      <c r="F108">
        <f t="shared" si="6"/>
        <v>0.13678243633142628</v>
      </c>
      <c r="G108">
        <f t="shared" si="7"/>
        <v>5.6375286575735872E-2</v>
      </c>
      <c r="H108">
        <f t="shared" si="8"/>
        <v>0.13284388349775145</v>
      </c>
      <c r="I108">
        <f t="shared" si="9"/>
        <v>5.2436733742061037E-2</v>
      </c>
      <c r="J108">
        <f t="shared" si="10"/>
        <v>0</v>
      </c>
      <c r="K108">
        <f t="shared" si="11"/>
        <v>0</v>
      </c>
    </row>
    <row r="109" spans="1:11" x14ac:dyDescent="0.3">
      <c r="A109" s="1">
        <v>36130</v>
      </c>
      <c r="B109">
        <v>21.495301999999999</v>
      </c>
      <c r="C109" s="1">
        <v>36130</v>
      </c>
      <c r="D109">
        <v>1229.2299800000001</v>
      </c>
      <c r="E109">
        <v>3.7867936638156241E-3</v>
      </c>
      <c r="F109">
        <f t="shared" si="6"/>
        <v>0.26182953838006107</v>
      </c>
      <c r="G109">
        <f t="shared" si="7"/>
        <v>4.1009441536725255E-2</v>
      </c>
      <c r="H109">
        <f t="shared" si="8"/>
        <v>0.25804274471624544</v>
      </c>
      <c r="I109">
        <f t="shared" si="9"/>
        <v>3.7222647872909631E-2</v>
      </c>
      <c r="J109">
        <f t="shared" si="10"/>
        <v>0</v>
      </c>
      <c r="K109">
        <f t="shared" si="11"/>
        <v>0</v>
      </c>
    </row>
    <row r="110" spans="1:11" x14ac:dyDescent="0.3">
      <c r="A110" s="1">
        <v>36161</v>
      </c>
      <c r="B110">
        <v>27.123407</v>
      </c>
      <c r="C110" s="1">
        <v>36161</v>
      </c>
      <c r="D110">
        <v>1279.6400149999999</v>
      </c>
      <c r="E110">
        <v>3.8507230235700352E-3</v>
      </c>
      <c r="F110">
        <f t="shared" si="6"/>
        <v>-0.14214246757422477</v>
      </c>
      <c r="G110">
        <f t="shared" si="7"/>
        <v>-3.2282562686194116E-2</v>
      </c>
      <c r="H110">
        <f t="shared" si="8"/>
        <v>-0.14599319059779481</v>
      </c>
      <c r="I110">
        <f t="shared" si="9"/>
        <v>-3.6133285709764151E-2</v>
      </c>
      <c r="J110">
        <f t="shared" si="10"/>
        <v>0</v>
      </c>
      <c r="K110">
        <f t="shared" si="11"/>
        <v>0</v>
      </c>
    </row>
    <row r="111" spans="1:11" x14ac:dyDescent="0.3">
      <c r="A111" s="1">
        <v>36192</v>
      </c>
      <c r="B111">
        <v>23.268018999999999</v>
      </c>
      <c r="C111" s="1">
        <v>36192</v>
      </c>
      <c r="D111">
        <v>1238.329956</v>
      </c>
      <c r="E111">
        <v>4.0741237836483535E-3</v>
      </c>
      <c r="F111">
        <f t="shared" si="6"/>
        <v>0.19400517078828239</v>
      </c>
      <c r="G111">
        <f t="shared" si="7"/>
        <v>3.8794215360158812E-2</v>
      </c>
      <c r="H111">
        <f t="shared" si="8"/>
        <v>0.18993104700463403</v>
      </c>
      <c r="I111">
        <f t="shared" si="9"/>
        <v>3.4720091576510459E-2</v>
      </c>
      <c r="J111">
        <f t="shared" si="10"/>
        <v>0</v>
      </c>
      <c r="K111">
        <f t="shared" si="11"/>
        <v>0</v>
      </c>
    </row>
    <row r="112" spans="1:11" x14ac:dyDescent="0.3">
      <c r="A112" s="1">
        <v>36220</v>
      </c>
      <c r="B112">
        <v>27.782135</v>
      </c>
      <c r="C112" s="1">
        <v>36220</v>
      </c>
      <c r="D112">
        <v>1286.369995</v>
      </c>
      <c r="E112">
        <v>4.2572234018702915E-3</v>
      </c>
      <c r="F112">
        <f t="shared" si="6"/>
        <v>-9.2747947556946264E-2</v>
      </c>
      <c r="G112">
        <f t="shared" si="7"/>
        <v>3.7944027915545409E-2</v>
      </c>
      <c r="H112">
        <f t="shared" si="8"/>
        <v>-9.7005170958816556E-2</v>
      </c>
      <c r="I112">
        <f t="shared" si="9"/>
        <v>3.3686804513675117E-2</v>
      </c>
      <c r="J112">
        <f t="shared" si="10"/>
        <v>0</v>
      </c>
      <c r="K112">
        <f t="shared" si="11"/>
        <v>0</v>
      </c>
    </row>
    <row r="113" spans="1:11" x14ac:dyDescent="0.3">
      <c r="A113" s="1">
        <v>36251</v>
      </c>
      <c r="B113">
        <v>25.205399</v>
      </c>
      <c r="C113" s="1">
        <v>36251</v>
      </c>
      <c r="D113">
        <v>1335.1800539999999</v>
      </c>
      <c r="E113">
        <v>4.21745036527299E-3</v>
      </c>
      <c r="F113">
        <f t="shared" si="6"/>
        <v>-7.6861310546998407E-3</v>
      </c>
      <c r="G113">
        <f t="shared" si="7"/>
        <v>-2.4970480872686829E-2</v>
      </c>
      <c r="H113">
        <f t="shared" si="8"/>
        <v>-1.1903581419972831E-2</v>
      </c>
      <c r="I113">
        <f t="shared" si="9"/>
        <v>-2.9187931237959819E-2</v>
      </c>
      <c r="J113">
        <f t="shared" si="10"/>
        <v>0</v>
      </c>
      <c r="K113">
        <f t="shared" si="11"/>
        <v>0</v>
      </c>
    </row>
    <row r="114" spans="1:11" x14ac:dyDescent="0.3">
      <c r="A114" s="1">
        <v>36281</v>
      </c>
      <c r="B114">
        <v>25.011666999999999</v>
      </c>
      <c r="C114" s="1">
        <v>36281</v>
      </c>
      <c r="D114">
        <v>1301.839966</v>
      </c>
      <c r="E114">
        <v>4.5034302658089054E-3</v>
      </c>
      <c r="F114">
        <f t="shared" si="6"/>
        <v>0.11773817394898156</v>
      </c>
      <c r="G114">
        <f t="shared" si="7"/>
        <v>5.4438331016794184E-2</v>
      </c>
      <c r="H114">
        <f t="shared" si="8"/>
        <v>0.11323474368317266</v>
      </c>
      <c r="I114">
        <f t="shared" si="9"/>
        <v>4.9934900750985278E-2</v>
      </c>
      <c r="J114">
        <f t="shared" si="10"/>
        <v>0</v>
      </c>
      <c r="K114">
        <f t="shared" si="11"/>
        <v>0</v>
      </c>
    </row>
    <row r="115" spans="1:11" x14ac:dyDescent="0.3">
      <c r="A115" s="1">
        <v>36312</v>
      </c>
      <c r="B115">
        <v>27.956495</v>
      </c>
      <c r="C115" s="1">
        <v>36312</v>
      </c>
      <c r="D115">
        <v>1372.709961</v>
      </c>
      <c r="E115">
        <v>4.7885173650881185E-3</v>
      </c>
      <c r="F115">
        <f t="shared" si="6"/>
        <v>-4.8509943753678675E-2</v>
      </c>
      <c r="G115">
        <f t="shared" si="7"/>
        <v>-3.2046092218893762E-2</v>
      </c>
      <c r="H115">
        <f t="shared" si="8"/>
        <v>-5.3298461118766793E-2</v>
      </c>
      <c r="I115">
        <f t="shared" si="9"/>
        <v>-3.6834609583981881E-2</v>
      </c>
      <c r="J115">
        <f t="shared" si="10"/>
        <v>0</v>
      </c>
      <c r="K115">
        <f t="shared" si="11"/>
        <v>0</v>
      </c>
    </row>
    <row r="116" spans="1:11" x14ac:dyDescent="0.3">
      <c r="A116" s="1">
        <v>36342</v>
      </c>
      <c r="B116">
        <v>26.600327</v>
      </c>
      <c r="C116" s="1">
        <v>36342</v>
      </c>
      <c r="D116">
        <v>1328.719971</v>
      </c>
      <c r="E116">
        <v>4.7015017912679369E-3</v>
      </c>
      <c r="F116">
        <f t="shared" si="6"/>
        <v>7.8659220993787082E-2</v>
      </c>
      <c r="G116">
        <f t="shared" si="7"/>
        <v>-6.2540920445004478E-3</v>
      </c>
      <c r="H116">
        <f t="shared" si="8"/>
        <v>7.3957719202519145E-2</v>
      </c>
      <c r="I116">
        <f t="shared" si="9"/>
        <v>-1.0955593835768385E-2</v>
      </c>
      <c r="J116">
        <f t="shared" si="10"/>
        <v>0</v>
      </c>
      <c r="K116">
        <f t="shared" si="11"/>
        <v>0</v>
      </c>
    </row>
    <row r="117" spans="1:11" x14ac:dyDescent="0.3">
      <c r="A117" s="1">
        <v>36373</v>
      </c>
      <c r="B117">
        <v>28.692688</v>
      </c>
      <c r="C117" s="1">
        <v>36373</v>
      </c>
      <c r="D117">
        <v>1320.410034</v>
      </c>
      <c r="E117">
        <v>4.8201388511142085E-3</v>
      </c>
      <c r="F117">
        <f t="shared" si="6"/>
        <v>-2.1606654629221178E-2</v>
      </c>
      <c r="G117">
        <f t="shared" si="7"/>
        <v>-2.8551792268491583E-2</v>
      </c>
      <c r="H117">
        <f t="shared" si="8"/>
        <v>-2.6426793480335387E-2</v>
      </c>
      <c r="I117">
        <f t="shared" si="9"/>
        <v>-3.3371931119605791E-2</v>
      </c>
      <c r="J117">
        <f t="shared" si="10"/>
        <v>0</v>
      </c>
      <c r="K117">
        <f t="shared" si="11"/>
        <v>0</v>
      </c>
    </row>
    <row r="118" spans="1:11" x14ac:dyDescent="0.3">
      <c r="A118" s="1">
        <v>36404</v>
      </c>
      <c r="B118">
        <v>28.072735000000002</v>
      </c>
      <c r="C118" s="1">
        <v>36404</v>
      </c>
      <c r="D118">
        <v>1282.709961</v>
      </c>
      <c r="E118">
        <v>4.8043294764150701E-3</v>
      </c>
      <c r="F118">
        <f t="shared" si="6"/>
        <v>2.2083811926411734E-2</v>
      </c>
      <c r="G118">
        <f t="shared" si="7"/>
        <v>6.2539541625965311E-2</v>
      </c>
      <c r="H118">
        <f t="shared" si="8"/>
        <v>1.7279482449996664E-2</v>
      </c>
      <c r="I118">
        <f t="shared" si="9"/>
        <v>5.7735212149550241E-2</v>
      </c>
      <c r="J118">
        <f t="shared" si="10"/>
        <v>0</v>
      </c>
      <c r="K118">
        <f t="shared" si="11"/>
        <v>0</v>
      </c>
    </row>
    <row r="119" spans="1:11" x14ac:dyDescent="0.3">
      <c r="A119" s="1">
        <v>36434</v>
      </c>
      <c r="B119">
        <v>28.692688</v>
      </c>
      <c r="C119" s="1">
        <v>36434</v>
      </c>
      <c r="D119">
        <v>1362.9300539999999</v>
      </c>
      <c r="E119">
        <v>4.9544081844810073E-3</v>
      </c>
      <c r="F119">
        <f t="shared" si="6"/>
        <v>-1.6373404959479587E-2</v>
      </c>
      <c r="G119">
        <f t="shared" si="7"/>
        <v>1.906185862124965E-2</v>
      </c>
      <c r="H119">
        <f t="shared" si="8"/>
        <v>-2.1327813143960594E-2</v>
      </c>
      <c r="I119">
        <f t="shared" si="9"/>
        <v>1.4107450436768643E-2</v>
      </c>
      <c r="J119">
        <f t="shared" si="10"/>
        <v>0</v>
      </c>
      <c r="K119">
        <f t="shared" si="11"/>
        <v>0</v>
      </c>
    </row>
    <row r="120" spans="1:11" x14ac:dyDescent="0.3">
      <c r="A120" s="1">
        <v>36465</v>
      </c>
      <c r="B120">
        <v>28.222891000000001</v>
      </c>
      <c r="C120" s="1">
        <v>36465</v>
      </c>
      <c r="D120">
        <v>1388.910034</v>
      </c>
      <c r="E120">
        <v>4.8912471980258054E-3</v>
      </c>
      <c r="F120">
        <f t="shared" si="6"/>
        <v>0.28230605433015343</v>
      </c>
      <c r="G120">
        <f t="shared" si="7"/>
        <v>5.7843894876779434E-2</v>
      </c>
      <c r="H120">
        <f t="shared" si="8"/>
        <v>0.27741480713212763</v>
      </c>
      <c r="I120">
        <f t="shared" si="9"/>
        <v>5.2952647678753628E-2</v>
      </c>
      <c r="J120">
        <f t="shared" si="10"/>
        <v>0</v>
      </c>
      <c r="K120">
        <f t="shared" si="11"/>
        <v>0</v>
      </c>
    </row>
    <row r="121" spans="1:11" x14ac:dyDescent="0.3">
      <c r="A121" s="1">
        <v>36495</v>
      </c>
      <c r="B121">
        <v>36.190384000000002</v>
      </c>
      <c r="C121" s="1">
        <v>36495</v>
      </c>
      <c r="D121">
        <v>1469.25</v>
      </c>
      <c r="E121">
        <v>5.0884804742696854E-3</v>
      </c>
      <c r="F121">
        <f t="shared" si="6"/>
        <v>-0.16167015525450079</v>
      </c>
      <c r="G121">
        <f t="shared" si="7"/>
        <v>-5.0903548749361871E-2</v>
      </c>
      <c r="H121">
        <f t="shared" si="8"/>
        <v>-0.16675863572877048</v>
      </c>
      <c r="I121">
        <f t="shared" si="9"/>
        <v>-5.5992029223631556E-2</v>
      </c>
      <c r="J121">
        <f t="shared" si="10"/>
        <v>0</v>
      </c>
      <c r="K121">
        <f t="shared" si="11"/>
        <v>0</v>
      </c>
    </row>
    <row r="122" spans="1:11" x14ac:dyDescent="0.3">
      <c r="A122" s="1">
        <v>36526</v>
      </c>
      <c r="B122">
        <v>30.339479000000001</v>
      </c>
      <c r="C122" s="1">
        <v>36526</v>
      </c>
      <c r="D122">
        <v>1394.459961</v>
      </c>
      <c r="E122">
        <v>5.3874620588785227E-3</v>
      </c>
      <c r="F122">
        <f t="shared" si="6"/>
        <v>-8.684549263354191E-2</v>
      </c>
      <c r="G122">
        <f t="shared" si="7"/>
        <v>-2.0108083261058285E-2</v>
      </c>
      <c r="H122">
        <f t="shared" si="8"/>
        <v>-9.2232954692420432E-2</v>
      </c>
      <c r="I122">
        <f t="shared" si="9"/>
        <v>-2.5495545319936808E-2</v>
      </c>
      <c r="J122">
        <f t="shared" si="10"/>
        <v>0</v>
      </c>
      <c r="K122">
        <f t="shared" si="11"/>
        <v>0</v>
      </c>
    </row>
    <row r="123" spans="1:11" x14ac:dyDescent="0.3">
      <c r="A123" s="1">
        <v>36557</v>
      </c>
      <c r="B123">
        <v>27.704632</v>
      </c>
      <c r="C123" s="1">
        <v>36557</v>
      </c>
      <c r="D123">
        <v>1366.420044</v>
      </c>
      <c r="E123">
        <v>5.2774247178459799E-3</v>
      </c>
      <c r="F123">
        <f t="shared" si="6"/>
        <v>0.18881080968698671</v>
      </c>
      <c r="G123">
        <f t="shared" si="7"/>
        <v>9.6719828269732355E-2</v>
      </c>
      <c r="H123">
        <f t="shared" si="8"/>
        <v>0.18353338496914073</v>
      </c>
      <c r="I123">
        <f t="shared" si="9"/>
        <v>9.1442403551886375E-2</v>
      </c>
      <c r="J123">
        <f t="shared" si="10"/>
        <v>0</v>
      </c>
      <c r="K123">
        <f t="shared" si="11"/>
        <v>0</v>
      </c>
    </row>
    <row r="124" spans="1:11" x14ac:dyDescent="0.3">
      <c r="A124" s="1">
        <v>36586</v>
      </c>
      <c r="B124">
        <v>32.935566000000001</v>
      </c>
      <c r="C124" s="1">
        <v>36586</v>
      </c>
      <c r="D124">
        <v>1498.579956</v>
      </c>
      <c r="E124">
        <v>5.0727174711968637E-3</v>
      </c>
      <c r="F124">
        <f t="shared" si="6"/>
        <v>-0.34352908949553196</v>
      </c>
      <c r="G124">
        <f t="shared" si="7"/>
        <v>-3.079575555193137E-2</v>
      </c>
      <c r="H124">
        <f t="shared" si="8"/>
        <v>-0.34860180696672882</v>
      </c>
      <c r="I124">
        <f t="shared" si="9"/>
        <v>-3.5868473023128233E-2</v>
      </c>
      <c r="J124">
        <f t="shared" si="10"/>
        <v>0</v>
      </c>
      <c r="K124">
        <f t="shared" si="11"/>
        <v>0</v>
      </c>
    </row>
    <row r="125" spans="1:11" x14ac:dyDescent="0.3">
      <c r="A125" s="1">
        <v>36617</v>
      </c>
      <c r="B125">
        <v>21.621241000000001</v>
      </c>
      <c r="C125" s="1">
        <v>36617</v>
      </c>
      <c r="D125">
        <v>1452.4300539999999</v>
      </c>
      <c r="E125">
        <v>4.8596503216116194E-3</v>
      </c>
      <c r="F125">
        <f t="shared" si="6"/>
        <v>-0.10304667525790967</v>
      </c>
      <c r="G125">
        <f t="shared" si="7"/>
        <v>-2.1915050512993584E-2</v>
      </c>
      <c r="H125">
        <f t="shared" si="8"/>
        <v>-0.10790632557952129</v>
      </c>
      <c r="I125">
        <f t="shared" si="9"/>
        <v>-2.6774700834605203E-2</v>
      </c>
      <c r="J125">
        <f t="shared" si="10"/>
        <v>0</v>
      </c>
      <c r="K125">
        <f t="shared" si="11"/>
        <v>0</v>
      </c>
    </row>
    <row r="126" spans="1:11" x14ac:dyDescent="0.3">
      <c r="A126" s="1">
        <v>36647</v>
      </c>
      <c r="B126">
        <v>19.393243999999999</v>
      </c>
      <c r="C126" s="1">
        <v>36647</v>
      </c>
      <c r="D126">
        <v>1420.599976</v>
      </c>
      <c r="E126">
        <v>5.2144867011501006E-3</v>
      </c>
      <c r="F126">
        <f t="shared" si="6"/>
        <v>0.27872118764658471</v>
      </c>
      <c r="G126">
        <f t="shared" si="7"/>
        <v>2.3933549608901261E-2</v>
      </c>
      <c r="H126">
        <f t="shared" si="8"/>
        <v>0.27350670094543461</v>
      </c>
      <c r="I126">
        <f t="shared" si="9"/>
        <v>1.8719062907751161E-2</v>
      </c>
      <c r="J126">
        <f t="shared" si="10"/>
        <v>0</v>
      </c>
      <c r="K126">
        <f t="shared" si="11"/>
        <v>0</v>
      </c>
    </row>
    <row r="127" spans="1:11" x14ac:dyDescent="0.3">
      <c r="A127" s="1">
        <v>36678</v>
      </c>
      <c r="B127">
        <v>24.798552000000001</v>
      </c>
      <c r="C127" s="1">
        <v>36678</v>
      </c>
      <c r="D127">
        <v>1454.599976</v>
      </c>
      <c r="E127">
        <v>4.946515448805977E-3</v>
      </c>
      <c r="F127">
        <f t="shared" si="6"/>
        <v>-0.1273440481524889</v>
      </c>
      <c r="G127">
        <f t="shared" si="7"/>
        <v>-1.6341276221772727E-2</v>
      </c>
      <c r="H127">
        <f t="shared" si="8"/>
        <v>-0.13229056360129487</v>
      </c>
      <c r="I127">
        <f t="shared" si="9"/>
        <v>-2.1287791670578704E-2</v>
      </c>
      <c r="J127">
        <f t="shared" si="10"/>
        <v>0</v>
      </c>
      <c r="K127">
        <f t="shared" si="11"/>
        <v>0</v>
      </c>
    </row>
    <row r="128" spans="1:11" x14ac:dyDescent="0.3">
      <c r="A128" s="1">
        <v>36708</v>
      </c>
      <c r="B128">
        <v>21.640604</v>
      </c>
      <c r="C128" s="1">
        <v>36708</v>
      </c>
      <c r="D128">
        <v>1430.829956</v>
      </c>
      <c r="E128">
        <v>4.9070415389556032E-3</v>
      </c>
      <c r="F128">
        <f t="shared" si="6"/>
        <v>0</v>
      </c>
      <c r="G128">
        <f t="shared" si="7"/>
        <v>6.0699105184236046E-2</v>
      </c>
      <c r="H128">
        <f t="shared" si="8"/>
        <v>-4.9070415389556032E-3</v>
      </c>
      <c r="I128">
        <f t="shared" si="9"/>
        <v>5.5792063645280443E-2</v>
      </c>
      <c r="J128">
        <f t="shared" si="10"/>
        <v>0</v>
      </c>
      <c r="K128">
        <f t="shared" si="11"/>
        <v>0</v>
      </c>
    </row>
    <row r="129" spans="1:11" x14ac:dyDescent="0.3">
      <c r="A129" s="1">
        <v>36739</v>
      </c>
      <c r="B129">
        <v>21.640604</v>
      </c>
      <c r="C129" s="1">
        <v>36739</v>
      </c>
      <c r="D129">
        <v>1517.6800539999999</v>
      </c>
      <c r="E129">
        <v>4.7331534101910933E-3</v>
      </c>
      <c r="F129">
        <f t="shared" si="6"/>
        <v>-0.13607831833159556</v>
      </c>
      <c r="G129">
        <f t="shared" si="7"/>
        <v>-5.3482974745611256E-2</v>
      </c>
      <c r="H129">
        <f t="shared" si="8"/>
        <v>-0.14081147174178665</v>
      </c>
      <c r="I129">
        <f t="shared" si="9"/>
        <v>-5.8216128155802349E-2</v>
      </c>
      <c r="J129">
        <f t="shared" si="10"/>
        <v>0</v>
      </c>
      <c r="K129">
        <f t="shared" si="11"/>
        <v>0</v>
      </c>
    </row>
    <row r="130" spans="1:11" x14ac:dyDescent="0.3">
      <c r="A130" s="1">
        <v>36770</v>
      </c>
      <c r="B130">
        <v>18.695786999999999</v>
      </c>
      <c r="C130" s="1">
        <v>36770</v>
      </c>
      <c r="D130">
        <v>1436.51001</v>
      </c>
      <c r="E130">
        <v>4.7094157243421364E-3</v>
      </c>
      <c r="F130">
        <f t="shared" si="6"/>
        <v>0.14196872268602534</v>
      </c>
      <c r="G130">
        <f t="shared" si="7"/>
        <v>-4.9494858723608814E-3</v>
      </c>
      <c r="H130">
        <f t="shared" si="8"/>
        <v>0.1372593069616832</v>
      </c>
      <c r="I130">
        <f t="shared" si="9"/>
        <v>-9.6589015967030178E-3</v>
      </c>
      <c r="J130">
        <f t="shared" si="10"/>
        <v>0</v>
      </c>
      <c r="K130">
        <f t="shared" si="11"/>
        <v>0</v>
      </c>
    </row>
    <row r="131" spans="1:11" x14ac:dyDescent="0.3">
      <c r="A131" s="1">
        <v>36800</v>
      </c>
      <c r="B131">
        <v>21.350003999999998</v>
      </c>
      <c r="C131" s="1">
        <v>36800</v>
      </c>
      <c r="D131">
        <v>1429.400024</v>
      </c>
      <c r="E131">
        <v>4.661921836872196E-3</v>
      </c>
      <c r="F131">
        <f t="shared" ref="F131:F194" si="12">(B132/B131)-1</f>
        <v>-0.16696910220719396</v>
      </c>
      <c r="G131">
        <f t="shared" ref="G131:G194" si="13">(D132/D131)-1</f>
        <v>-8.0068609961069903E-2</v>
      </c>
      <c r="H131">
        <f t="shared" ref="H131:H194" si="14">F131-E131</f>
        <v>-0.17163102404406616</v>
      </c>
      <c r="I131">
        <f t="shared" ref="I131:I194" si="15">G131-E131</f>
        <v>-8.4730531797942099E-2</v>
      </c>
      <c r="J131">
        <f t="shared" ref="J131:J194" si="16">IF(H131=$P$3, 1, 0)</f>
        <v>0</v>
      </c>
      <c r="K131">
        <f t="shared" ref="K131:K194" si="17">I131*J131</f>
        <v>0</v>
      </c>
    </row>
    <row r="132" spans="1:11" x14ac:dyDescent="0.3">
      <c r="A132" s="1">
        <v>36831</v>
      </c>
      <c r="B132">
        <v>17.785212999999999</v>
      </c>
      <c r="C132" s="1">
        <v>36831</v>
      </c>
      <c r="D132">
        <v>1314.9499510000001</v>
      </c>
      <c r="E132">
        <v>4.6460850512481944E-3</v>
      </c>
      <c r="F132">
        <f t="shared" si="12"/>
        <v>-0.24400899781183383</v>
      </c>
      <c r="G132">
        <f t="shared" si="13"/>
        <v>4.0534455291978411E-3</v>
      </c>
      <c r="H132">
        <f t="shared" si="14"/>
        <v>-0.24865508286308202</v>
      </c>
      <c r="I132">
        <f t="shared" si="15"/>
        <v>-5.9263952205035331E-4</v>
      </c>
      <c r="J132">
        <f t="shared" si="16"/>
        <v>0</v>
      </c>
      <c r="K132">
        <f t="shared" si="17"/>
        <v>0</v>
      </c>
    </row>
    <row r="133" spans="1:11" x14ac:dyDescent="0.3">
      <c r="A133" s="1">
        <v>36861</v>
      </c>
      <c r="B133">
        <v>13.445461</v>
      </c>
      <c r="C133" s="1">
        <v>36861</v>
      </c>
      <c r="D133">
        <v>1320.280029</v>
      </c>
      <c r="E133">
        <v>4.2651759303415915E-3</v>
      </c>
      <c r="F133">
        <f t="shared" si="12"/>
        <v>0.40778103480423611</v>
      </c>
      <c r="G133">
        <f t="shared" si="13"/>
        <v>3.4636577086329501E-2</v>
      </c>
      <c r="H133">
        <f t="shared" si="14"/>
        <v>0.40351585887389452</v>
      </c>
      <c r="I133">
        <f t="shared" si="15"/>
        <v>3.0371401155987909E-2</v>
      </c>
      <c r="J133">
        <f t="shared" si="16"/>
        <v>1</v>
      </c>
      <c r="K133">
        <f t="shared" si="17"/>
        <v>3.0371401155987909E-2</v>
      </c>
    </row>
    <row r="134" spans="1:11" x14ac:dyDescent="0.3">
      <c r="A134" s="1">
        <v>36892</v>
      </c>
      <c r="B134">
        <v>18.928265</v>
      </c>
      <c r="C134" s="1">
        <v>36892</v>
      </c>
      <c r="D134">
        <v>1366.01001</v>
      </c>
      <c r="E134">
        <v>4.2015362976310922E-3</v>
      </c>
      <c r="F134">
        <f t="shared" si="12"/>
        <v>-3.3776365662674279E-2</v>
      </c>
      <c r="G134">
        <f t="shared" si="13"/>
        <v>-9.229073584900005E-2</v>
      </c>
      <c r="H134">
        <f t="shared" si="14"/>
        <v>-3.7977901960305371E-2</v>
      </c>
      <c r="I134">
        <f t="shared" si="15"/>
        <v>-9.6492272146631142E-2</v>
      </c>
      <c r="J134">
        <f t="shared" si="16"/>
        <v>0</v>
      </c>
      <c r="K134">
        <f t="shared" si="17"/>
        <v>0</v>
      </c>
    </row>
    <row r="135" spans="1:11" x14ac:dyDescent="0.3">
      <c r="A135" s="1">
        <v>36923</v>
      </c>
      <c r="B135">
        <v>18.288937000000001</v>
      </c>
      <c r="C135" s="1">
        <v>36923</v>
      </c>
      <c r="D135">
        <v>1239.9399410000001</v>
      </c>
      <c r="E135">
        <v>4.1537774426925189E-3</v>
      </c>
      <c r="F135">
        <f t="shared" si="12"/>
        <v>-7.309358657640963E-2</v>
      </c>
      <c r="G135">
        <f t="shared" si="13"/>
        <v>-6.4204710540895493E-2</v>
      </c>
      <c r="H135">
        <f t="shared" si="14"/>
        <v>-7.7247364019102149E-2</v>
      </c>
      <c r="I135">
        <f t="shared" si="15"/>
        <v>-6.8358487983588012E-2</v>
      </c>
      <c r="J135">
        <f t="shared" si="16"/>
        <v>0</v>
      </c>
      <c r="K135">
        <f t="shared" si="17"/>
        <v>0</v>
      </c>
    </row>
    <row r="136" spans="1:11" x14ac:dyDescent="0.3">
      <c r="A136" s="1">
        <v>36951</v>
      </c>
      <c r="B136">
        <v>16.952133</v>
      </c>
      <c r="C136" s="1">
        <v>36951</v>
      </c>
      <c r="D136">
        <v>1160.329956</v>
      </c>
      <c r="E136">
        <v>3.9864244012801642E-3</v>
      </c>
      <c r="F136">
        <f t="shared" si="12"/>
        <v>0.2388573166574377</v>
      </c>
      <c r="G136">
        <f t="shared" si="13"/>
        <v>7.6814361759009797E-2</v>
      </c>
      <c r="H136">
        <f t="shared" si="14"/>
        <v>0.23487089225615754</v>
      </c>
      <c r="I136">
        <f t="shared" si="15"/>
        <v>7.2827937357729633E-2</v>
      </c>
      <c r="J136">
        <f t="shared" si="16"/>
        <v>0</v>
      </c>
      <c r="K136">
        <f t="shared" si="17"/>
        <v>0</v>
      </c>
    </row>
    <row r="137" spans="1:11" x14ac:dyDescent="0.3">
      <c r="A137" s="1">
        <v>36982</v>
      </c>
      <c r="B137">
        <v>21.001273999999999</v>
      </c>
      <c r="C137" s="1">
        <v>36982</v>
      </c>
      <c r="D137">
        <v>1249.459961</v>
      </c>
      <c r="E137">
        <v>4.1856194553282489E-3</v>
      </c>
      <c r="F137">
        <f t="shared" si="12"/>
        <v>2.1107148071112247E-2</v>
      </c>
      <c r="G137">
        <f t="shared" si="13"/>
        <v>5.0901871196495918E-3</v>
      </c>
      <c r="H137">
        <f t="shared" si="14"/>
        <v>1.6921528615783998E-2</v>
      </c>
      <c r="I137">
        <f t="shared" si="15"/>
        <v>9.0456766432134295E-4</v>
      </c>
      <c r="J137">
        <f t="shared" si="16"/>
        <v>0</v>
      </c>
      <c r="K137">
        <f t="shared" si="17"/>
        <v>0</v>
      </c>
    </row>
    <row r="138" spans="1:11" x14ac:dyDescent="0.3">
      <c r="A138" s="1">
        <v>37012</v>
      </c>
      <c r="B138">
        <v>21.444551000000001</v>
      </c>
      <c r="C138" s="1">
        <v>37012</v>
      </c>
      <c r="D138">
        <v>1255.8199460000001</v>
      </c>
      <c r="E138">
        <v>4.3843808093919634E-3</v>
      </c>
      <c r="F138">
        <f t="shared" si="12"/>
        <v>5.5217943243484058E-2</v>
      </c>
      <c r="G138">
        <f t="shared" si="13"/>
        <v>-2.5035389109833495E-2</v>
      </c>
      <c r="H138">
        <f t="shared" si="14"/>
        <v>5.0833562434092094E-2</v>
      </c>
      <c r="I138">
        <f t="shared" si="15"/>
        <v>-2.9419769919225458E-2</v>
      </c>
      <c r="J138">
        <f t="shared" si="16"/>
        <v>0</v>
      </c>
      <c r="K138">
        <f t="shared" si="17"/>
        <v>0</v>
      </c>
    </row>
    <row r="139" spans="1:11" x14ac:dyDescent="0.3">
      <c r="A139" s="1">
        <v>37043</v>
      </c>
      <c r="B139">
        <v>22.628675000000001</v>
      </c>
      <c r="C139" s="1">
        <v>37043</v>
      </c>
      <c r="D139">
        <v>1224.380005</v>
      </c>
      <c r="E139">
        <v>4.2969791189388928E-3</v>
      </c>
      <c r="F139">
        <f t="shared" si="12"/>
        <v>-9.3287079336284662E-2</v>
      </c>
      <c r="G139">
        <f t="shared" si="13"/>
        <v>-1.0740150072934163E-2</v>
      </c>
      <c r="H139">
        <f t="shared" si="14"/>
        <v>-9.7584058455223555E-2</v>
      </c>
      <c r="I139">
        <f t="shared" si="15"/>
        <v>-1.5037129191873055E-2</v>
      </c>
      <c r="J139">
        <f t="shared" si="16"/>
        <v>0</v>
      </c>
      <c r="K139">
        <f t="shared" si="17"/>
        <v>0</v>
      </c>
    </row>
    <row r="140" spans="1:11" x14ac:dyDescent="0.3">
      <c r="A140" s="1">
        <v>37073</v>
      </c>
      <c r="B140">
        <v>20.517712</v>
      </c>
      <c r="C140" s="1">
        <v>37073</v>
      </c>
      <c r="D140">
        <v>1211.2299800000001</v>
      </c>
      <c r="E140">
        <v>4.2651759303415915E-3</v>
      </c>
      <c r="F140">
        <f t="shared" si="12"/>
        <v>-0.13808820398687727</v>
      </c>
      <c r="G140">
        <f t="shared" si="13"/>
        <v>-6.4108406563714748E-2</v>
      </c>
      <c r="H140">
        <f t="shared" si="14"/>
        <v>-0.14235337991721886</v>
      </c>
      <c r="I140">
        <f t="shared" si="15"/>
        <v>-6.837358249405634E-2</v>
      </c>
      <c r="J140">
        <f t="shared" si="16"/>
        <v>0</v>
      </c>
      <c r="K140">
        <f t="shared" si="17"/>
        <v>0</v>
      </c>
    </row>
    <row r="141" spans="1:11" x14ac:dyDescent="0.3">
      <c r="A141" s="1">
        <v>37104</v>
      </c>
      <c r="B141">
        <v>17.684457999999999</v>
      </c>
      <c r="C141" s="1">
        <v>37104</v>
      </c>
      <c r="D141">
        <v>1133.579956</v>
      </c>
      <c r="E141">
        <v>4.0502141257032775E-3</v>
      </c>
      <c r="F141">
        <f t="shared" si="12"/>
        <v>-0.10306756361998759</v>
      </c>
      <c r="G141">
        <f t="shared" si="13"/>
        <v>-8.1723406019716172E-2</v>
      </c>
      <c r="H141">
        <f t="shared" si="14"/>
        <v>-0.10711777774569087</v>
      </c>
      <c r="I141">
        <f t="shared" si="15"/>
        <v>-8.5773620145419449E-2</v>
      </c>
      <c r="J141">
        <f t="shared" si="16"/>
        <v>0</v>
      </c>
      <c r="K141">
        <f t="shared" si="17"/>
        <v>0</v>
      </c>
    </row>
    <row r="142" spans="1:11" x14ac:dyDescent="0.3">
      <c r="A142" s="1">
        <v>37135</v>
      </c>
      <c r="B142">
        <v>15.861764000000001</v>
      </c>
      <c r="C142" s="1">
        <v>37135</v>
      </c>
      <c r="D142">
        <v>1040.9399410000001</v>
      </c>
      <c r="E142">
        <v>3.8587110455146068E-3</v>
      </c>
      <c r="F142">
        <f t="shared" si="12"/>
        <v>0.13640904000336906</v>
      </c>
      <c r="G142">
        <f t="shared" si="13"/>
        <v>1.809911144527776E-2</v>
      </c>
      <c r="H142">
        <f t="shared" si="14"/>
        <v>0.13255032895785446</v>
      </c>
      <c r="I142">
        <f t="shared" si="15"/>
        <v>1.4240400399763153E-2</v>
      </c>
      <c r="J142">
        <f t="shared" si="16"/>
        <v>0</v>
      </c>
      <c r="K142">
        <f t="shared" si="17"/>
        <v>0</v>
      </c>
    </row>
    <row r="143" spans="1:11" x14ac:dyDescent="0.3">
      <c r="A143" s="1">
        <v>37165</v>
      </c>
      <c r="B143">
        <v>18.025452000000001</v>
      </c>
      <c r="C143" s="1">
        <v>37165</v>
      </c>
      <c r="D143">
        <v>1059.780029</v>
      </c>
      <c r="E143">
        <v>3.7308187111868563E-3</v>
      </c>
      <c r="F143">
        <f t="shared" si="12"/>
        <v>0.10421258784523113</v>
      </c>
      <c r="G143">
        <f t="shared" si="13"/>
        <v>7.5175904263053539E-2</v>
      </c>
      <c r="H143">
        <f t="shared" si="14"/>
        <v>0.10048176913404427</v>
      </c>
      <c r="I143">
        <f t="shared" si="15"/>
        <v>7.1445085551866683E-2</v>
      </c>
      <c r="J143">
        <f t="shared" si="16"/>
        <v>0</v>
      </c>
      <c r="K143">
        <f t="shared" si="17"/>
        <v>0</v>
      </c>
    </row>
    <row r="144" spans="1:11" x14ac:dyDescent="0.3">
      <c r="A144" s="1">
        <v>37196</v>
      </c>
      <c r="B144">
        <v>19.903931</v>
      </c>
      <c r="C144" s="1">
        <v>37196</v>
      </c>
      <c r="D144">
        <v>1139.4499510000001</v>
      </c>
      <c r="E144">
        <v>3.7947872834442897E-3</v>
      </c>
      <c r="F144">
        <f t="shared" si="12"/>
        <v>3.1770809494868102E-2</v>
      </c>
      <c r="G144">
        <f t="shared" si="13"/>
        <v>7.5738341929156849E-3</v>
      </c>
      <c r="H144">
        <f t="shared" si="14"/>
        <v>2.7976022211423812E-2</v>
      </c>
      <c r="I144">
        <f t="shared" si="15"/>
        <v>3.7790469094713952E-3</v>
      </c>
      <c r="J144">
        <f t="shared" si="16"/>
        <v>0</v>
      </c>
      <c r="K144">
        <f t="shared" si="17"/>
        <v>0</v>
      </c>
    </row>
    <row r="145" spans="1:11" x14ac:dyDescent="0.3">
      <c r="A145" s="1">
        <v>37226</v>
      </c>
      <c r="B145">
        <v>20.536294999999999</v>
      </c>
      <c r="C145" s="1">
        <v>37226</v>
      </c>
      <c r="D145">
        <v>1148.079956</v>
      </c>
      <c r="E145">
        <v>4.1458152037889828E-3</v>
      </c>
      <c r="F145">
        <f t="shared" si="12"/>
        <v>-3.8339437566513368E-2</v>
      </c>
      <c r="G145">
        <f t="shared" si="13"/>
        <v>-1.5573832559794276E-2</v>
      </c>
      <c r="H145">
        <f t="shared" si="14"/>
        <v>-4.2485252770302351E-2</v>
      </c>
      <c r="I145">
        <f t="shared" si="15"/>
        <v>-1.9719647763583259E-2</v>
      </c>
      <c r="J145">
        <f t="shared" si="16"/>
        <v>0</v>
      </c>
      <c r="K145">
        <f t="shared" si="17"/>
        <v>0</v>
      </c>
    </row>
    <row r="146" spans="1:11" x14ac:dyDescent="0.3">
      <c r="A146" s="1">
        <v>37257</v>
      </c>
      <c r="B146">
        <v>19.748944999999999</v>
      </c>
      <c r="C146" s="1">
        <v>37257</v>
      </c>
      <c r="D146">
        <v>1130.1999510000001</v>
      </c>
      <c r="E146">
        <v>4.1059935884708576E-3</v>
      </c>
      <c r="F146">
        <f t="shared" si="12"/>
        <v>-8.428824932167267E-2</v>
      </c>
      <c r="G146">
        <f t="shared" si="13"/>
        <v>-2.0766211305560334E-2</v>
      </c>
      <c r="H146">
        <f t="shared" si="14"/>
        <v>-8.8394242910143528E-2</v>
      </c>
      <c r="I146">
        <f t="shared" si="15"/>
        <v>-2.4872204894031191E-2</v>
      </c>
      <c r="J146">
        <f t="shared" si="16"/>
        <v>0</v>
      </c>
      <c r="K146">
        <f t="shared" si="17"/>
        <v>0</v>
      </c>
    </row>
    <row r="147" spans="1:11" x14ac:dyDescent="0.3">
      <c r="A147" s="1">
        <v>37288</v>
      </c>
      <c r="B147">
        <v>18.084340999999998</v>
      </c>
      <c r="C147" s="1">
        <v>37288</v>
      </c>
      <c r="D147">
        <v>1106.7299800000001</v>
      </c>
      <c r="E147">
        <v>4.002376012389508E-3</v>
      </c>
      <c r="F147">
        <f t="shared" si="12"/>
        <v>3.376821969902033E-2</v>
      </c>
      <c r="G147">
        <f t="shared" si="13"/>
        <v>3.6738893618839086E-2</v>
      </c>
      <c r="H147">
        <f t="shared" si="14"/>
        <v>2.9765843686630822E-2</v>
      </c>
      <c r="I147">
        <f t="shared" si="15"/>
        <v>3.2736517606449578E-2</v>
      </c>
      <c r="J147">
        <f t="shared" si="16"/>
        <v>0</v>
      </c>
      <c r="K147">
        <f t="shared" si="17"/>
        <v>0</v>
      </c>
    </row>
    <row r="148" spans="1:11" x14ac:dyDescent="0.3">
      <c r="A148" s="1">
        <v>37316</v>
      </c>
      <c r="B148">
        <v>18.695017</v>
      </c>
      <c r="C148" s="1">
        <v>37316</v>
      </c>
      <c r="D148">
        <v>1147.3900149999999</v>
      </c>
      <c r="E148">
        <v>4.2969791189388928E-3</v>
      </c>
      <c r="F148">
        <f t="shared" si="12"/>
        <v>-0.13347776041070192</v>
      </c>
      <c r="G148">
        <f t="shared" si="13"/>
        <v>-6.1417626159139926E-2</v>
      </c>
      <c r="H148">
        <f t="shared" si="14"/>
        <v>-0.13777473952964081</v>
      </c>
      <c r="I148">
        <f t="shared" si="15"/>
        <v>-6.5714605278078819E-2</v>
      </c>
      <c r="J148">
        <f t="shared" si="16"/>
        <v>0</v>
      </c>
      <c r="K148">
        <f t="shared" si="17"/>
        <v>0</v>
      </c>
    </row>
    <row r="149" spans="1:11" x14ac:dyDescent="0.3">
      <c r="A149" s="1">
        <v>37347</v>
      </c>
      <c r="B149">
        <v>16.199648</v>
      </c>
      <c r="C149" s="1">
        <v>37347</v>
      </c>
      <c r="D149">
        <v>1076.920044</v>
      </c>
      <c r="E149">
        <v>4.2413162664582948E-3</v>
      </c>
      <c r="F149">
        <f t="shared" si="12"/>
        <v>-2.5832166229784681E-2</v>
      </c>
      <c r="G149">
        <f t="shared" si="13"/>
        <v>-9.0814810760454501E-3</v>
      </c>
      <c r="H149">
        <f t="shared" si="14"/>
        <v>-3.0073482496242976E-2</v>
      </c>
      <c r="I149">
        <f t="shared" si="15"/>
        <v>-1.3322797342503745E-2</v>
      </c>
      <c r="J149">
        <f t="shared" si="16"/>
        <v>0</v>
      </c>
      <c r="K149">
        <f t="shared" si="17"/>
        <v>0</v>
      </c>
    </row>
    <row r="150" spans="1:11" x14ac:dyDescent="0.3">
      <c r="A150" s="1">
        <v>37377</v>
      </c>
      <c r="B150">
        <v>15.781176</v>
      </c>
      <c r="C150" s="1">
        <v>37377</v>
      </c>
      <c r="D150">
        <v>1067.1400149999999</v>
      </c>
      <c r="E150">
        <v>4.2015362976310922E-3</v>
      </c>
      <c r="F150">
        <f t="shared" si="12"/>
        <v>7.4444958981510601E-2</v>
      </c>
      <c r="G150">
        <f t="shared" si="13"/>
        <v>-7.245535441757367E-2</v>
      </c>
      <c r="H150">
        <f t="shared" si="14"/>
        <v>7.0243422683879508E-2</v>
      </c>
      <c r="I150">
        <f t="shared" si="15"/>
        <v>-7.6656890715204762E-2</v>
      </c>
      <c r="J150">
        <f t="shared" si="16"/>
        <v>0</v>
      </c>
      <c r="K150">
        <f t="shared" si="17"/>
        <v>0</v>
      </c>
    </row>
    <row r="151" spans="1:11" x14ac:dyDescent="0.3">
      <c r="A151" s="1">
        <v>37408</v>
      </c>
      <c r="B151">
        <v>16.956005000000001</v>
      </c>
      <c r="C151" s="1">
        <v>37408</v>
      </c>
      <c r="D151">
        <v>989.82000700000003</v>
      </c>
      <c r="E151">
        <v>4.0183248361511659E-3</v>
      </c>
      <c r="F151">
        <f t="shared" si="12"/>
        <v>-0.12285169767288939</v>
      </c>
      <c r="G151">
        <f t="shared" si="13"/>
        <v>-7.9004274966125276E-2</v>
      </c>
      <c r="H151">
        <f t="shared" si="14"/>
        <v>-0.12687002250904056</v>
      </c>
      <c r="I151">
        <f t="shared" si="15"/>
        <v>-8.3022599802276442E-2</v>
      </c>
      <c r="J151">
        <f t="shared" si="16"/>
        <v>0</v>
      </c>
      <c r="K151">
        <f t="shared" si="17"/>
        <v>0</v>
      </c>
    </row>
    <row r="152" spans="1:11" x14ac:dyDescent="0.3">
      <c r="A152" s="1">
        <v>37438</v>
      </c>
      <c r="B152">
        <v>14.872930999999999</v>
      </c>
      <c r="C152" s="1">
        <v>37438</v>
      </c>
      <c r="D152">
        <v>911.61999500000002</v>
      </c>
      <c r="E152">
        <v>3.7947872834442897E-3</v>
      </c>
      <c r="F152">
        <f t="shared" si="12"/>
        <v>2.2926483018041344E-2</v>
      </c>
      <c r="G152">
        <f t="shared" si="13"/>
        <v>4.8814330800193151E-3</v>
      </c>
      <c r="H152">
        <f t="shared" si="14"/>
        <v>1.9131695734597054E-2</v>
      </c>
      <c r="I152">
        <f t="shared" si="15"/>
        <v>1.0866457965750254E-3</v>
      </c>
      <c r="J152">
        <f t="shared" si="16"/>
        <v>0</v>
      </c>
      <c r="K152">
        <f t="shared" si="17"/>
        <v>0</v>
      </c>
    </row>
    <row r="153" spans="1:11" x14ac:dyDescent="0.3">
      <c r="A153" s="1">
        <v>37469</v>
      </c>
      <c r="B153">
        <v>15.213915</v>
      </c>
      <c r="C153" s="1">
        <v>37469</v>
      </c>
      <c r="D153">
        <v>916.07000700000003</v>
      </c>
      <c r="E153">
        <v>3.4825160297176083E-3</v>
      </c>
      <c r="F153">
        <f t="shared" si="12"/>
        <v>-0.10880197503403954</v>
      </c>
      <c r="G153">
        <f t="shared" si="13"/>
        <v>-0.11002431826151904</v>
      </c>
      <c r="H153">
        <f t="shared" si="14"/>
        <v>-0.11228449106375715</v>
      </c>
      <c r="I153">
        <f t="shared" si="15"/>
        <v>-0.11350683429123665</v>
      </c>
      <c r="J153">
        <f t="shared" si="16"/>
        <v>0</v>
      </c>
      <c r="K153">
        <f t="shared" si="17"/>
        <v>0</v>
      </c>
    </row>
    <row r="154" spans="1:11" x14ac:dyDescent="0.3">
      <c r="A154" s="1">
        <v>37500</v>
      </c>
      <c r="B154">
        <v>13.558611000000001</v>
      </c>
      <c r="C154" s="1">
        <v>37500</v>
      </c>
      <c r="D154">
        <v>815.28002900000001</v>
      </c>
      <c r="E154">
        <v>3.1691721789193217E-3</v>
      </c>
      <c r="F154">
        <f t="shared" si="12"/>
        <v>0.22245029376534209</v>
      </c>
      <c r="G154">
        <f t="shared" si="13"/>
        <v>8.6448801016809851E-2</v>
      </c>
      <c r="H154">
        <f t="shared" si="14"/>
        <v>0.21928112158642277</v>
      </c>
      <c r="I154">
        <f t="shared" si="15"/>
        <v>8.3279628837890529E-2</v>
      </c>
      <c r="J154">
        <f t="shared" si="16"/>
        <v>0</v>
      </c>
      <c r="K154">
        <f t="shared" si="17"/>
        <v>0</v>
      </c>
    </row>
    <row r="155" spans="1:11" x14ac:dyDescent="0.3">
      <c r="A155" s="1">
        <v>37530</v>
      </c>
      <c r="B155">
        <v>16.574728</v>
      </c>
      <c r="C155" s="1">
        <v>37530</v>
      </c>
      <c r="D155">
        <v>885.76000999999997</v>
      </c>
      <c r="E155">
        <v>3.2254927088173346E-3</v>
      </c>
      <c r="F155">
        <f t="shared" si="12"/>
        <v>7.8736314707547495E-2</v>
      </c>
      <c r="G155">
        <f t="shared" si="13"/>
        <v>5.7069620923617892E-2</v>
      </c>
      <c r="H155">
        <f t="shared" si="14"/>
        <v>7.551082199873016E-2</v>
      </c>
      <c r="I155">
        <f t="shared" si="15"/>
        <v>5.3844128214800557E-2</v>
      </c>
      <c r="J155">
        <f t="shared" si="16"/>
        <v>0</v>
      </c>
      <c r="K155">
        <f t="shared" si="17"/>
        <v>0</v>
      </c>
    </row>
    <row r="156" spans="1:11" x14ac:dyDescent="0.3">
      <c r="A156" s="1">
        <v>37561</v>
      </c>
      <c r="B156">
        <v>17.879760999999998</v>
      </c>
      <c r="C156" s="1">
        <v>37561</v>
      </c>
      <c r="D156">
        <v>936.30999799999995</v>
      </c>
      <c r="E156">
        <v>3.3139261897998651E-3</v>
      </c>
      <c r="F156">
        <f t="shared" si="12"/>
        <v>-0.10367571468097347</v>
      </c>
      <c r="G156">
        <f t="shared" si="13"/>
        <v>-6.0332572674290597E-2</v>
      </c>
      <c r="H156">
        <f t="shared" si="14"/>
        <v>-0.10698964087077334</v>
      </c>
      <c r="I156">
        <f t="shared" si="15"/>
        <v>-6.3646498864090462E-2</v>
      </c>
      <c r="J156">
        <f t="shared" si="16"/>
        <v>0</v>
      </c>
      <c r="K156">
        <f t="shared" si="17"/>
        <v>0</v>
      </c>
    </row>
    <row r="157" spans="1:11" x14ac:dyDescent="0.3">
      <c r="A157" s="1">
        <v>37591</v>
      </c>
      <c r="B157">
        <v>16.026064000000002</v>
      </c>
      <c r="C157" s="1">
        <v>37591</v>
      </c>
      <c r="D157">
        <v>879.82000700000003</v>
      </c>
      <c r="E157">
        <v>3.2978537514263273E-3</v>
      </c>
      <c r="F157">
        <f t="shared" si="12"/>
        <v>-8.2011653017235009E-2</v>
      </c>
      <c r="G157">
        <f t="shared" si="13"/>
        <v>-2.7414692559952214E-2</v>
      </c>
      <c r="H157">
        <f t="shared" si="14"/>
        <v>-8.5309506768661336E-2</v>
      </c>
      <c r="I157">
        <f t="shared" si="15"/>
        <v>-3.0712546311378541E-2</v>
      </c>
      <c r="J157">
        <f t="shared" si="16"/>
        <v>0</v>
      </c>
      <c r="K157">
        <f t="shared" si="17"/>
        <v>0</v>
      </c>
    </row>
    <row r="158" spans="1:11" x14ac:dyDescent="0.3">
      <c r="A158" s="1">
        <v>37622</v>
      </c>
      <c r="B158">
        <v>14.711740000000001</v>
      </c>
      <c r="C158" s="1">
        <v>37622</v>
      </c>
      <c r="D158">
        <v>855.70001200000002</v>
      </c>
      <c r="E158">
        <v>3.3139261897998651E-3</v>
      </c>
      <c r="F158">
        <f t="shared" si="12"/>
        <v>-1.2642964054558892E-3</v>
      </c>
      <c r="G158">
        <f t="shared" si="13"/>
        <v>-1.7003608502929368E-2</v>
      </c>
      <c r="H158">
        <f t="shared" si="14"/>
        <v>-4.5782225952557543E-3</v>
      </c>
      <c r="I158">
        <f t="shared" si="15"/>
        <v>-2.0317534692729233E-2</v>
      </c>
      <c r="J158">
        <f t="shared" si="16"/>
        <v>0</v>
      </c>
      <c r="K158">
        <f t="shared" si="17"/>
        <v>0</v>
      </c>
    </row>
    <row r="159" spans="1:11" x14ac:dyDescent="0.3">
      <c r="A159" s="1">
        <v>37653</v>
      </c>
      <c r="B159">
        <v>14.69314</v>
      </c>
      <c r="C159" s="1">
        <v>37653</v>
      </c>
      <c r="D159">
        <v>841.15002400000003</v>
      </c>
      <c r="E159">
        <v>3.1933138078821255E-3</v>
      </c>
      <c r="F159">
        <f t="shared" si="12"/>
        <v>2.4803615837050375E-2</v>
      </c>
      <c r="G159">
        <f t="shared" si="13"/>
        <v>8.3575685661514409E-3</v>
      </c>
      <c r="H159">
        <f t="shared" si="14"/>
        <v>2.1610302029168249E-2</v>
      </c>
      <c r="I159">
        <f t="shared" si="15"/>
        <v>5.1642547582693155E-3</v>
      </c>
      <c r="J159">
        <f t="shared" si="16"/>
        <v>0</v>
      </c>
      <c r="K159">
        <f t="shared" si="17"/>
        <v>0</v>
      </c>
    </row>
    <row r="160" spans="1:11" x14ac:dyDescent="0.3">
      <c r="A160" s="1">
        <v>37681</v>
      </c>
      <c r="B160">
        <v>15.057582999999999</v>
      </c>
      <c r="C160" s="1">
        <v>37681</v>
      </c>
      <c r="D160">
        <v>848.17999299999997</v>
      </c>
      <c r="E160">
        <v>3.1208697401348129E-3</v>
      </c>
      <c r="F160">
        <f t="shared" si="12"/>
        <v>5.6175483143609428E-2</v>
      </c>
      <c r="G160">
        <f t="shared" si="13"/>
        <v>8.1044106872726118E-2</v>
      </c>
      <c r="H160">
        <f t="shared" si="14"/>
        <v>5.3054613403474615E-2</v>
      </c>
      <c r="I160">
        <f t="shared" si="15"/>
        <v>7.7923237132591305E-2</v>
      </c>
      <c r="J160">
        <f t="shared" si="16"/>
        <v>0</v>
      </c>
      <c r="K160">
        <f t="shared" si="17"/>
        <v>0</v>
      </c>
    </row>
    <row r="161" spans="1:11" x14ac:dyDescent="0.3">
      <c r="A161" s="1">
        <v>37712</v>
      </c>
      <c r="B161">
        <v>15.903449999999999</v>
      </c>
      <c r="C161" s="1">
        <v>37712</v>
      </c>
      <c r="D161">
        <v>916.919983</v>
      </c>
      <c r="E161">
        <v>3.2415779026344627E-3</v>
      </c>
      <c r="F161">
        <f t="shared" si="12"/>
        <v>-3.7544432182954002E-2</v>
      </c>
      <c r="G161">
        <f t="shared" si="13"/>
        <v>5.0898709664177977E-2</v>
      </c>
      <c r="H161">
        <f t="shared" si="14"/>
        <v>-4.0786010085588464E-2</v>
      </c>
      <c r="I161">
        <f t="shared" si="15"/>
        <v>4.7657131761543514E-2</v>
      </c>
      <c r="J161">
        <f t="shared" si="16"/>
        <v>0</v>
      </c>
      <c r="K161">
        <f t="shared" si="17"/>
        <v>0</v>
      </c>
    </row>
    <row r="162" spans="1:11" x14ac:dyDescent="0.3">
      <c r="A162" s="1">
        <v>37742</v>
      </c>
      <c r="B162">
        <v>15.306364</v>
      </c>
      <c r="C162" s="1">
        <v>37742</v>
      </c>
      <c r="D162">
        <v>963.59002699999996</v>
      </c>
      <c r="E162">
        <v>2.9274037199951142E-3</v>
      </c>
      <c r="F162">
        <f t="shared" si="12"/>
        <v>4.1853244833325531E-2</v>
      </c>
      <c r="G162">
        <f t="shared" si="13"/>
        <v>1.1322214525161467E-2</v>
      </c>
      <c r="H162">
        <f t="shared" si="14"/>
        <v>3.8925841113330417E-2</v>
      </c>
      <c r="I162">
        <f t="shared" si="15"/>
        <v>8.3948108051663528E-3</v>
      </c>
      <c r="J162">
        <f t="shared" si="16"/>
        <v>0</v>
      </c>
      <c r="K162">
        <f t="shared" si="17"/>
        <v>0</v>
      </c>
    </row>
    <row r="163" spans="1:11" x14ac:dyDescent="0.3">
      <c r="A163" s="1">
        <v>37773</v>
      </c>
      <c r="B163">
        <v>15.946985</v>
      </c>
      <c r="C163" s="1">
        <v>37773</v>
      </c>
      <c r="D163">
        <v>974.5</v>
      </c>
      <c r="E163">
        <v>2.7335263083605454E-3</v>
      </c>
      <c r="F163">
        <f t="shared" si="12"/>
        <v>3.0031193984317417E-2</v>
      </c>
      <c r="G163">
        <f t="shared" si="13"/>
        <v>1.6223702411493068E-2</v>
      </c>
      <c r="H163">
        <f t="shared" si="14"/>
        <v>2.7297667675956871E-2</v>
      </c>
      <c r="I163">
        <f t="shared" si="15"/>
        <v>1.3490176103132523E-2</v>
      </c>
      <c r="J163">
        <f t="shared" si="16"/>
        <v>0</v>
      </c>
      <c r="K163">
        <f t="shared" si="17"/>
        <v>0</v>
      </c>
    </row>
    <row r="164" spans="1:11" x14ac:dyDescent="0.3">
      <c r="A164" s="1">
        <v>37803</v>
      </c>
      <c r="B164">
        <v>16.425892000000001</v>
      </c>
      <c r="C164" s="1">
        <v>37803</v>
      </c>
      <c r="D164">
        <v>990.30999799999995</v>
      </c>
      <c r="E164">
        <v>3.2576602600797866E-3</v>
      </c>
      <c r="F164">
        <f t="shared" si="12"/>
        <v>4.1649488502664145E-3</v>
      </c>
      <c r="G164">
        <f t="shared" si="13"/>
        <v>1.7873203376464364E-2</v>
      </c>
      <c r="H164">
        <f t="shared" si="14"/>
        <v>9.0728859018662789E-4</v>
      </c>
      <c r="I164">
        <f t="shared" si="15"/>
        <v>1.4615543116384577E-2</v>
      </c>
      <c r="J164">
        <f t="shared" si="16"/>
        <v>0</v>
      </c>
      <c r="K164">
        <f t="shared" si="17"/>
        <v>0</v>
      </c>
    </row>
    <row r="165" spans="1:11" x14ac:dyDescent="0.3">
      <c r="A165" s="1">
        <v>37834</v>
      </c>
      <c r="B165">
        <v>16.494305000000001</v>
      </c>
      <c r="C165" s="1">
        <v>37834</v>
      </c>
      <c r="D165">
        <v>1008.01001</v>
      </c>
      <c r="E165">
        <v>3.6347816898771867E-3</v>
      </c>
      <c r="F165">
        <f t="shared" si="12"/>
        <v>4.82655073978564E-2</v>
      </c>
      <c r="G165">
        <f t="shared" si="13"/>
        <v>-1.194436452074521E-2</v>
      </c>
      <c r="H165">
        <f t="shared" si="14"/>
        <v>4.4630725707979213E-2</v>
      </c>
      <c r="I165">
        <f t="shared" si="15"/>
        <v>-1.5579146210622397E-2</v>
      </c>
      <c r="J165">
        <f t="shared" si="16"/>
        <v>0</v>
      </c>
      <c r="K165">
        <f t="shared" si="17"/>
        <v>0</v>
      </c>
    </row>
    <row r="166" spans="1:11" x14ac:dyDescent="0.3">
      <c r="A166" s="1">
        <v>37865</v>
      </c>
      <c r="B166">
        <v>17.290410999999999</v>
      </c>
      <c r="C166" s="1">
        <v>37865</v>
      </c>
      <c r="D166">
        <v>995.96997099999999</v>
      </c>
      <c r="E166">
        <v>3.4905363507502507E-3</v>
      </c>
      <c r="F166">
        <f t="shared" si="12"/>
        <v>-5.9711940913376726E-2</v>
      </c>
      <c r="G166">
        <f t="shared" si="13"/>
        <v>5.496148638401066E-2</v>
      </c>
      <c r="H166">
        <f t="shared" si="14"/>
        <v>-6.3202477264126977E-2</v>
      </c>
      <c r="I166">
        <f t="shared" si="15"/>
        <v>5.147095003326041E-2</v>
      </c>
      <c r="J166">
        <f t="shared" si="16"/>
        <v>0</v>
      </c>
      <c r="K166">
        <f t="shared" si="17"/>
        <v>0</v>
      </c>
    </row>
    <row r="167" spans="1:11" x14ac:dyDescent="0.3">
      <c r="A167" s="1">
        <v>37895</v>
      </c>
      <c r="B167">
        <v>16.257967000000001</v>
      </c>
      <c r="C167" s="1">
        <v>37895</v>
      </c>
      <c r="D167">
        <v>1050.709961</v>
      </c>
      <c r="E167">
        <v>3.5065748777713956E-3</v>
      </c>
      <c r="F167">
        <f t="shared" si="12"/>
        <v>-1.0932978274589944E-2</v>
      </c>
      <c r="G167">
        <f t="shared" si="13"/>
        <v>7.1285038478854368E-3</v>
      </c>
      <c r="H167">
        <f t="shared" si="14"/>
        <v>-1.443955315236134E-2</v>
      </c>
      <c r="I167">
        <f t="shared" si="15"/>
        <v>3.6219289701140411E-3</v>
      </c>
      <c r="J167">
        <f t="shared" si="16"/>
        <v>0</v>
      </c>
      <c r="K167">
        <f t="shared" si="17"/>
        <v>0</v>
      </c>
    </row>
    <row r="168" spans="1:11" x14ac:dyDescent="0.3">
      <c r="A168" s="1">
        <v>37926</v>
      </c>
      <c r="B168">
        <v>16.080219</v>
      </c>
      <c r="C168" s="1">
        <v>37926</v>
      </c>
      <c r="D168">
        <v>1058.1999510000001</v>
      </c>
      <c r="E168">
        <v>3.5145930840192463E-3</v>
      </c>
      <c r="F168">
        <f t="shared" si="12"/>
        <v>6.4567031083345272E-2</v>
      </c>
      <c r="G168">
        <f t="shared" si="13"/>
        <v>5.0765541001239312E-2</v>
      </c>
      <c r="H168">
        <f t="shared" si="14"/>
        <v>6.1052437999326026E-2</v>
      </c>
      <c r="I168">
        <f t="shared" si="15"/>
        <v>4.7250947917220065E-2</v>
      </c>
      <c r="J168">
        <f t="shared" si="16"/>
        <v>0</v>
      </c>
      <c r="K168">
        <f t="shared" si="17"/>
        <v>0</v>
      </c>
    </row>
    <row r="169" spans="1:11" x14ac:dyDescent="0.3">
      <c r="A169" s="1">
        <v>37956</v>
      </c>
      <c r="B169">
        <v>17.118471</v>
      </c>
      <c r="C169" s="1">
        <v>37956</v>
      </c>
      <c r="D169">
        <v>1111.920044</v>
      </c>
      <c r="E169">
        <v>3.4905363507502507E-3</v>
      </c>
      <c r="F169">
        <f t="shared" si="12"/>
        <v>1.0230177683509201E-2</v>
      </c>
      <c r="G169">
        <f t="shared" si="13"/>
        <v>1.7276387006114557E-2</v>
      </c>
      <c r="H169">
        <f t="shared" si="14"/>
        <v>6.7396413327589499E-3</v>
      </c>
      <c r="I169">
        <f t="shared" si="15"/>
        <v>1.3785850655364307E-2</v>
      </c>
      <c r="J169">
        <f t="shared" si="16"/>
        <v>0</v>
      </c>
      <c r="K169">
        <f t="shared" si="17"/>
        <v>0</v>
      </c>
    </row>
    <row r="170" spans="1:11" x14ac:dyDescent="0.3">
      <c r="A170" s="1">
        <v>37987</v>
      </c>
      <c r="B170">
        <v>17.293596000000001</v>
      </c>
      <c r="C170" s="1">
        <v>37987</v>
      </c>
      <c r="D170">
        <v>1131.130005</v>
      </c>
      <c r="E170">
        <v>3.3942459274463044E-3</v>
      </c>
      <c r="F170">
        <f t="shared" si="12"/>
        <v>-4.0506092544315364E-2</v>
      </c>
      <c r="G170">
        <f t="shared" si="13"/>
        <v>1.2208973273589496E-2</v>
      </c>
      <c r="H170">
        <f t="shared" si="14"/>
        <v>-4.3900338471761668E-2</v>
      </c>
      <c r="I170">
        <f t="shared" si="15"/>
        <v>8.8147273461431919E-3</v>
      </c>
      <c r="J170">
        <f t="shared" si="16"/>
        <v>0</v>
      </c>
      <c r="K170">
        <f t="shared" si="17"/>
        <v>0</v>
      </c>
    </row>
    <row r="171" spans="1:11" x14ac:dyDescent="0.3">
      <c r="A171" s="1">
        <v>38018</v>
      </c>
      <c r="B171">
        <v>16.5931</v>
      </c>
      <c r="C171" s="1">
        <v>38018</v>
      </c>
      <c r="D171">
        <v>1144.9399410000001</v>
      </c>
      <c r="E171">
        <v>3.3380295383023117E-3</v>
      </c>
      <c r="F171">
        <f t="shared" si="12"/>
        <v>-6.0309285184805717E-2</v>
      </c>
      <c r="G171">
        <f t="shared" si="13"/>
        <v>-1.6358919214261247E-2</v>
      </c>
      <c r="H171">
        <f t="shared" si="14"/>
        <v>-6.3647314723108028E-2</v>
      </c>
      <c r="I171">
        <f t="shared" si="15"/>
        <v>-1.9696948752563559E-2</v>
      </c>
      <c r="J171">
        <f t="shared" si="16"/>
        <v>0</v>
      </c>
      <c r="K171">
        <f t="shared" si="17"/>
        <v>0</v>
      </c>
    </row>
    <row r="172" spans="1:11" x14ac:dyDescent="0.3">
      <c r="A172" s="1">
        <v>38047</v>
      </c>
      <c r="B172">
        <v>15.592382000000001</v>
      </c>
      <c r="C172" s="1">
        <v>38047</v>
      </c>
      <c r="D172">
        <v>1126.209961</v>
      </c>
      <c r="E172">
        <v>3.1369733958956925E-3</v>
      </c>
      <c r="F172">
        <f t="shared" si="12"/>
        <v>4.8134659604927466E-2</v>
      </c>
      <c r="G172">
        <f t="shared" si="13"/>
        <v>-1.6790751862298725E-2</v>
      </c>
      <c r="H172">
        <f t="shared" si="14"/>
        <v>4.4997686209031773E-2</v>
      </c>
      <c r="I172">
        <f t="shared" si="15"/>
        <v>-1.9927725258194418E-2</v>
      </c>
      <c r="J172">
        <f t="shared" si="16"/>
        <v>0</v>
      </c>
      <c r="K172">
        <f t="shared" si="17"/>
        <v>0</v>
      </c>
    </row>
    <row r="173" spans="1:11" x14ac:dyDescent="0.3">
      <c r="A173" s="1">
        <v>38078</v>
      </c>
      <c r="B173">
        <v>16.342915999999999</v>
      </c>
      <c r="C173" s="1">
        <v>38078</v>
      </c>
      <c r="D173">
        <v>1107.3000489999999</v>
      </c>
      <c r="E173">
        <v>3.5546735478100278E-3</v>
      </c>
      <c r="F173">
        <f t="shared" si="12"/>
        <v>3.8269792245155809E-3</v>
      </c>
      <c r="G173">
        <f t="shared" si="13"/>
        <v>1.2083450201310297E-2</v>
      </c>
      <c r="H173">
        <f t="shared" si="14"/>
        <v>2.7230567670555317E-4</v>
      </c>
      <c r="I173">
        <f t="shared" si="15"/>
        <v>8.5287766535002696E-3</v>
      </c>
      <c r="J173">
        <f t="shared" si="16"/>
        <v>0</v>
      </c>
      <c r="K173">
        <f t="shared" si="17"/>
        <v>0</v>
      </c>
    </row>
    <row r="174" spans="1:11" x14ac:dyDescent="0.3">
      <c r="A174" s="1">
        <v>38108</v>
      </c>
      <c r="B174">
        <v>16.405460000000001</v>
      </c>
      <c r="C174" s="1">
        <v>38108</v>
      </c>
      <c r="D174">
        <v>1120.6800539999999</v>
      </c>
      <c r="E174">
        <v>3.8507230235700352E-3</v>
      </c>
      <c r="F174">
        <f t="shared" si="12"/>
        <v>8.8829389727566044E-2</v>
      </c>
      <c r="G174">
        <f t="shared" si="13"/>
        <v>1.7988998669195677E-2</v>
      </c>
      <c r="H174">
        <f t="shared" si="14"/>
        <v>8.4978666703996009E-2</v>
      </c>
      <c r="I174">
        <f t="shared" si="15"/>
        <v>1.4138275645625642E-2</v>
      </c>
      <c r="J174">
        <f t="shared" si="16"/>
        <v>0</v>
      </c>
      <c r="K174">
        <f t="shared" si="17"/>
        <v>0</v>
      </c>
    </row>
    <row r="175" spans="1:11" x14ac:dyDescent="0.3">
      <c r="A175" s="1">
        <v>38139</v>
      </c>
      <c r="B175">
        <v>17.862746999999999</v>
      </c>
      <c r="C175" s="1">
        <v>38139</v>
      </c>
      <c r="D175">
        <v>1140.839966</v>
      </c>
      <c r="E175">
        <v>3.8587110455146068E-3</v>
      </c>
      <c r="F175">
        <f t="shared" si="12"/>
        <v>-2.4503510014444174E-3</v>
      </c>
      <c r="G175">
        <f t="shared" si="13"/>
        <v>-3.4290519411904974E-2</v>
      </c>
      <c r="H175">
        <f t="shared" si="14"/>
        <v>-6.3090620469590242E-3</v>
      </c>
      <c r="I175">
        <f t="shared" si="15"/>
        <v>-3.8149230457419581E-2</v>
      </c>
      <c r="J175">
        <f t="shared" si="16"/>
        <v>0</v>
      </c>
      <c r="K175">
        <f t="shared" si="17"/>
        <v>0</v>
      </c>
    </row>
    <row r="176" spans="1:11" x14ac:dyDescent="0.3">
      <c r="A176" s="1">
        <v>38169</v>
      </c>
      <c r="B176">
        <v>17.818977</v>
      </c>
      <c r="C176" s="1">
        <v>38169</v>
      </c>
      <c r="D176">
        <v>1101.719971</v>
      </c>
      <c r="E176">
        <v>3.6748094004368514E-3</v>
      </c>
      <c r="F176">
        <f t="shared" si="12"/>
        <v>-4.1769457359982165E-2</v>
      </c>
      <c r="G176">
        <f t="shared" si="13"/>
        <v>2.287349840552233E-3</v>
      </c>
      <c r="H176">
        <f t="shared" si="14"/>
        <v>-4.5444266760419016E-2</v>
      </c>
      <c r="I176">
        <f t="shared" si="15"/>
        <v>-1.3874595598846184E-3</v>
      </c>
      <c r="J176">
        <f t="shared" si="16"/>
        <v>0</v>
      </c>
      <c r="K176">
        <f t="shared" si="17"/>
        <v>0</v>
      </c>
    </row>
    <row r="177" spans="1:11" x14ac:dyDescent="0.3">
      <c r="A177" s="1">
        <v>38200</v>
      </c>
      <c r="B177">
        <v>17.074687999999998</v>
      </c>
      <c r="C177" s="1">
        <v>38200</v>
      </c>
      <c r="D177">
        <v>1104.23999</v>
      </c>
      <c r="E177">
        <v>3.4985559667248811E-3</v>
      </c>
      <c r="F177">
        <f t="shared" si="12"/>
        <v>1.5807960883384986E-2</v>
      </c>
      <c r="G177">
        <f t="shared" si="13"/>
        <v>9.3638756915515042E-3</v>
      </c>
      <c r="H177">
        <f t="shared" si="14"/>
        <v>1.2309404916660105E-2</v>
      </c>
      <c r="I177">
        <f t="shared" si="15"/>
        <v>5.8653197248266231E-3</v>
      </c>
      <c r="J177">
        <f t="shared" si="16"/>
        <v>0</v>
      </c>
      <c r="K177">
        <f t="shared" si="17"/>
        <v>0</v>
      </c>
    </row>
    <row r="178" spans="1:11" x14ac:dyDescent="0.3">
      <c r="A178" s="1">
        <v>38231</v>
      </c>
      <c r="B178">
        <v>17.344604</v>
      </c>
      <c r="C178" s="1">
        <v>38231</v>
      </c>
      <c r="D178">
        <v>1114.579956</v>
      </c>
      <c r="E178">
        <v>3.3781876370064801E-3</v>
      </c>
      <c r="F178">
        <f t="shared" si="12"/>
        <v>1.1574031900641879E-2</v>
      </c>
      <c r="G178">
        <f t="shared" si="13"/>
        <v>1.4014243586486952E-2</v>
      </c>
      <c r="H178">
        <f t="shared" si="14"/>
        <v>8.195844263635399E-3</v>
      </c>
      <c r="I178">
        <f t="shared" si="15"/>
        <v>1.0636055949480472E-2</v>
      </c>
      <c r="J178">
        <f t="shared" si="16"/>
        <v>0</v>
      </c>
      <c r="K178">
        <f t="shared" si="17"/>
        <v>0</v>
      </c>
    </row>
    <row r="179" spans="1:11" x14ac:dyDescent="0.3">
      <c r="A179" s="1">
        <v>38261</v>
      </c>
      <c r="B179">
        <v>17.545351</v>
      </c>
      <c r="C179" s="1">
        <v>38261</v>
      </c>
      <c r="D179">
        <v>1130.1999510000001</v>
      </c>
      <c r="E179">
        <v>3.3540948994528197E-3</v>
      </c>
      <c r="F179">
        <f t="shared" si="12"/>
        <v>-4.1473607453051176E-2</v>
      </c>
      <c r="G179">
        <f t="shared" si="13"/>
        <v>3.8594936198152352E-2</v>
      </c>
      <c r="H179">
        <f t="shared" si="14"/>
        <v>-4.4827702352503995E-2</v>
      </c>
      <c r="I179">
        <f t="shared" si="15"/>
        <v>3.5240841298699532E-2</v>
      </c>
      <c r="J179">
        <f t="shared" si="16"/>
        <v>0</v>
      </c>
      <c r="K179">
        <f t="shared" si="17"/>
        <v>0</v>
      </c>
    </row>
    <row r="180" spans="1:11" x14ac:dyDescent="0.3">
      <c r="A180" s="1">
        <v>38292</v>
      </c>
      <c r="B180">
        <v>16.817682000000001</v>
      </c>
      <c r="C180" s="1">
        <v>38292</v>
      </c>
      <c r="D180">
        <v>1173.8199460000001</v>
      </c>
      <c r="E180">
        <v>3.4263540299781514E-3</v>
      </c>
      <c r="F180">
        <f t="shared" si="12"/>
        <v>0.11079933607972836</v>
      </c>
      <c r="G180">
        <f t="shared" si="13"/>
        <v>3.24582131440454E-2</v>
      </c>
      <c r="H180">
        <f t="shared" si="14"/>
        <v>0.10737298204975021</v>
      </c>
      <c r="I180">
        <f t="shared" si="15"/>
        <v>2.9031859114067249E-2</v>
      </c>
      <c r="J180">
        <f t="shared" si="16"/>
        <v>0</v>
      </c>
      <c r="K180">
        <f t="shared" si="17"/>
        <v>0</v>
      </c>
    </row>
    <row r="181" spans="1:11" x14ac:dyDescent="0.3">
      <c r="A181" s="1">
        <v>38322</v>
      </c>
      <c r="B181">
        <v>18.681069999999998</v>
      </c>
      <c r="C181" s="1">
        <v>38322</v>
      </c>
      <c r="D181">
        <v>1211.920044</v>
      </c>
      <c r="E181">
        <v>3.4584508349766452E-3</v>
      </c>
      <c r="F181">
        <f t="shared" si="12"/>
        <v>-1.6467097441420608E-2</v>
      </c>
      <c r="G181">
        <f t="shared" si="13"/>
        <v>-2.5290467099494562E-2</v>
      </c>
      <c r="H181">
        <f t="shared" si="14"/>
        <v>-1.9925548276397254E-2</v>
      </c>
      <c r="I181">
        <f t="shared" si="15"/>
        <v>-2.8748917934471208E-2</v>
      </c>
      <c r="J181">
        <f t="shared" si="16"/>
        <v>0</v>
      </c>
      <c r="K181">
        <f t="shared" si="17"/>
        <v>0</v>
      </c>
    </row>
    <row r="182" spans="1:11" x14ac:dyDescent="0.3">
      <c r="A182" s="1">
        <v>38353</v>
      </c>
      <c r="B182">
        <v>18.373446999999999</v>
      </c>
      <c r="C182" s="1">
        <v>38353</v>
      </c>
      <c r="D182">
        <v>1181.2700199999999</v>
      </c>
      <c r="E182">
        <v>3.4504276924163246E-3</v>
      </c>
      <c r="F182">
        <f t="shared" si="12"/>
        <v>-4.2617751584664409E-2</v>
      </c>
      <c r="G182">
        <f t="shared" si="13"/>
        <v>1.8903346078316563E-2</v>
      </c>
      <c r="H182">
        <f t="shared" si="14"/>
        <v>-4.6068179277080734E-2</v>
      </c>
      <c r="I182">
        <f t="shared" si="15"/>
        <v>1.5452918385900238E-2</v>
      </c>
      <c r="J182">
        <f t="shared" si="16"/>
        <v>0</v>
      </c>
      <c r="K182">
        <f t="shared" si="17"/>
        <v>0</v>
      </c>
    </row>
    <row r="183" spans="1:11" x14ac:dyDescent="0.3">
      <c r="A183" s="1">
        <v>38384</v>
      </c>
      <c r="B183">
        <v>17.590412000000001</v>
      </c>
      <c r="C183" s="1">
        <v>38384</v>
      </c>
      <c r="D183">
        <v>1203.599976</v>
      </c>
      <c r="E183">
        <v>3.4103013914235092E-3</v>
      </c>
      <c r="F183">
        <f t="shared" si="12"/>
        <v>-3.6384707760113932E-2</v>
      </c>
      <c r="G183">
        <f t="shared" si="13"/>
        <v>-1.9117655748441043E-2</v>
      </c>
      <c r="H183">
        <f t="shared" si="14"/>
        <v>-3.9795009151537442E-2</v>
      </c>
      <c r="I183">
        <f t="shared" si="15"/>
        <v>-2.2527957139864552E-2</v>
      </c>
      <c r="J183">
        <f t="shared" si="16"/>
        <v>0</v>
      </c>
      <c r="K183">
        <f t="shared" si="17"/>
        <v>0</v>
      </c>
    </row>
    <row r="184" spans="1:11" x14ac:dyDescent="0.3">
      <c r="A184" s="1">
        <v>38412</v>
      </c>
      <c r="B184">
        <v>16.950389999999999</v>
      </c>
      <c r="C184" s="1">
        <v>38412</v>
      </c>
      <c r="D184">
        <v>1180.589966</v>
      </c>
      <c r="E184">
        <v>3.6748094004368514E-3</v>
      </c>
      <c r="F184">
        <f t="shared" si="12"/>
        <v>4.6752257617671322E-2</v>
      </c>
      <c r="G184">
        <f t="shared" si="13"/>
        <v>-2.0108581881679299E-2</v>
      </c>
      <c r="H184">
        <f t="shared" si="14"/>
        <v>4.3077448217234471E-2</v>
      </c>
      <c r="I184">
        <f t="shared" si="15"/>
        <v>-2.3783391282116151E-2</v>
      </c>
      <c r="J184">
        <f t="shared" si="16"/>
        <v>0</v>
      </c>
      <c r="K184">
        <f t="shared" si="17"/>
        <v>0</v>
      </c>
    </row>
    <row r="185" spans="1:11" x14ac:dyDescent="0.3">
      <c r="A185" s="1">
        <v>38443</v>
      </c>
      <c r="B185">
        <v>17.742858999999999</v>
      </c>
      <c r="C185" s="1">
        <v>38443</v>
      </c>
      <c r="D185">
        <v>1156.849976</v>
      </c>
      <c r="E185">
        <v>3.5466588636137164E-3</v>
      </c>
      <c r="F185">
        <f t="shared" si="12"/>
        <v>1.9762711296978708E-2</v>
      </c>
      <c r="G185">
        <f t="shared" si="13"/>
        <v>2.9952046262565757E-2</v>
      </c>
      <c r="H185">
        <f t="shared" si="14"/>
        <v>1.6216052433364991E-2</v>
      </c>
      <c r="I185">
        <f t="shared" si="15"/>
        <v>2.640538739895204E-2</v>
      </c>
      <c r="J185">
        <f t="shared" si="16"/>
        <v>0</v>
      </c>
      <c r="K185">
        <f t="shared" si="17"/>
        <v>0</v>
      </c>
    </row>
    <row r="186" spans="1:11" x14ac:dyDescent="0.3">
      <c r="A186" s="1">
        <v>38473</v>
      </c>
      <c r="B186">
        <v>18.093506000000001</v>
      </c>
      <c r="C186" s="1">
        <v>38473</v>
      </c>
      <c r="D186">
        <v>1191.5</v>
      </c>
      <c r="E186">
        <v>3.3862171355991677E-3</v>
      </c>
      <c r="F186">
        <f t="shared" si="12"/>
        <v>-3.4154740380333282E-2</v>
      </c>
      <c r="G186">
        <f t="shared" si="13"/>
        <v>-1.427142257658387E-4</v>
      </c>
      <c r="H186">
        <f t="shared" si="14"/>
        <v>-3.7540957515932449E-2</v>
      </c>
      <c r="I186">
        <f t="shared" si="15"/>
        <v>-3.5289313613650064E-3</v>
      </c>
      <c r="J186">
        <f t="shared" si="16"/>
        <v>0</v>
      </c>
      <c r="K186">
        <f t="shared" si="17"/>
        <v>0</v>
      </c>
    </row>
    <row r="187" spans="1:11" x14ac:dyDescent="0.3">
      <c r="A187" s="1">
        <v>38504</v>
      </c>
      <c r="B187">
        <v>17.475527</v>
      </c>
      <c r="C187" s="1">
        <v>38504</v>
      </c>
      <c r="D187">
        <v>1191.329956</v>
      </c>
      <c r="E187">
        <v>3.2737397821989145E-3</v>
      </c>
      <c r="F187">
        <f t="shared" si="12"/>
        <v>3.0997863469296227E-2</v>
      </c>
      <c r="G187">
        <f t="shared" si="13"/>
        <v>3.5968287193812287E-2</v>
      </c>
      <c r="H187">
        <f t="shared" si="14"/>
        <v>2.7724123687097313E-2</v>
      </c>
      <c r="I187">
        <f t="shared" si="15"/>
        <v>3.2694547411613373E-2</v>
      </c>
      <c r="J187">
        <f t="shared" si="16"/>
        <v>0</v>
      </c>
      <c r="K187">
        <f t="shared" si="17"/>
        <v>0</v>
      </c>
    </row>
    <row r="188" spans="1:11" x14ac:dyDescent="0.3">
      <c r="A188" s="1">
        <v>38534</v>
      </c>
      <c r="B188">
        <v>18.017230999999999</v>
      </c>
      <c r="C188" s="1">
        <v>38534</v>
      </c>
      <c r="D188">
        <v>1234.1800539999999</v>
      </c>
      <c r="E188">
        <v>3.4183280638138136E-3</v>
      </c>
      <c r="F188">
        <f t="shared" si="12"/>
        <v>6.9113894360348649E-2</v>
      </c>
      <c r="G188">
        <f t="shared" si="13"/>
        <v>-1.1222104874496597E-2</v>
      </c>
      <c r="H188">
        <f t="shared" si="14"/>
        <v>6.5695566296534835E-2</v>
      </c>
      <c r="I188">
        <f t="shared" si="15"/>
        <v>-1.464043293831041E-2</v>
      </c>
      <c r="J188">
        <f t="shared" si="16"/>
        <v>0</v>
      </c>
      <c r="K188">
        <f t="shared" si="17"/>
        <v>0</v>
      </c>
    </row>
    <row r="189" spans="1:11" x14ac:dyDescent="0.3">
      <c r="A189" s="1">
        <v>38565</v>
      </c>
      <c r="B189">
        <v>19.262471999999999</v>
      </c>
      <c r="C189" s="1">
        <v>38565</v>
      </c>
      <c r="D189">
        <v>1220.329956</v>
      </c>
      <c r="E189">
        <v>3.4825160297176083E-3</v>
      </c>
      <c r="F189">
        <f t="shared" si="12"/>
        <v>-5.7475696784919372E-2</v>
      </c>
      <c r="G189">
        <f t="shared" si="13"/>
        <v>6.9490246947603307E-3</v>
      </c>
      <c r="H189">
        <f t="shared" si="14"/>
        <v>-6.0958212814636981E-2</v>
      </c>
      <c r="I189">
        <f t="shared" si="15"/>
        <v>3.4665086650427224E-3</v>
      </c>
      <c r="J189">
        <f t="shared" si="16"/>
        <v>0</v>
      </c>
      <c r="K189">
        <f t="shared" si="17"/>
        <v>0</v>
      </c>
    </row>
    <row r="190" spans="1:11" x14ac:dyDescent="0.3">
      <c r="A190" s="1">
        <v>38596</v>
      </c>
      <c r="B190">
        <v>18.155348</v>
      </c>
      <c r="C190" s="1">
        <v>38596</v>
      </c>
      <c r="D190">
        <v>1228.8100589999999</v>
      </c>
      <c r="E190">
        <v>3.4343792900468628E-3</v>
      </c>
      <c r="F190">
        <f t="shared" si="12"/>
        <v>-1.1652764794154447E-3</v>
      </c>
      <c r="G190">
        <f t="shared" si="13"/>
        <v>-1.7740780066319406E-2</v>
      </c>
      <c r="H190">
        <f t="shared" si="14"/>
        <v>-4.5996557694623075E-3</v>
      </c>
      <c r="I190">
        <f t="shared" si="15"/>
        <v>-2.1175159356366269E-2</v>
      </c>
      <c r="J190">
        <f t="shared" si="16"/>
        <v>0</v>
      </c>
      <c r="K190">
        <f t="shared" si="17"/>
        <v>0</v>
      </c>
    </row>
    <row r="191" spans="1:11" x14ac:dyDescent="0.3">
      <c r="A191" s="1">
        <v>38626</v>
      </c>
      <c r="B191">
        <v>18.134191999999999</v>
      </c>
      <c r="C191" s="1">
        <v>38626</v>
      </c>
      <c r="D191">
        <v>1207.01001</v>
      </c>
      <c r="E191">
        <v>3.6427886369352347E-3</v>
      </c>
      <c r="F191">
        <f t="shared" si="12"/>
        <v>7.7042417991383338E-2</v>
      </c>
      <c r="G191">
        <f t="shared" si="13"/>
        <v>3.5186095929726546E-2</v>
      </c>
      <c r="H191">
        <f t="shared" si="14"/>
        <v>7.3399629354448104E-2</v>
      </c>
      <c r="I191">
        <f t="shared" si="15"/>
        <v>3.1543307292791312E-2</v>
      </c>
      <c r="J191">
        <f t="shared" si="16"/>
        <v>0</v>
      </c>
      <c r="K191">
        <f t="shared" si="17"/>
        <v>0</v>
      </c>
    </row>
    <row r="192" spans="1:11" x14ac:dyDescent="0.3">
      <c r="A192" s="1">
        <v>38657</v>
      </c>
      <c r="B192">
        <v>19.531293999999999</v>
      </c>
      <c r="C192" s="1">
        <v>38657</v>
      </c>
      <c r="D192">
        <v>1249.4799800000001</v>
      </c>
      <c r="E192">
        <v>3.6988176007033413E-3</v>
      </c>
      <c r="F192">
        <f t="shared" si="12"/>
        <v>-5.2505276916112176E-2</v>
      </c>
      <c r="G192">
        <f t="shared" si="13"/>
        <v>-9.5234899241847248E-4</v>
      </c>
      <c r="H192">
        <f t="shared" si="14"/>
        <v>-5.6204094516815517E-2</v>
      </c>
      <c r="I192">
        <f t="shared" si="15"/>
        <v>-4.6511665931218138E-3</v>
      </c>
      <c r="J192">
        <f t="shared" si="16"/>
        <v>0</v>
      </c>
      <c r="K192">
        <f t="shared" si="17"/>
        <v>0</v>
      </c>
    </row>
    <row r="193" spans="1:11" x14ac:dyDescent="0.3">
      <c r="A193" s="1">
        <v>38687</v>
      </c>
      <c r="B193">
        <v>18.505797999999999</v>
      </c>
      <c r="C193" s="1">
        <v>38687</v>
      </c>
      <c r="D193">
        <v>1248.290039</v>
      </c>
      <c r="E193">
        <v>3.650794881391306E-3</v>
      </c>
      <c r="F193">
        <f t="shared" si="12"/>
        <v>7.648154378427785E-2</v>
      </c>
      <c r="G193">
        <f t="shared" si="13"/>
        <v>2.5466771348641615E-2</v>
      </c>
      <c r="H193">
        <f t="shared" si="14"/>
        <v>7.2830748902886544E-2</v>
      </c>
      <c r="I193">
        <f t="shared" si="15"/>
        <v>2.1815976467250309E-2</v>
      </c>
      <c r="J193">
        <f t="shared" si="16"/>
        <v>0</v>
      </c>
      <c r="K193">
        <f t="shared" si="17"/>
        <v>0</v>
      </c>
    </row>
    <row r="194" spans="1:11" x14ac:dyDescent="0.3">
      <c r="A194" s="1">
        <v>38718</v>
      </c>
      <c r="B194">
        <v>19.921150000000001</v>
      </c>
      <c r="C194" s="1">
        <v>38718</v>
      </c>
      <c r="D194">
        <v>1280.079956</v>
      </c>
      <c r="E194">
        <v>3.6107566318024364E-3</v>
      </c>
      <c r="F194">
        <f t="shared" si="12"/>
        <v>-4.5469814744630743E-2</v>
      </c>
      <c r="G194">
        <f t="shared" si="13"/>
        <v>4.5315763072539816E-4</v>
      </c>
      <c r="H194">
        <f t="shared" si="14"/>
        <v>-4.908057137643318E-2</v>
      </c>
      <c r="I194">
        <f t="shared" si="15"/>
        <v>-3.1575990010770383E-3</v>
      </c>
      <c r="J194">
        <f t="shared" si="16"/>
        <v>0</v>
      </c>
      <c r="K194">
        <f t="shared" si="17"/>
        <v>0</v>
      </c>
    </row>
    <row r="195" spans="1:11" x14ac:dyDescent="0.3">
      <c r="A195" s="1">
        <v>38749</v>
      </c>
      <c r="B195">
        <v>19.015339000000001</v>
      </c>
      <c r="C195" s="1">
        <v>38749</v>
      </c>
      <c r="D195">
        <v>1280.660034</v>
      </c>
      <c r="E195">
        <v>3.7308187111868563E-3</v>
      </c>
      <c r="F195">
        <f t="shared" ref="F195:F258" si="18">(B196/B195)-1</f>
        <v>1.6084225477126735E-2</v>
      </c>
      <c r="G195">
        <f t="shared" ref="G195:G258" si="19">(D196/D195)-1</f>
        <v>1.1095810459249567E-2</v>
      </c>
      <c r="H195">
        <f t="shared" ref="H195:H258" si="20">F195-E195</f>
        <v>1.2353406765939878E-2</v>
      </c>
      <c r="I195">
        <f t="shared" ref="I195:I258" si="21">G195-E195</f>
        <v>7.3649917480627103E-3</v>
      </c>
      <c r="J195">
        <f t="shared" ref="J195:J258" si="22">IF(H195=$P$3, 1, 0)</f>
        <v>0</v>
      </c>
      <c r="K195">
        <f t="shared" ref="K195:K258" si="23">I195*J195</f>
        <v>0</v>
      </c>
    </row>
    <row r="196" spans="1:11" x14ac:dyDescent="0.3">
      <c r="A196" s="1">
        <v>38777</v>
      </c>
      <c r="B196">
        <v>19.321186000000001</v>
      </c>
      <c r="C196" s="1">
        <v>38777</v>
      </c>
      <c r="D196">
        <v>1294.869995</v>
      </c>
      <c r="E196">
        <v>3.8507230235700352E-3</v>
      </c>
      <c r="F196">
        <f t="shared" si="18"/>
        <v>-0.11245862443433863</v>
      </c>
      <c r="G196">
        <f t="shared" si="19"/>
        <v>1.2155652737941391E-2</v>
      </c>
      <c r="H196">
        <f t="shared" si="20"/>
        <v>-0.11630934745790866</v>
      </c>
      <c r="I196">
        <f t="shared" si="21"/>
        <v>8.3049297143713563E-3</v>
      </c>
      <c r="J196">
        <f t="shared" si="22"/>
        <v>0</v>
      </c>
      <c r="K196">
        <f t="shared" si="23"/>
        <v>0</v>
      </c>
    </row>
    <row r="197" spans="1:11" x14ac:dyDescent="0.3">
      <c r="A197" s="1">
        <v>38808</v>
      </c>
      <c r="B197">
        <v>17.148351999999999</v>
      </c>
      <c r="C197" s="1">
        <v>38808</v>
      </c>
      <c r="D197">
        <v>1310.6099850000001</v>
      </c>
      <c r="E197">
        <v>4.0661545935285481E-3</v>
      </c>
      <c r="F197">
        <f t="shared" si="18"/>
        <v>-6.211150785801467E-2</v>
      </c>
      <c r="G197">
        <f t="shared" si="19"/>
        <v>-3.0916916141150885E-2</v>
      </c>
      <c r="H197">
        <f t="shared" si="20"/>
        <v>-6.6177662451543218E-2</v>
      </c>
      <c r="I197">
        <f t="shared" si="21"/>
        <v>-3.4983070734679433E-2</v>
      </c>
      <c r="J197">
        <f t="shared" si="22"/>
        <v>0</v>
      </c>
      <c r="K197">
        <f t="shared" si="23"/>
        <v>0</v>
      </c>
    </row>
    <row r="198" spans="1:11" x14ac:dyDescent="0.3">
      <c r="A198" s="1">
        <v>38838</v>
      </c>
      <c r="B198">
        <v>16.083241999999998</v>
      </c>
      <c r="C198" s="1">
        <v>38838</v>
      </c>
      <c r="D198">
        <v>1270.089966</v>
      </c>
      <c r="E198">
        <v>4.1617389871715371E-3</v>
      </c>
      <c r="F198">
        <f t="shared" si="18"/>
        <v>3.2708641702960284E-2</v>
      </c>
      <c r="G198">
        <f t="shared" si="19"/>
        <v>8.6596227782509416E-5</v>
      </c>
      <c r="H198">
        <f t="shared" si="20"/>
        <v>2.8546902715788747E-2</v>
      </c>
      <c r="I198">
        <f t="shared" si="21"/>
        <v>-4.0751427593890277E-3</v>
      </c>
      <c r="J198">
        <f t="shared" si="22"/>
        <v>0</v>
      </c>
      <c r="K198">
        <f t="shared" si="23"/>
        <v>0</v>
      </c>
    </row>
    <row r="199" spans="1:11" x14ac:dyDescent="0.3">
      <c r="A199" s="1">
        <v>38869</v>
      </c>
      <c r="B199">
        <v>16.609303000000001</v>
      </c>
      <c r="C199" s="1">
        <v>38869</v>
      </c>
      <c r="D199">
        <v>1270.1999510000001</v>
      </c>
      <c r="E199">
        <v>4.1617389871715371E-3</v>
      </c>
      <c r="F199">
        <f t="shared" si="18"/>
        <v>3.2618045441160204E-2</v>
      </c>
      <c r="G199">
        <f t="shared" si="19"/>
        <v>5.0858787979908282E-3</v>
      </c>
      <c r="H199">
        <f t="shared" si="20"/>
        <v>2.8456306453988667E-2</v>
      </c>
      <c r="I199">
        <f t="shared" si="21"/>
        <v>9.2413981081929109E-4</v>
      </c>
      <c r="J199">
        <f t="shared" si="22"/>
        <v>0</v>
      </c>
      <c r="K199">
        <f t="shared" si="23"/>
        <v>0</v>
      </c>
    </row>
    <row r="200" spans="1:11" x14ac:dyDescent="0.3">
      <c r="A200" s="1">
        <v>38899</v>
      </c>
      <c r="B200">
        <v>17.151066</v>
      </c>
      <c r="C200" s="1">
        <v>38899</v>
      </c>
      <c r="D200">
        <v>1276.660034</v>
      </c>
      <c r="E200">
        <v>4.1458152037889828E-3</v>
      </c>
      <c r="F200">
        <f t="shared" si="18"/>
        <v>6.8162935178489592E-2</v>
      </c>
      <c r="G200">
        <f t="shared" si="19"/>
        <v>2.1274193032348121E-2</v>
      </c>
      <c r="H200">
        <f t="shared" si="20"/>
        <v>6.4017119974700609E-2</v>
      </c>
      <c r="I200">
        <f t="shared" si="21"/>
        <v>1.7128377828559138E-2</v>
      </c>
      <c r="J200">
        <f t="shared" si="22"/>
        <v>0</v>
      </c>
      <c r="K200">
        <f t="shared" si="23"/>
        <v>0</v>
      </c>
    </row>
    <row r="201" spans="1:11" x14ac:dyDescent="0.3">
      <c r="A201" s="1">
        <v>38930</v>
      </c>
      <c r="B201">
        <v>18.320132999999998</v>
      </c>
      <c r="C201" s="1">
        <v>38930</v>
      </c>
      <c r="D201">
        <v>1303.8199460000001</v>
      </c>
      <c r="E201">
        <v>3.9784475501516425E-3</v>
      </c>
      <c r="F201">
        <f t="shared" si="18"/>
        <v>6.8121230342596428E-2</v>
      </c>
      <c r="G201">
        <f t="shared" si="19"/>
        <v>2.4566298512509466E-2</v>
      </c>
      <c r="H201">
        <f t="shared" si="20"/>
        <v>6.4142782792444786E-2</v>
      </c>
      <c r="I201">
        <f t="shared" si="21"/>
        <v>2.0587850962357823E-2</v>
      </c>
      <c r="J201">
        <f t="shared" si="22"/>
        <v>0</v>
      </c>
      <c r="K201">
        <f t="shared" si="23"/>
        <v>0</v>
      </c>
    </row>
    <row r="202" spans="1:11" x14ac:dyDescent="0.3">
      <c r="A202" s="1">
        <v>38961</v>
      </c>
      <c r="B202">
        <v>19.568123</v>
      </c>
      <c r="C202" s="1">
        <v>38961</v>
      </c>
      <c r="D202">
        <v>1335.849976</v>
      </c>
      <c r="E202">
        <v>3.8507230235700352E-3</v>
      </c>
      <c r="F202">
        <f t="shared" si="18"/>
        <v>4.9725719733057616E-2</v>
      </c>
      <c r="G202">
        <f t="shared" si="19"/>
        <v>3.1508002961554205E-2</v>
      </c>
      <c r="H202">
        <f t="shared" si="20"/>
        <v>4.5874996709487581E-2</v>
      </c>
      <c r="I202">
        <f t="shared" si="21"/>
        <v>2.7657279937984169E-2</v>
      </c>
      <c r="J202">
        <f t="shared" si="22"/>
        <v>0</v>
      </c>
      <c r="K202">
        <f t="shared" si="23"/>
        <v>0</v>
      </c>
    </row>
    <row r="203" spans="1:11" x14ac:dyDescent="0.3">
      <c r="A203" s="1">
        <v>38991</v>
      </c>
      <c r="B203">
        <v>20.541162</v>
      </c>
      <c r="C203" s="1">
        <v>38991</v>
      </c>
      <c r="D203">
        <v>1377.9399410000001</v>
      </c>
      <c r="E203">
        <v>3.8587110455146068E-3</v>
      </c>
      <c r="F203">
        <f t="shared" si="18"/>
        <v>2.2640004494390409E-2</v>
      </c>
      <c r="G203">
        <f t="shared" si="19"/>
        <v>1.6466656727820217E-2</v>
      </c>
      <c r="H203">
        <f t="shared" si="20"/>
        <v>1.8781293448875802E-2</v>
      </c>
      <c r="I203">
        <f t="shared" si="21"/>
        <v>1.260794568230561E-2</v>
      </c>
      <c r="J203">
        <f t="shared" si="22"/>
        <v>0</v>
      </c>
      <c r="K203">
        <f t="shared" si="23"/>
        <v>0</v>
      </c>
    </row>
    <row r="204" spans="1:11" x14ac:dyDescent="0.3">
      <c r="A204" s="1">
        <v>39022</v>
      </c>
      <c r="B204">
        <v>21.006214</v>
      </c>
      <c r="C204" s="1">
        <v>39022</v>
      </c>
      <c r="D204">
        <v>1400.630005</v>
      </c>
      <c r="E204">
        <v>3.7548121811461499E-3</v>
      </c>
      <c r="F204">
        <f t="shared" si="18"/>
        <v>2.0507312740887018E-2</v>
      </c>
      <c r="G204">
        <f t="shared" si="19"/>
        <v>1.2615782852659851E-2</v>
      </c>
      <c r="H204">
        <f t="shared" si="20"/>
        <v>1.6752500559740868E-2</v>
      </c>
      <c r="I204">
        <f t="shared" si="21"/>
        <v>8.8609706715137015E-3</v>
      </c>
      <c r="J204">
        <f t="shared" si="22"/>
        <v>0</v>
      </c>
      <c r="K204">
        <f t="shared" si="23"/>
        <v>0</v>
      </c>
    </row>
    <row r="205" spans="1:11" x14ac:dyDescent="0.3">
      <c r="A205" s="1">
        <v>39052</v>
      </c>
      <c r="B205">
        <v>21.436995</v>
      </c>
      <c r="C205" s="1">
        <v>39052</v>
      </c>
      <c r="D205">
        <v>1418.3000489999999</v>
      </c>
      <c r="E205">
        <v>3.7228194856664398E-3</v>
      </c>
      <c r="F205">
        <f t="shared" si="18"/>
        <v>3.3489675208675518E-2</v>
      </c>
      <c r="G205">
        <f t="shared" si="19"/>
        <v>1.4059042735039773E-2</v>
      </c>
      <c r="H205">
        <f t="shared" si="20"/>
        <v>2.9766855723009078E-2</v>
      </c>
      <c r="I205">
        <f t="shared" si="21"/>
        <v>1.0336223249373333E-2</v>
      </c>
      <c r="J205">
        <f t="shared" si="22"/>
        <v>0</v>
      </c>
      <c r="K205">
        <f t="shared" si="23"/>
        <v>0</v>
      </c>
    </row>
    <row r="206" spans="1:11" x14ac:dyDescent="0.3">
      <c r="A206" s="1">
        <v>39083</v>
      </c>
      <c r="B206">
        <v>22.154913000000001</v>
      </c>
      <c r="C206" s="1">
        <v>39083</v>
      </c>
      <c r="D206">
        <v>1438.23999</v>
      </c>
      <c r="E206">
        <v>3.8826709170549645E-3</v>
      </c>
      <c r="F206">
        <f t="shared" si="18"/>
        <v>-8.7167663443318388E-2</v>
      </c>
      <c r="G206">
        <f t="shared" si="19"/>
        <v>-2.1846176033528231E-2</v>
      </c>
      <c r="H206">
        <f t="shared" si="20"/>
        <v>-9.1050334360373353E-2</v>
      </c>
      <c r="I206">
        <f t="shared" si="21"/>
        <v>-2.5728846950583195E-2</v>
      </c>
      <c r="J206">
        <f t="shared" si="22"/>
        <v>0</v>
      </c>
      <c r="K206">
        <f t="shared" si="23"/>
        <v>0</v>
      </c>
    </row>
    <row r="207" spans="1:11" x14ac:dyDescent="0.3">
      <c r="A207" s="1">
        <v>39114</v>
      </c>
      <c r="B207">
        <v>20.223721000000001</v>
      </c>
      <c r="C207" s="1">
        <v>39114</v>
      </c>
      <c r="D207">
        <v>1406.8199460000001</v>
      </c>
      <c r="E207">
        <v>3.8507230235700352E-3</v>
      </c>
      <c r="F207">
        <f t="shared" si="18"/>
        <v>-7.2195418439564563E-3</v>
      </c>
      <c r="G207">
        <f t="shared" si="19"/>
        <v>9.9799828968305526E-3</v>
      </c>
      <c r="H207">
        <f t="shared" si="20"/>
        <v>-1.1070264867526491E-2</v>
      </c>
      <c r="I207">
        <f t="shared" si="21"/>
        <v>6.1292598732605175E-3</v>
      </c>
      <c r="J207">
        <f t="shared" si="22"/>
        <v>0</v>
      </c>
      <c r="K207">
        <f t="shared" si="23"/>
        <v>0</v>
      </c>
    </row>
    <row r="208" spans="1:11" x14ac:dyDescent="0.3">
      <c r="A208" s="1">
        <v>39142</v>
      </c>
      <c r="B208">
        <v>20.077715000000001</v>
      </c>
      <c r="C208" s="1">
        <v>39142</v>
      </c>
      <c r="D208">
        <v>1420.8599850000001</v>
      </c>
      <c r="E208">
        <v>3.7228194856664398E-3</v>
      </c>
      <c r="F208">
        <f t="shared" si="18"/>
        <v>7.4273441972853904E-2</v>
      </c>
      <c r="G208">
        <f t="shared" si="19"/>
        <v>4.3290690602424187E-2</v>
      </c>
      <c r="H208">
        <f t="shared" si="20"/>
        <v>7.0550622487187464E-2</v>
      </c>
      <c r="I208">
        <f t="shared" si="21"/>
        <v>3.9567871116757747E-2</v>
      </c>
      <c r="J208">
        <f t="shared" si="22"/>
        <v>0</v>
      </c>
      <c r="K208">
        <f t="shared" si="23"/>
        <v>0</v>
      </c>
    </row>
    <row r="209" spans="1:11" x14ac:dyDescent="0.3">
      <c r="A209" s="1">
        <v>39173</v>
      </c>
      <c r="B209">
        <v>21.568956</v>
      </c>
      <c r="C209" s="1">
        <v>39173</v>
      </c>
      <c r="D209">
        <v>1482.369995</v>
      </c>
      <c r="E209">
        <v>3.8267547616503972E-3</v>
      </c>
      <c r="F209">
        <f t="shared" si="18"/>
        <v>2.5050122963763188E-2</v>
      </c>
      <c r="G209">
        <f t="shared" si="19"/>
        <v>3.254922870993493E-2</v>
      </c>
      <c r="H209">
        <f t="shared" si="20"/>
        <v>2.1223368202112791E-2</v>
      </c>
      <c r="I209">
        <f t="shared" si="21"/>
        <v>2.8722473948284533E-2</v>
      </c>
      <c r="J209">
        <f t="shared" si="22"/>
        <v>0</v>
      </c>
      <c r="K209">
        <f t="shared" si="23"/>
        <v>0</v>
      </c>
    </row>
    <row r="210" spans="1:11" x14ac:dyDescent="0.3">
      <c r="A210" s="1">
        <v>39203</v>
      </c>
      <c r="B210">
        <v>22.109261</v>
      </c>
      <c r="C210" s="1">
        <v>39203</v>
      </c>
      <c r="D210">
        <v>1530.619995</v>
      </c>
      <c r="E210">
        <v>3.8746849921291737E-3</v>
      </c>
      <c r="F210">
        <f t="shared" si="18"/>
        <v>-3.6641839815450994E-2</v>
      </c>
      <c r="G210">
        <f t="shared" si="19"/>
        <v>-1.7816322202167556E-2</v>
      </c>
      <c r="H210">
        <f t="shared" si="20"/>
        <v>-4.0516524807580168E-2</v>
      </c>
      <c r="I210">
        <f t="shared" si="21"/>
        <v>-2.169100719429673E-2</v>
      </c>
      <c r="J210">
        <f t="shared" si="22"/>
        <v>0</v>
      </c>
      <c r="K210">
        <f t="shared" si="23"/>
        <v>0</v>
      </c>
    </row>
    <row r="211" spans="1:11" x14ac:dyDescent="0.3">
      <c r="A211" s="1">
        <v>39234</v>
      </c>
      <c r="B211">
        <v>21.299137000000002</v>
      </c>
      <c r="C211" s="1">
        <v>39234</v>
      </c>
      <c r="D211">
        <v>1503.349976</v>
      </c>
      <c r="E211">
        <v>4.1537774426925189E-3</v>
      </c>
      <c r="F211">
        <f t="shared" si="18"/>
        <v>-1.6287796073615524E-2</v>
      </c>
      <c r="G211">
        <f t="shared" si="19"/>
        <v>-3.1981878316802548E-2</v>
      </c>
      <c r="H211">
        <f t="shared" si="20"/>
        <v>-2.0441573516308043E-2</v>
      </c>
      <c r="I211">
        <f t="shared" si="21"/>
        <v>-3.6135655759495067E-2</v>
      </c>
      <c r="J211">
        <f t="shared" si="22"/>
        <v>0</v>
      </c>
      <c r="K211">
        <f t="shared" si="23"/>
        <v>0</v>
      </c>
    </row>
    <row r="212" spans="1:11" x14ac:dyDescent="0.3">
      <c r="A212" s="1">
        <v>39264</v>
      </c>
      <c r="B212">
        <v>20.952221000000002</v>
      </c>
      <c r="C212" s="1">
        <v>39264</v>
      </c>
      <c r="D212">
        <v>1455.2700199999999</v>
      </c>
      <c r="E212">
        <v>4.0741237836483535E-3</v>
      </c>
      <c r="F212">
        <f t="shared" si="18"/>
        <v>-8.9685002845284467E-3</v>
      </c>
      <c r="G212">
        <f t="shared" si="19"/>
        <v>1.2863571531556817E-2</v>
      </c>
      <c r="H212">
        <f t="shared" si="20"/>
        <v>-1.30426240681768E-2</v>
      </c>
      <c r="I212">
        <f t="shared" si="21"/>
        <v>8.7894477479084632E-3</v>
      </c>
      <c r="J212">
        <f t="shared" si="22"/>
        <v>0</v>
      </c>
      <c r="K212">
        <f t="shared" si="23"/>
        <v>0</v>
      </c>
    </row>
    <row r="213" spans="1:11" x14ac:dyDescent="0.3">
      <c r="A213" s="1">
        <v>39295</v>
      </c>
      <c r="B213">
        <v>20.764310999999999</v>
      </c>
      <c r="C213" s="1">
        <v>39295</v>
      </c>
      <c r="D213">
        <v>1473.98999</v>
      </c>
      <c r="E213">
        <v>3.8107724223526152E-3</v>
      </c>
      <c r="F213">
        <f t="shared" si="18"/>
        <v>2.9003129456113497E-2</v>
      </c>
      <c r="G213">
        <f t="shared" si="19"/>
        <v>3.5794008343299488E-2</v>
      </c>
      <c r="H213">
        <f t="shared" si="20"/>
        <v>2.5192357033760882E-2</v>
      </c>
      <c r="I213">
        <f t="shared" si="21"/>
        <v>3.1983235920946873E-2</v>
      </c>
      <c r="J213">
        <f t="shared" si="22"/>
        <v>0</v>
      </c>
      <c r="K213">
        <f t="shared" si="23"/>
        <v>0</v>
      </c>
    </row>
    <row r="214" spans="1:11" x14ac:dyDescent="0.3">
      <c r="A214" s="1">
        <v>39326</v>
      </c>
      <c r="B214">
        <v>21.366541000000002</v>
      </c>
      <c r="C214" s="1">
        <v>39326</v>
      </c>
      <c r="D214">
        <v>1526.75</v>
      </c>
      <c r="E214">
        <v>3.690815569153072E-3</v>
      </c>
      <c r="F214">
        <f t="shared" si="18"/>
        <v>0.24949059372782889</v>
      </c>
      <c r="G214">
        <f t="shared" si="19"/>
        <v>1.4822338300311211E-2</v>
      </c>
      <c r="H214">
        <f t="shared" si="20"/>
        <v>0.24579977815867582</v>
      </c>
      <c r="I214">
        <f t="shared" si="21"/>
        <v>1.1131522731158139E-2</v>
      </c>
      <c r="J214">
        <f t="shared" si="22"/>
        <v>0</v>
      </c>
      <c r="K214">
        <f t="shared" si="23"/>
        <v>0</v>
      </c>
    </row>
    <row r="215" spans="1:11" x14ac:dyDescent="0.3">
      <c r="A215" s="1">
        <v>39356</v>
      </c>
      <c r="B215">
        <v>26.697292000000001</v>
      </c>
      <c r="C215" s="1">
        <v>39356</v>
      </c>
      <c r="D215">
        <v>1549.380005</v>
      </c>
      <c r="E215">
        <v>3.6988176007033413E-3</v>
      </c>
      <c r="F215">
        <f t="shared" si="18"/>
        <v>-8.7204162879141456E-2</v>
      </c>
      <c r="G215">
        <f t="shared" si="19"/>
        <v>-4.4043417224814418E-2</v>
      </c>
      <c r="H215">
        <f t="shared" si="20"/>
        <v>-9.0902980479844797E-2</v>
      </c>
      <c r="I215">
        <f t="shared" si="21"/>
        <v>-4.774223482551776E-2</v>
      </c>
      <c r="J215">
        <f t="shared" si="22"/>
        <v>0</v>
      </c>
      <c r="K215">
        <f t="shared" si="23"/>
        <v>0</v>
      </c>
    </row>
    <row r="216" spans="1:11" x14ac:dyDescent="0.3">
      <c r="A216" s="1">
        <v>39387</v>
      </c>
      <c r="B216">
        <v>24.369177000000001</v>
      </c>
      <c r="C216" s="1">
        <v>39387</v>
      </c>
      <c r="D216">
        <v>1481.1400149999999</v>
      </c>
      <c r="E216">
        <v>3.3942459274463044E-3</v>
      </c>
      <c r="F216">
        <f t="shared" si="18"/>
        <v>6.3027200303071407E-2</v>
      </c>
      <c r="G216">
        <f t="shared" si="19"/>
        <v>-8.6285090339686121E-3</v>
      </c>
      <c r="H216">
        <f t="shared" si="20"/>
        <v>5.9632954375625102E-2</v>
      </c>
      <c r="I216">
        <f t="shared" si="21"/>
        <v>-1.2022754961414917E-2</v>
      </c>
      <c r="J216">
        <f t="shared" si="22"/>
        <v>0</v>
      </c>
      <c r="K216">
        <f t="shared" si="23"/>
        <v>0</v>
      </c>
    </row>
    <row r="217" spans="1:11" x14ac:dyDescent="0.3">
      <c r="A217" s="1">
        <v>39417</v>
      </c>
      <c r="B217">
        <v>25.905097999999999</v>
      </c>
      <c r="C217" s="1">
        <v>39417</v>
      </c>
      <c r="D217">
        <v>1468.3599850000001</v>
      </c>
      <c r="E217">
        <v>3.3540948994528197E-3</v>
      </c>
      <c r="F217">
        <f t="shared" si="18"/>
        <v>-8.4270246729041487E-2</v>
      </c>
      <c r="G217">
        <f t="shared" si="19"/>
        <v>-6.116343193593643E-2</v>
      </c>
      <c r="H217">
        <f t="shared" si="20"/>
        <v>-8.7624341628494307E-2</v>
      </c>
      <c r="I217">
        <f t="shared" si="21"/>
        <v>-6.4517526835389249E-2</v>
      </c>
      <c r="J217">
        <f t="shared" si="22"/>
        <v>0</v>
      </c>
      <c r="K217">
        <f t="shared" si="23"/>
        <v>0</v>
      </c>
    </row>
    <row r="218" spans="1:11" x14ac:dyDescent="0.3">
      <c r="A218" s="1">
        <v>39448</v>
      </c>
      <c r="B218">
        <v>23.722069000000001</v>
      </c>
      <c r="C218" s="1">
        <v>39448</v>
      </c>
      <c r="D218">
        <v>1378.5500489999999</v>
      </c>
      <c r="E218">
        <v>3.0644845397465037E-3</v>
      </c>
      <c r="F218">
        <f t="shared" si="18"/>
        <v>-0.1656438567816324</v>
      </c>
      <c r="G218">
        <f t="shared" si="19"/>
        <v>-3.4761192772624461E-2</v>
      </c>
      <c r="H218">
        <f t="shared" si="20"/>
        <v>-0.16870834132137891</v>
      </c>
      <c r="I218">
        <f t="shared" si="21"/>
        <v>-3.7825677312370964E-2</v>
      </c>
      <c r="J218">
        <f t="shared" si="22"/>
        <v>0</v>
      </c>
      <c r="K218">
        <f t="shared" si="23"/>
        <v>0</v>
      </c>
    </row>
    <row r="219" spans="1:11" x14ac:dyDescent="0.3">
      <c r="A219" s="1">
        <v>39479</v>
      </c>
      <c r="B219">
        <v>19.792653999999999</v>
      </c>
      <c r="C219" s="1">
        <v>39479</v>
      </c>
      <c r="D219">
        <v>1330.630005</v>
      </c>
      <c r="E219">
        <v>3.0644845397465037E-3</v>
      </c>
      <c r="F219">
        <f t="shared" si="18"/>
        <v>4.7436033591048643E-2</v>
      </c>
      <c r="G219">
        <f t="shared" si="19"/>
        <v>-5.9596236145298409E-3</v>
      </c>
      <c r="H219">
        <f t="shared" si="20"/>
        <v>4.4371549051302139E-2</v>
      </c>
      <c r="I219">
        <f t="shared" si="21"/>
        <v>-9.0241081542763446E-3</v>
      </c>
      <c r="J219">
        <f t="shared" si="22"/>
        <v>0</v>
      </c>
      <c r="K219">
        <f t="shared" si="23"/>
        <v>0</v>
      </c>
    </row>
    <row r="220" spans="1:11" x14ac:dyDescent="0.3">
      <c r="A220" s="1">
        <v>39508</v>
      </c>
      <c r="B220">
        <v>20.731539000000001</v>
      </c>
      <c r="C220" s="1">
        <v>39508</v>
      </c>
      <c r="D220">
        <v>1322.6999510000001</v>
      </c>
      <c r="E220">
        <v>2.8789730064431307E-3</v>
      </c>
      <c r="F220">
        <f t="shared" si="18"/>
        <v>4.932870637341491E-3</v>
      </c>
      <c r="G220">
        <f t="shared" si="19"/>
        <v>4.7546697913198877E-2</v>
      </c>
      <c r="H220">
        <f t="shared" si="20"/>
        <v>2.0538976308983603E-3</v>
      </c>
      <c r="I220">
        <f t="shared" si="21"/>
        <v>4.4667724906755746E-2</v>
      </c>
      <c r="J220">
        <f t="shared" si="22"/>
        <v>0</v>
      </c>
      <c r="K220">
        <f t="shared" si="23"/>
        <v>0</v>
      </c>
    </row>
    <row r="221" spans="1:11" x14ac:dyDescent="0.3">
      <c r="A221" s="1">
        <v>39539</v>
      </c>
      <c r="B221">
        <v>20.833805000000002</v>
      </c>
      <c r="C221" s="1">
        <v>39539</v>
      </c>
      <c r="D221">
        <v>1385.589966</v>
      </c>
      <c r="E221">
        <v>3.0080644524299593E-3</v>
      </c>
      <c r="F221">
        <f t="shared" si="18"/>
        <v>-7.0123052414093889E-3</v>
      </c>
      <c r="G221">
        <f t="shared" si="19"/>
        <v>1.0674181657577053E-2</v>
      </c>
      <c r="H221">
        <f t="shared" si="20"/>
        <v>-1.0020369693839348E-2</v>
      </c>
      <c r="I221">
        <f t="shared" si="21"/>
        <v>7.6661172051470938E-3</v>
      </c>
      <c r="J221">
        <f t="shared" si="22"/>
        <v>0</v>
      </c>
      <c r="K221">
        <f t="shared" si="23"/>
        <v>0</v>
      </c>
    </row>
    <row r="222" spans="1:11" x14ac:dyDescent="0.3">
      <c r="A222" s="1">
        <v>39569</v>
      </c>
      <c r="B222">
        <v>20.687712000000001</v>
      </c>
      <c r="C222" s="1">
        <v>39569</v>
      </c>
      <c r="D222">
        <v>1400.380005</v>
      </c>
      <c r="E222">
        <v>3.1772200986699417E-3</v>
      </c>
      <c r="F222">
        <f t="shared" si="18"/>
        <v>-2.5025628740384609E-2</v>
      </c>
      <c r="G222">
        <f t="shared" si="19"/>
        <v>-8.5962384902803612E-2</v>
      </c>
      <c r="H222">
        <f t="shared" si="20"/>
        <v>-2.8202848839054551E-2</v>
      </c>
      <c r="I222">
        <f t="shared" si="21"/>
        <v>-8.9139605001473554E-2</v>
      </c>
      <c r="J222">
        <f t="shared" si="22"/>
        <v>0</v>
      </c>
      <c r="K222">
        <f t="shared" si="23"/>
        <v>0</v>
      </c>
    </row>
    <row r="223" spans="1:11" x14ac:dyDescent="0.3">
      <c r="A223" s="1">
        <v>39600</v>
      </c>
      <c r="B223">
        <v>20.169989000000001</v>
      </c>
      <c r="C223" s="1">
        <v>39600</v>
      </c>
      <c r="D223">
        <v>1280</v>
      </c>
      <c r="E223">
        <v>3.3540948994528197E-3</v>
      </c>
      <c r="F223">
        <f t="shared" si="18"/>
        <v>-6.5067759828723926E-2</v>
      </c>
      <c r="G223">
        <f t="shared" si="19"/>
        <v>-9.8593710937500134E-3</v>
      </c>
      <c r="H223">
        <f t="shared" si="20"/>
        <v>-6.8421854728176745E-2</v>
      </c>
      <c r="I223">
        <f t="shared" si="21"/>
        <v>-1.3213465993202833E-2</v>
      </c>
      <c r="J223">
        <f t="shared" si="22"/>
        <v>0</v>
      </c>
      <c r="K223">
        <f t="shared" si="23"/>
        <v>0</v>
      </c>
    </row>
    <row r="224" spans="1:11" x14ac:dyDescent="0.3">
      <c r="A224" s="1">
        <v>39630</v>
      </c>
      <c r="B224">
        <v>18.857572999999999</v>
      </c>
      <c r="C224" s="1">
        <v>39630</v>
      </c>
      <c r="D224">
        <v>1267.380005</v>
      </c>
      <c r="E224">
        <v>3.281778480337616E-3</v>
      </c>
      <c r="F224">
        <f t="shared" si="18"/>
        <v>6.1042584854371196E-2</v>
      </c>
      <c r="G224">
        <f t="shared" si="19"/>
        <v>1.2190464532380041E-2</v>
      </c>
      <c r="H224">
        <f t="shared" si="20"/>
        <v>5.776080637403358E-2</v>
      </c>
      <c r="I224">
        <f t="shared" si="21"/>
        <v>8.9086860520424249E-3</v>
      </c>
      <c r="J224">
        <f t="shared" si="22"/>
        <v>0</v>
      </c>
      <c r="K224">
        <f t="shared" si="23"/>
        <v>0</v>
      </c>
    </row>
    <row r="225" spans="1:11" x14ac:dyDescent="0.3">
      <c r="A225" s="1">
        <v>39661</v>
      </c>
      <c r="B225">
        <v>20.008687999999999</v>
      </c>
      <c r="C225" s="1">
        <v>39661</v>
      </c>
      <c r="D225">
        <v>1282.829956</v>
      </c>
      <c r="E225">
        <v>3.1852673082803928E-3</v>
      </c>
      <c r="F225">
        <f t="shared" si="18"/>
        <v>-1.8085343726685132E-2</v>
      </c>
      <c r="G225">
        <f t="shared" si="19"/>
        <v>-9.0791433779084607E-2</v>
      </c>
      <c r="H225">
        <f t="shared" si="20"/>
        <v>-2.1270611034965525E-2</v>
      </c>
      <c r="I225">
        <f t="shared" si="21"/>
        <v>-9.3976701087365E-2</v>
      </c>
      <c r="J225">
        <f t="shared" si="22"/>
        <v>0</v>
      </c>
      <c r="K225">
        <f t="shared" si="23"/>
        <v>0</v>
      </c>
    </row>
    <row r="226" spans="1:11" x14ac:dyDescent="0.3">
      <c r="A226" s="1">
        <v>39692</v>
      </c>
      <c r="B226">
        <v>19.646823999999999</v>
      </c>
      <c r="C226" s="1">
        <v>39692</v>
      </c>
      <c r="D226">
        <v>1166.3599850000001</v>
      </c>
      <c r="E226">
        <v>3.0241880399000109E-3</v>
      </c>
      <c r="F226">
        <f t="shared" si="18"/>
        <v>-0.16335739557701523</v>
      </c>
      <c r="G226">
        <f t="shared" si="19"/>
        <v>-0.1694245237674199</v>
      </c>
      <c r="H226">
        <f t="shared" si="20"/>
        <v>-0.16638158361691524</v>
      </c>
      <c r="I226">
        <f t="shared" si="21"/>
        <v>-0.17244871180731991</v>
      </c>
      <c r="J226">
        <f t="shared" si="22"/>
        <v>0</v>
      </c>
      <c r="K226">
        <f t="shared" si="23"/>
        <v>0</v>
      </c>
    </row>
    <row r="227" spans="1:11" x14ac:dyDescent="0.3">
      <c r="A227" s="1">
        <v>39722</v>
      </c>
      <c r="B227">
        <v>16.437370000000001</v>
      </c>
      <c r="C227" s="1">
        <v>39722</v>
      </c>
      <c r="D227">
        <v>968.75</v>
      </c>
      <c r="E227">
        <v>3.1208697401348129E-3</v>
      </c>
      <c r="F227">
        <f t="shared" si="18"/>
        <v>-9.4491637044125776E-2</v>
      </c>
      <c r="G227">
        <f t="shared" si="19"/>
        <v>-7.4849042580645175E-2</v>
      </c>
      <c r="H227">
        <f t="shared" si="20"/>
        <v>-9.7612506784260589E-2</v>
      </c>
      <c r="I227">
        <f t="shared" si="21"/>
        <v>-7.7969912320779988E-2</v>
      </c>
      <c r="J227">
        <f t="shared" si="22"/>
        <v>0</v>
      </c>
      <c r="K227">
        <f t="shared" si="23"/>
        <v>0</v>
      </c>
    </row>
    <row r="228" spans="1:11" x14ac:dyDescent="0.3">
      <c r="A228" s="1">
        <v>39753</v>
      </c>
      <c r="B228">
        <v>14.884176</v>
      </c>
      <c r="C228" s="1">
        <v>39753</v>
      </c>
      <c r="D228">
        <v>896.23999000000003</v>
      </c>
      <c r="E228">
        <v>2.8951194362685229E-3</v>
      </c>
      <c r="F228">
        <f t="shared" si="18"/>
        <v>-3.2062305632505339E-2</v>
      </c>
      <c r="G228">
        <f t="shared" si="19"/>
        <v>7.8215768970539834E-3</v>
      </c>
      <c r="H228">
        <f t="shared" si="20"/>
        <v>-3.4957425068773862E-2</v>
      </c>
      <c r="I228">
        <f t="shared" si="21"/>
        <v>4.9264574607854605E-3</v>
      </c>
      <c r="J228">
        <f t="shared" si="22"/>
        <v>0</v>
      </c>
      <c r="K228">
        <f t="shared" si="23"/>
        <v>0</v>
      </c>
    </row>
    <row r="229" spans="1:11" x14ac:dyDescent="0.3">
      <c r="A229" s="1">
        <v>39783</v>
      </c>
      <c r="B229">
        <v>14.406955</v>
      </c>
      <c r="C229" s="1">
        <v>39783</v>
      </c>
      <c r="D229">
        <v>903.25</v>
      </c>
      <c r="E229">
        <v>1.9946383202138485E-3</v>
      </c>
      <c r="F229">
        <f t="shared" si="18"/>
        <v>-0.12037040443313662</v>
      </c>
      <c r="G229">
        <f t="shared" si="19"/>
        <v>-8.5657342928314395E-2</v>
      </c>
      <c r="H229">
        <f t="shared" si="20"/>
        <v>-0.12236504275335047</v>
      </c>
      <c r="I229">
        <f t="shared" si="21"/>
        <v>-8.7651981248528243E-2</v>
      </c>
      <c r="J229">
        <f t="shared" si="22"/>
        <v>0</v>
      </c>
      <c r="K229">
        <f t="shared" si="23"/>
        <v>0</v>
      </c>
    </row>
    <row r="230" spans="1:11" x14ac:dyDescent="0.3">
      <c r="A230" s="1">
        <v>39814</v>
      </c>
      <c r="B230">
        <v>12.672784</v>
      </c>
      <c r="C230" s="1">
        <v>39814</v>
      </c>
      <c r="D230">
        <v>825.88000499999998</v>
      </c>
      <c r="E230">
        <v>2.0761284687424997E-3</v>
      </c>
      <c r="F230">
        <f t="shared" si="18"/>
        <v>-5.5555511717078176E-2</v>
      </c>
      <c r="G230">
        <f t="shared" si="19"/>
        <v>-0.10993119757149228</v>
      </c>
      <c r="H230">
        <f t="shared" si="20"/>
        <v>-5.7631640185820676E-2</v>
      </c>
      <c r="I230">
        <f t="shared" si="21"/>
        <v>-0.11200732604023478</v>
      </c>
      <c r="J230">
        <f t="shared" si="22"/>
        <v>0</v>
      </c>
      <c r="K230">
        <f t="shared" si="23"/>
        <v>0</v>
      </c>
    </row>
    <row r="231" spans="1:11" x14ac:dyDescent="0.3">
      <c r="A231" s="1">
        <v>39845</v>
      </c>
      <c r="B231">
        <v>11.968741</v>
      </c>
      <c r="C231" s="1">
        <v>39845</v>
      </c>
      <c r="D231">
        <v>735.09002699999996</v>
      </c>
      <c r="E231">
        <v>2.3607713389290907E-3</v>
      </c>
      <c r="F231">
        <f t="shared" si="18"/>
        <v>0.14526047476505677</v>
      </c>
      <c r="G231">
        <f t="shared" si="19"/>
        <v>8.540446162249471E-2</v>
      </c>
      <c r="H231">
        <f t="shared" si="20"/>
        <v>0.14289970342612768</v>
      </c>
      <c r="I231">
        <f t="shared" si="21"/>
        <v>8.3043690283565619E-2</v>
      </c>
      <c r="J231">
        <f t="shared" si="22"/>
        <v>0</v>
      </c>
      <c r="K231">
        <f t="shared" si="23"/>
        <v>0</v>
      </c>
    </row>
    <row r="232" spans="1:11" x14ac:dyDescent="0.3">
      <c r="A232" s="1">
        <v>39873</v>
      </c>
      <c r="B232">
        <v>13.707326</v>
      </c>
      <c r="C232" s="1">
        <v>39873</v>
      </c>
      <c r="D232">
        <v>797.86999500000002</v>
      </c>
      <c r="E232">
        <v>2.3201624741928661E-3</v>
      </c>
      <c r="F232">
        <f t="shared" si="18"/>
        <v>0.10288469100392006</v>
      </c>
      <c r="G232">
        <f t="shared" si="19"/>
        <v>9.3925079862164695E-2</v>
      </c>
      <c r="H232">
        <f t="shared" si="20"/>
        <v>0.10056452852972719</v>
      </c>
      <c r="I232">
        <f t="shared" si="21"/>
        <v>9.1604917387971829E-2</v>
      </c>
      <c r="J232">
        <f t="shared" si="22"/>
        <v>0</v>
      </c>
      <c r="K232">
        <f t="shared" si="23"/>
        <v>0</v>
      </c>
    </row>
    <row r="233" spans="1:11" x14ac:dyDescent="0.3">
      <c r="A233" s="1">
        <v>39904</v>
      </c>
      <c r="B233">
        <v>15.117599999999999</v>
      </c>
      <c r="C233" s="1">
        <v>39904</v>
      </c>
      <c r="D233">
        <v>872.80999799999995</v>
      </c>
      <c r="E233">
        <v>2.4094781004899701E-3</v>
      </c>
      <c r="F233">
        <f t="shared" si="18"/>
        <v>3.1095875006614815E-2</v>
      </c>
      <c r="G233">
        <f t="shared" si="19"/>
        <v>5.3081446255385467E-2</v>
      </c>
      <c r="H233">
        <f t="shared" si="20"/>
        <v>2.8686396906124845E-2</v>
      </c>
      <c r="I233">
        <f t="shared" si="21"/>
        <v>5.0671968154895497E-2</v>
      </c>
      <c r="J233">
        <f t="shared" si="22"/>
        <v>0</v>
      </c>
      <c r="K233">
        <f t="shared" si="23"/>
        <v>0</v>
      </c>
    </row>
    <row r="234" spans="1:11" x14ac:dyDescent="0.3">
      <c r="A234" s="1">
        <v>39934</v>
      </c>
      <c r="B234">
        <v>15.587695</v>
      </c>
      <c r="C234" s="1">
        <v>39934</v>
      </c>
      <c r="D234">
        <v>919.14001499999995</v>
      </c>
      <c r="E234">
        <v>2.7011732814758993E-3</v>
      </c>
      <c r="F234">
        <f t="shared" si="18"/>
        <v>0.14509136854422677</v>
      </c>
      <c r="G234">
        <f t="shared" si="19"/>
        <v>1.9582653030303376E-4</v>
      </c>
      <c r="H234">
        <f t="shared" si="20"/>
        <v>0.14239019526275087</v>
      </c>
      <c r="I234">
        <f t="shared" si="21"/>
        <v>-2.5053467511728655E-3</v>
      </c>
      <c r="J234">
        <f t="shared" si="22"/>
        <v>0</v>
      </c>
      <c r="K234">
        <f t="shared" si="23"/>
        <v>0</v>
      </c>
    </row>
    <row r="235" spans="1:11" x14ac:dyDescent="0.3">
      <c r="A235" s="1">
        <v>39965</v>
      </c>
      <c r="B235">
        <v>17.849335</v>
      </c>
      <c r="C235" s="1">
        <v>39965</v>
      </c>
      <c r="D235">
        <v>919.32000700000003</v>
      </c>
      <c r="E235">
        <v>3.0483680766628662E-3</v>
      </c>
      <c r="F235">
        <f t="shared" si="18"/>
        <v>-1.0517870833843257E-2</v>
      </c>
      <c r="G235">
        <f t="shared" si="19"/>
        <v>7.4141727016716619E-2</v>
      </c>
      <c r="H235">
        <f t="shared" si="20"/>
        <v>-1.3566238910506123E-2</v>
      </c>
      <c r="I235">
        <f t="shared" si="21"/>
        <v>7.1093358940053752E-2</v>
      </c>
      <c r="J235">
        <f t="shared" si="22"/>
        <v>0</v>
      </c>
      <c r="K235">
        <f t="shared" si="23"/>
        <v>0</v>
      </c>
    </row>
    <row r="236" spans="1:11" x14ac:dyDescent="0.3">
      <c r="A236" s="1">
        <v>39995</v>
      </c>
      <c r="B236">
        <v>17.661598000000001</v>
      </c>
      <c r="C236" s="1">
        <v>39995</v>
      </c>
      <c r="D236">
        <v>987.47997999999995</v>
      </c>
      <c r="E236">
        <v>2.9193337207231718E-3</v>
      </c>
      <c r="F236">
        <f t="shared" si="18"/>
        <v>4.8044406853785082E-2</v>
      </c>
      <c r="G236">
        <f t="shared" si="19"/>
        <v>3.3560189240494864E-2</v>
      </c>
      <c r="H236">
        <f t="shared" si="20"/>
        <v>4.512507313306191E-2</v>
      </c>
      <c r="I236">
        <f t="shared" si="21"/>
        <v>3.0640855519771693E-2</v>
      </c>
      <c r="J236">
        <f t="shared" si="22"/>
        <v>0</v>
      </c>
      <c r="K236">
        <f t="shared" si="23"/>
        <v>0</v>
      </c>
    </row>
    <row r="237" spans="1:11" x14ac:dyDescent="0.3">
      <c r="A237" s="1">
        <v>40026</v>
      </c>
      <c r="B237">
        <v>18.510138999999999</v>
      </c>
      <c r="C237" s="1">
        <v>40026</v>
      </c>
      <c r="D237">
        <v>1020.619995</v>
      </c>
      <c r="E237">
        <v>2.9435415760119543E-3</v>
      </c>
      <c r="F237">
        <f t="shared" si="18"/>
        <v>4.927477854164164E-2</v>
      </c>
      <c r="G237">
        <f t="shared" si="19"/>
        <v>3.5723345788458705E-2</v>
      </c>
      <c r="H237">
        <f t="shared" si="20"/>
        <v>4.6331236965629685E-2</v>
      </c>
      <c r="I237">
        <f t="shared" si="21"/>
        <v>3.277980421244675E-2</v>
      </c>
      <c r="J237">
        <f t="shared" si="22"/>
        <v>0</v>
      </c>
      <c r="K237">
        <f t="shared" si="23"/>
        <v>0</v>
      </c>
    </row>
    <row r="238" spans="1:11" x14ac:dyDescent="0.3">
      <c r="A238" s="1">
        <v>40057</v>
      </c>
      <c r="B238">
        <v>19.422222000000001</v>
      </c>
      <c r="C238" s="1">
        <v>40057</v>
      </c>
      <c r="D238">
        <v>1057.079956</v>
      </c>
      <c r="E238">
        <v>2.7901164905321796E-3</v>
      </c>
      <c r="F238">
        <f t="shared" si="18"/>
        <v>7.8149245745414708E-2</v>
      </c>
      <c r="G238">
        <f t="shared" si="19"/>
        <v>-1.9762000860415463E-2</v>
      </c>
      <c r="H238">
        <f t="shared" si="20"/>
        <v>7.5359129254882529E-2</v>
      </c>
      <c r="I238">
        <f t="shared" si="21"/>
        <v>-2.2552117350947642E-2</v>
      </c>
      <c r="J238">
        <f t="shared" si="22"/>
        <v>0</v>
      </c>
      <c r="K238">
        <f t="shared" si="23"/>
        <v>0</v>
      </c>
    </row>
    <row r="239" spans="1:11" x14ac:dyDescent="0.3">
      <c r="A239" s="1">
        <v>40087</v>
      </c>
      <c r="B239">
        <v>20.940054</v>
      </c>
      <c r="C239" s="1">
        <v>40087</v>
      </c>
      <c r="D239">
        <v>1036.1899410000001</v>
      </c>
      <c r="E239">
        <v>2.7820343292721539E-3</v>
      </c>
      <c r="F239">
        <f t="shared" si="18"/>
        <v>6.0584323230494119E-2</v>
      </c>
      <c r="G239">
        <f t="shared" si="19"/>
        <v>5.736406198137356E-2</v>
      </c>
      <c r="H239">
        <f t="shared" si="20"/>
        <v>5.7802288901221965E-2</v>
      </c>
      <c r="I239">
        <f t="shared" si="21"/>
        <v>5.4582027652101406E-2</v>
      </c>
      <c r="J239">
        <f t="shared" si="22"/>
        <v>0</v>
      </c>
      <c r="K239">
        <f t="shared" si="23"/>
        <v>0</v>
      </c>
    </row>
    <row r="240" spans="1:11" x14ac:dyDescent="0.3">
      <c r="A240" s="1">
        <v>40118</v>
      </c>
      <c r="B240">
        <v>22.208693</v>
      </c>
      <c r="C240" s="1">
        <v>40118</v>
      </c>
      <c r="D240">
        <v>1095.630005</v>
      </c>
      <c r="E240">
        <v>2.7901164905321796E-3</v>
      </c>
      <c r="F240">
        <f t="shared" si="18"/>
        <v>4.0963329089199529E-2</v>
      </c>
      <c r="G240">
        <f t="shared" si="19"/>
        <v>1.7770571188400419E-2</v>
      </c>
      <c r="H240">
        <f t="shared" si="20"/>
        <v>3.817321259866735E-2</v>
      </c>
      <c r="I240">
        <f t="shared" si="21"/>
        <v>1.498045469786824E-2</v>
      </c>
      <c r="J240">
        <f t="shared" si="22"/>
        <v>0</v>
      </c>
      <c r="K240">
        <f t="shared" si="23"/>
        <v>0</v>
      </c>
    </row>
    <row r="241" spans="1:11" x14ac:dyDescent="0.3">
      <c r="A241" s="1">
        <v>40148</v>
      </c>
      <c r="B241">
        <v>23.118435000000002</v>
      </c>
      <c r="C241" s="1">
        <v>40148</v>
      </c>
      <c r="D241">
        <v>1115.099976</v>
      </c>
      <c r="E241">
        <v>2.9435415760119543E-3</v>
      </c>
      <c r="F241">
        <f t="shared" si="18"/>
        <v>-7.5459389876520677E-2</v>
      </c>
      <c r="G241">
        <f t="shared" si="19"/>
        <v>-3.6974246154947377E-2</v>
      </c>
      <c r="H241">
        <f t="shared" si="20"/>
        <v>-7.8402931452532632E-2</v>
      </c>
      <c r="I241">
        <f t="shared" si="21"/>
        <v>-3.9917787730959331E-2</v>
      </c>
      <c r="J241">
        <f t="shared" si="22"/>
        <v>0</v>
      </c>
      <c r="K241">
        <f t="shared" si="23"/>
        <v>0</v>
      </c>
    </row>
    <row r="242" spans="1:11" x14ac:dyDescent="0.3">
      <c r="A242" s="1">
        <v>40179</v>
      </c>
      <c r="B242">
        <v>21.373932</v>
      </c>
      <c r="C242" s="1">
        <v>40179</v>
      </c>
      <c r="D242">
        <v>1073.869995</v>
      </c>
      <c r="E242">
        <v>3.0564266642594262E-3</v>
      </c>
      <c r="F242">
        <f t="shared" si="18"/>
        <v>1.7388377580690451E-2</v>
      </c>
      <c r="G242">
        <f t="shared" si="19"/>
        <v>2.8513688940531301E-2</v>
      </c>
      <c r="H242">
        <f t="shared" si="20"/>
        <v>1.4331950916431024E-2</v>
      </c>
      <c r="I242">
        <f t="shared" si="21"/>
        <v>2.5457262276271875E-2</v>
      </c>
      <c r="J242">
        <f t="shared" si="22"/>
        <v>0</v>
      </c>
      <c r="K242">
        <f t="shared" si="23"/>
        <v>0</v>
      </c>
    </row>
    <row r="243" spans="1:11" x14ac:dyDescent="0.3">
      <c r="A243" s="1">
        <v>40210</v>
      </c>
      <c r="B243">
        <v>21.74559</v>
      </c>
      <c r="C243" s="1">
        <v>40210</v>
      </c>
      <c r="D243">
        <v>1104.48999</v>
      </c>
      <c r="E243">
        <v>3.0241880399000109E-3</v>
      </c>
      <c r="F243">
        <f t="shared" si="18"/>
        <v>2.6402732692007769E-2</v>
      </c>
      <c r="G243">
        <f t="shared" si="19"/>
        <v>5.8796426031891835E-2</v>
      </c>
      <c r="H243">
        <f t="shared" si="20"/>
        <v>2.3378544652107758E-2</v>
      </c>
      <c r="I243">
        <f t="shared" si="21"/>
        <v>5.5772237991991824E-2</v>
      </c>
      <c r="J243">
        <f t="shared" si="22"/>
        <v>0</v>
      </c>
      <c r="K243">
        <f t="shared" si="23"/>
        <v>0</v>
      </c>
    </row>
    <row r="244" spans="1:11" x14ac:dyDescent="0.3">
      <c r="A244" s="1">
        <v>40238</v>
      </c>
      <c r="B244">
        <v>22.319732999999999</v>
      </c>
      <c r="C244" s="1">
        <v>40238</v>
      </c>
      <c r="D244">
        <v>1169.4300539999999</v>
      </c>
      <c r="E244">
        <v>3.0564266642594262E-3</v>
      </c>
      <c r="F244">
        <f t="shared" si="18"/>
        <v>4.2676809798755322E-2</v>
      </c>
      <c r="G244">
        <f t="shared" si="19"/>
        <v>1.4759229883791081E-2</v>
      </c>
      <c r="H244">
        <f t="shared" si="20"/>
        <v>3.9620383134495896E-2</v>
      </c>
      <c r="I244">
        <f t="shared" si="21"/>
        <v>1.1702803219531654E-2</v>
      </c>
      <c r="J244">
        <f t="shared" si="22"/>
        <v>0</v>
      </c>
      <c r="K244">
        <f t="shared" si="23"/>
        <v>0</v>
      </c>
    </row>
    <row r="245" spans="1:11" x14ac:dyDescent="0.3">
      <c r="A245" s="1">
        <v>40269</v>
      </c>
      <c r="B245">
        <v>23.272268</v>
      </c>
      <c r="C245" s="1">
        <v>40269</v>
      </c>
      <c r="D245">
        <v>1186.6899410000001</v>
      </c>
      <c r="E245">
        <v>3.1530742084739938E-3</v>
      </c>
      <c r="F245">
        <f t="shared" si="18"/>
        <v>-0.15520657462349607</v>
      </c>
      <c r="G245">
        <f t="shared" si="19"/>
        <v>-8.1975841910334468E-2</v>
      </c>
      <c r="H245">
        <f t="shared" si="20"/>
        <v>-0.15835964883197007</v>
      </c>
      <c r="I245">
        <f t="shared" si="21"/>
        <v>-8.5128916118808462E-2</v>
      </c>
      <c r="J245">
        <f t="shared" si="22"/>
        <v>0</v>
      </c>
      <c r="K245">
        <f t="shared" si="23"/>
        <v>0</v>
      </c>
    </row>
    <row r="246" spans="1:11" x14ac:dyDescent="0.3">
      <c r="A246" s="1">
        <v>40299</v>
      </c>
      <c r="B246">
        <v>19.660259</v>
      </c>
      <c r="C246" s="1">
        <v>40299</v>
      </c>
      <c r="D246">
        <v>1089.410034</v>
      </c>
      <c r="E246">
        <v>2.8062786637694792E-3</v>
      </c>
      <c r="F246">
        <f t="shared" si="18"/>
        <v>-0.10411480337059653</v>
      </c>
      <c r="G246">
        <f t="shared" si="19"/>
        <v>-5.3882442026415123E-2</v>
      </c>
      <c r="H246">
        <f t="shared" si="20"/>
        <v>-0.10692108203436601</v>
      </c>
      <c r="I246">
        <f t="shared" si="21"/>
        <v>-5.6688720690184602E-2</v>
      </c>
      <c r="J246">
        <f t="shared" si="22"/>
        <v>0</v>
      </c>
      <c r="K246">
        <f t="shared" si="23"/>
        <v>0</v>
      </c>
    </row>
    <row r="247" spans="1:11" x14ac:dyDescent="0.3">
      <c r="A247" s="1">
        <v>40330</v>
      </c>
      <c r="B247">
        <v>17.613334999999999</v>
      </c>
      <c r="C247" s="1">
        <v>40330</v>
      </c>
      <c r="D247">
        <v>1030.709961</v>
      </c>
      <c r="E247">
        <v>2.6283369587845051E-3</v>
      </c>
      <c r="F247">
        <f t="shared" si="18"/>
        <v>0.12168604071858069</v>
      </c>
      <c r="G247">
        <f t="shared" si="19"/>
        <v>6.8777849911552336E-2</v>
      </c>
      <c r="H247">
        <f t="shared" si="20"/>
        <v>0.11905770375979619</v>
      </c>
      <c r="I247">
        <f t="shared" si="21"/>
        <v>6.614951295276783E-2</v>
      </c>
      <c r="J247">
        <f t="shared" si="22"/>
        <v>0</v>
      </c>
      <c r="K247">
        <f t="shared" si="23"/>
        <v>0</v>
      </c>
    </row>
    <row r="248" spans="1:11" x14ac:dyDescent="0.3">
      <c r="A248" s="1">
        <v>40360</v>
      </c>
      <c r="B248">
        <v>19.756632</v>
      </c>
      <c r="C248" s="1">
        <v>40360</v>
      </c>
      <c r="D248">
        <v>1101.599976</v>
      </c>
      <c r="E248">
        <v>2.4743799799444854E-3</v>
      </c>
      <c r="F248">
        <f t="shared" si="18"/>
        <v>-9.066277086094443E-2</v>
      </c>
      <c r="G248">
        <f t="shared" si="19"/>
        <v>-4.7449184040287196E-2</v>
      </c>
      <c r="H248">
        <f t="shared" si="20"/>
        <v>-9.3137150840888916E-2</v>
      </c>
      <c r="I248">
        <f t="shared" si="21"/>
        <v>-4.9923564020231681E-2</v>
      </c>
      <c r="J248">
        <f t="shared" si="22"/>
        <v>0</v>
      </c>
      <c r="K248">
        <f t="shared" si="23"/>
        <v>0</v>
      </c>
    </row>
    <row r="249" spans="1:11" x14ac:dyDescent="0.3">
      <c r="A249" s="1">
        <v>40391</v>
      </c>
      <c r="B249">
        <v>17.965440999999998</v>
      </c>
      <c r="C249" s="1">
        <v>40391</v>
      </c>
      <c r="D249">
        <v>1049.329956</v>
      </c>
      <c r="E249">
        <v>2.2226272943570713E-3</v>
      </c>
      <c r="F249">
        <f t="shared" si="18"/>
        <v>4.9025737804042846E-2</v>
      </c>
      <c r="G249">
        <f t="shared" si="19"/>
        <v>8.7551102944020132E-2</v>
      </c>
      <c r="H249">
        <f t="shared" si="20"/>
        <v>4.6803110509685775E-2</v>
      </c>
      <c r="I249">
        <f t="shared" si="21"/>
        <v>8.532847564966306E-2</v>
      </c>
      <c r="J249">
        <f t="shared" si="22"/>
        <v>0</v>
      </c>
      <c r="K249">
        <f t="shared" si="23"/>
        <v>0</v>
      </c>
    </row>
    <row r="250" spans="1:11" x14ac:dyDescent="0.3">
      <c r="A250" s="1">
        <v>40422</v>
      </c>
      <c r="B250">
        <v>18.846209999999999</v>
      </c>
      <c r="C250" s="1">
        <v>40422</v>
      </c>
      <c r="D250">
        <v>1141.1999510000001</v>
      </c>
      <c r="E250">
        <v>2.18195680041533E-3</v>
      </c>
      <c r="F250">
        <f t="shared" si="18"/>
        <v>8.9016306196312289E-2</v>
      </c>
      <c r="G250">
        <f t="shared" si="19"/>
        <v>3.6855994397076541E-2</v>
      </c>
      <c r="H250">
        <f t="shared" si="20"/>
        <v>8.6834349395896959E-2</v>
      </c>
      <c r="I250">
        <f t="shared" si="21"/>
        <v>3.4674037596661211E-2</v>
      </c>
      <c r="J250">
        <f t="shared" si="22"/>
        <v>0</v>
      </c>
      <c r="K250">
        <f t="shared" si="23"/>
        <v>0</v>
      </c>
    </row>
    <row r="251" spans="1:11" x14ac:dyDescent="0.3">
      <c r="A251" s="1">
        <v>40452</v>
      </c>
      <c r="B251">
        <v>20.52383</v>
      </c>
      <c r="C251" s="1">
        <v>40452</v>
      </c>
      <c r="D251">
        <v>1183.26001</v>
      </c>
      <c r="E251">
        <v>2.0924177544194844E-3</v>
      </c>
      <c r="F251">
        <f t="shared" si="18"/>
        <v>-5.2868543541824353E-2</v>
      </c>
      <c r="G251">
        <f t="shared" si="19"/>
        <v>-2.2902497989432113E-3</v>
      </c>
      <c r="H251">
        <f t="shared" si="20"/>
        <v>-5.4960961296243838E-2</v>
      </c>
      <c r="I251">
        <f t="shared" si="21"/>
        <v>-4.3826675533626958E-3</v>
      </c>
      <c r="J251">
        <f t="shared" si="22"/>
        <v>0</v>
      </c>
      <c r="K251">
        <f t="shared" si="23"/>
        <v>0</v>
      </c>
    </row>
    <row r="252" spans="1:11" x14ac:dyDescent="0.3">
      <c r="A252" s="1">
        <v>40483</v>
      </c>
      <c r="B252">
        <v>19.438765</v>
      </c>
      <c r="C252" s="1">
        <v>40483</v>
      </c>
      <c r="D252">
        <v>1180.5500489999999</v>
      </c>
      <c r="E252">
        <v>2.2714079351586758E-3</v>
      </c>
      <c r="F252">
        <f t="shared" si="18"/>
        <v>0.11169793965820363</v>
      </c>
      <c r="G252">
        <f t="shared" si="19"/>
        <v>6.5300040489854716E-2</v>
      </c>
      <c r="H252">
        <f t="shared" si="20"/>
        <v>0.10942653172304495</v>
      </c>
      <c r="I252">
        <f t="shared" si="21"/>
        <v>6.302863255469604E-2</v>
      </c>
      <c r="J252">
        <f t="shared" si="22"/>
        <v>0</v>
      </c>
      <c r="K252">
        <f t="shared" si="23"/>
        <v>0</v>
      </c>
    </row>
    <row r="253" spans="1:11" x14ac:dyDescent="0.3">
      <c r="A253" s="1">
        <v>40513</v>
      </c>
      <c r="B253">
        <v>21.610035</v>
      </c>
      <c r="C253" s="1">
        <v>40513</v>
      </c>
      <c r="D253">
        <v>1257.6400149999999</v>
      </c>
      <c r="E253">
        <v>2.7011732814758993E-3</v>
      </c>
      <c r="F253">
        <f t="shared" si="18"/>
        <v>-6.4488558209183644E-3</v>
      </c>
      <c r="G253">
        <f t="shared" si="19"/>
        <v>2.2645573980086819E-2</v>
      </c>
      <c r="H253">
        <f t="shared" si="20"/>
        <v>-9.1500291023942637E-3</v>
      </c>
      <c r="I253">
        <f t="shared" si="21"/>
        <v>1.994440069861092E-2</v>
      </c>
      <c r="J253">
        <f t="shared" si="22"/>
        <v>0</v>
      </c>
      <c r="K253">
        <f t="shared" si="23"/>
        <v>0</v>
      </c>
    </row>
    <row r="254" spans="1:11" x14ac:dyDescent="0.3">
      <c r="A254" s="1">
        <v>40544</v>
      </c>
      <c r="B254">
        <v>21.470675</v>
      </c>
      <c r="C254" s="1">
        <v>40544</v>
      </c>
      <c r="D254">
        <v>1286.119995</v>
      </c>
      <c r="E254">
        <v>2.7820343292721539E-3</v>
      </c>
      <c r="F254">
        <f t="shared" si="18"/>
        <v>-4.1471495423408888E-2</v>
      </c>
      <c r="G254">
        <f t="shared" si="19"/>
        <v>3.1956564052952219E-2</v>
      </c>
      <c r="H254">
        <f t="shared" si="20"/>
        <v>-4.4253529752681042E-2</v>
      </c>
      <c r="I254">
        <f t="shared" si="21"/>
        <v>2.9174529723680065E-2</v>
      </c>
      <c r="J254">
        <f t="shared" si="22"/>
        <v>0</v>
      </c>
      <c r="K254">
        <f t="shared" si="23"/>
        <v>0</v>
      </c>
    </row>
    <row r="255" spans="1:11" x14ac:dyDescent="0.3">
      <c r="A255" s="1">
        <v>40575</v>
      </c>
      <c r="B255">
        <v>20.580254</v>
      </c>
      <c r="C255" s="1">
        <v>40575</v>
      </c>
      <c r="D255">
        <v>1327.219971</v>
      </c>
      <c r="E255">
        <v>2.9354730050472622E-3</v>
      </c>
      <c r="F255">
        <f t="shared" si="18"/>
        <v>-3.9124638597754946E-2</v>
      </c>
      <c r="G255">
        <f t="shared" si="19"/>
        <v>-1.0473132038185673E-3</v>
      </c>
      <c r="H255">
        <f t="shared" si="20"/>
        <v>-4.2060111602802208E-2</v>
      </c>
      <c r="I255">
        <f t="shared" si="21"/>
        <v>-3.9827862088658295E-3</v>
      </c>
      <c r="J255">
        <f t="shared" si="22"/>
        <v>0</v>
      </c>
      <c r="K255">
        <f t="shared" si="23"/>
        <v>0</v>
      </c>
    </row>
    <row r="256" spans="1:11" x14ac:dyDescent="0.3">
      <c r="A256" s="1">
        <v>40603</v>
      </c>
      <c r="B256">
        <v>19.775058999999999</v>
      </c>
      <c r="C256" s="1">
        <v>40603</v>
      </c>
      <c r="D256">
        <v>1325.829956</v>
      </c>
      <c r="E256">
        <v>2.7981979353204345E-3</v>
      </c>
      <c r="F256">
        <f t="shared" si="18"/>
        <v>2.0874274003430227E-2</v>
      </c>
      <c r="G256">
        <f t="shared" si="19"/>
        <v>2.8495380443795071E-2</v>
      </c>
      <c r="H256">
        <f t="shared" si="20"/>
        <v>1.8076076068109792E-2</v>
      </c>
      <c r="I256">
        <f t="shared" si="21"/>
        <v>2.5697182508474636E-2</v>
      </c>
      <c r="J256">
        <f t="shared" si="22"/>
        <v>0</v>
      </c>
      <c r="K256">
        <f t="shared" si="23"/>
        <v>0</v>
      </c>
    </row>
    <row r="257" spans="1:11" x14ac:dyDescent="0.3">
      <c r="A257" s="1">
        <v>40634</v>
      </c>
      <c r="B257">
        <v>20.187849</v>
      </c>
      <c r="C257" s="1">
        <v>40634</v>
      </c>
      <c r="D257">
        <v>1363.6099850000001</v>
      </c>
      <c r="E257">
        <v>2.8305165524094011E-3</v>
      </c>
      <c r="F257">
        <f t="shared" si="18"/>
        <v>-3.5107999866652473E-2</v>
      </c>
      <c r="G257">
        <f t="shared" si="19"/>
        <v>-1.3500952766930641E-2</v>
      </c>
      <c r="H257">
        <f t="shared" si="20"/>
        <v>-3.7938516419061874E-2</v>
      </c>
      <c r="I257">
        <f t="shared" si="21"/>
        <v>-1.6331469319340042E-2</v>
      </c>
      <c r="J257">
        <f t="shared" si="22"/>
        <v>0</v>
      </c>
      <c r="K257">
        <f t="shared" si="23"/>
        <v>0</v>
      </c>
    </row>
    <row r="258" spans="1:11" x14ac:dyDescent="0.3">
      <c r="A258" s="1">
        <v>40664</v>
      </c>
      <c r="B258">
        <v>19.479094</v>
      </c>
      <c r="C258" s="1">
        <v>40664</v>
      </c>
      <c r="D258">
        <v>1345.1999510000001</v>
      </c>
      <c r="E258">
        <v>2.6040452449183071E-3</v>
      </c>
      <c r="F258">
        <f t="shared" si="18"/>
        <v>4.6398513195736957E-2</v>
      </c>
      <c r="G258">
        <f t="shared" si="19"/>
        <v>-1.825746126569705E-2</v>
      </c>
      <c r="H258">
        <f t="shared" si="20"/>
        <v>4.379446795081865E-2</v>
      </c>
      <c r="I258">
        <f t="shared" si="21"/>
        <v>-2.0861506510615357E-2</v>
      </c>
      <c r="J258">
        <f t="shared" si="22"/>
        <v>0</v>
      </c>
      <c r="K258">
        <f t="shared" si="23"/>
        <v>0</v>
      </c>
    </row>
    <row r="259" spans="1:11" x14ac:dyDescent="0.3">
      <c r="A259" s="1">
        <v>40695</v>
      </c>
      <c r="B259">
        <v>20.382895000000001</v>
      </c>
      <c r="C259" s="1">
        <v>40695</v>
      </c>
      <c r="D259">
        <v>1320.6400149999999</v>
      </c>
      <c r="E259">
        <v>2.4662697723036864E-3</v>
      </c>
      <c r="F259">
        <f t="shared" ref="F259:F322" si="24">(B260/B259)-1</f>
        <v>5.3846178376526055E-2</v>
      </c>
      <c r="G259">
        <f t="shared" ref="G259:G322" si="25">(D260/D259)-1</f>
        <v>-2.1474425791952023E-2</v>
      </c>
      <c r="H259">
        <f t="shared" ref="H259:H322" si="26">F259-E259</f>
        <v>5.1379908604222368E-2</v>
      </c>
      <c r="I259">
        <f t="shared" ref="I259:I322" si="27">G259-E259</f>
        <v>-2.394069556425571E-2</v>
      </c>
      <c r="J259">
        <f t="shared" ref="J259:J322" si="28">IF(H259=$P$3, 1, 0)</f>
        <v>0</v>
      </c>
      <c r="K259">
        <f t="shared" ref="K259:K322" si="29">I259*J259</f>
        <v>0</v>
      </c>
    </row>
    <row r="260" spans="1:11" x14ac:dyDescent="0.3">
      <c r="A260" s="1">
        <v>40725</v>
      </c>
      <c r="B260">
        <v>21.480436000000001</v>
      </c>
      <c r="C260" s="1">
        <v>40725</v>
      </c>
      <c r="D260">
        <v>1292.280029</v>
      </c>
      <c r="E260">
        <v>2.4662697723036864E-3</v>
      </c>
      <c r="F260">
        <f t="shared" si="24"/>
        <v>-2.9197265828309948E-2</v>
      </c>
      <c r="G260">
        <f t="shared" si="25"/>
        <v>-5.6791107463597612E-2</v>
      </c>
      <c r="H260">
        <f t="shared" si="26"/>
        <v>-3.1663535600613635E-2</v>
      </c>
      <c r="I260">
        <f t="shared" si="27"/>
        <v>-5.9257377235901298E-2</v>
      </c>
      <c r="J260">
        <f t="shared" si="28"/>
        <v>0</v>
      </c>
      <c r="K260">
        <f t="shared" si="29"/>
        <v>0</v>
      </c>
    </row>
    <row r="261" spans="1:11" x14ac:dyDescent="0.3">
      <c r="A261" s="1">
        <v>40756</v>
      </c>
      <c r="B261">
        <v>20.853266000000001</v>
      </c>
      <c r="C261" s="1">
        <v>40756</v>
      </c>
      <c r="D261">
        <v>1218.8900149999999</v>
      </c>
      <c r="E261">
        <v>1.8967538135683526E-3</v>
      </c>
      <c r="F261">
        <f t="shared" si="24"/>
        <v>-5.8379872006620093E-2</v>
      </c>
      <c r="G261">
        <f t="shared" si="25"/>
        <v>-7.1761988303760127E-2</v>
      </c>
      <c r="H261">
        <f t="shared" si="26"/>
        <v>-6.0276625820188445E-2</v>
      </c>
      <c r="I261">
        <f t="shared" si="27"/>
        <v>-7.365874211732848E-2</v>
      </c>
      <c r="J261">
        <f t="shared" si="28"/>
        <v>0</v>
      </c>
      <c r="K261">
        <f t="shared" si="29"/>
        <v>0</v>
      </c>
    </row>
    <row r="262" spans="1:11" x14ac:dyDescent="0.3">
      <c r="A262" s="1">
        <v>40787</v>
      </c>
      <c r="B262">
        <v>19.635854999999999</v>
      </c>
      <c r="C262" s="1">
        <v>40787</v>
      </c>
      <c r="D262">
        <v>1131.420044</v>
      </c>
      <c r="E262">
        <v>1.635212974954614E-3</v>
      </c>
      <c r="F262">
        <f t="shared" si="24"/>
        <v>6.9907727470996273E-2</v>
      </c>
      <c r="G262">
        <f t="shared" si="25"/>
        <v>0.10772303853581011</v>
      </c>
      <c r="H262">
        <f t="shared" si="26"/>
        <v>6.8272514496041659E-2</v>
      </c>
      <c r="I262">
        <f t="shared" si="27"/>
        <v>0.1060878255608555</v>
      </c>
      <c r="J262">
        <f t="shared" si="28"/>
        <v>0</v>
      </c>
      <c r="K262">
        <f t="shared" si="29"/>
        <v>0</v>
      </c>
    </row>
    <row r="263" spans="1:11" x14ac:dyDescent="0.3">
      <c r="A263" s="1">
        <v>40817</v>
      </c>
      <c r="B263">
        <v>21.008552999999999</v>
      </c>
      <c r="C263" s="1">
        <v>40817</v>
      </c>
      <c r="D263">
        <v>1253.3000489999999</v>
      </c>
      <c r="E263">
        <v>1.7742500619855051E-3</v>
      </c>
      <c r="F263">
        <f t="shared" si="24"/>
        <v>-3.9429226753503577E-2</v>
      </c>
      <c r="G263">
        <f t="shared" si="25"/>
        <v>-5.0587151935872487E-3</v>
      </c>
      <c r="H263">
        <f t="shared" si="26"/>
        <v>-4.1203476815489082E-2</v>
      </c>
      <c r="I263">
        <f t="shared" si="27"/>
        <v>-6.8329652555727538E-3</v>
      </c>
      <c r="J263">
        <f t="shared" si="28"/>
        <v>0</v>
      </c>
      <c r="K263">
        <f t="shared" si="29"/>
        <v>0</v>
      </c>
    </row>
    <row r="264" spans="1:11" x14ac:dyDescent="0.3">
      <c r="A264" s="1">
        <v>40848</v>
      </c>
      <c r="B264">
        <v>20.180202000000001</v>
      </c>
      <c r="C264" s="1">
        <v>40848</v>
      </c>
      <c r="D264">
        <v>1246.959961</v>
      </c>
      <c r="E264">
        <v>1.6597643621756308E-3</v>
      </c>
      <c r="F264">
        <f t="shared" si="24"/>
        <v>2.2497247549851052E-2</v>
      </c>
      <c r="G264">
        <f t="shared" si="25"/>
        <v>8.532763948144062E-3</v>
      </c>
      <c r="H264">
        <f t="shared" si="26"/>
        <v>2.0837483187675421E-2</v>
      </c>
      <c r="I264">
        <f t="shared" si="27"/>
        <v>6.8729995859684312E-3</v>
      </c>
      <c r="J264">
        <f t="shared" si="28"/>
        <v>0</v>
      </c>
      <c r="K264">
        <f t="shared" si="29"/>
        <v>0</v>
      </c>
    </row>
    <row r="265" spans="1:11" x14ac:dyDescent="0.3">
      <c r="A265" s="1">
        <v>40878</v>
      </c>
      <c r="B265">
        <v>20.634201000000001</v>
      </c>
      <c r="C265" s="1">
        <v>40878</v>
      </c>
      <c r="D265">
        <v>1257.599976</v>
      </c>
      <c r="E265">
        <v>1.635212974954614E-3</v>
      </c>
      <c r="F265">
        <f t="shared" si="24"/>
        <v>0.13751940285935937</v>
      </c>
      <c r="G265">
        <f t="shared" si="25"/>
        <v>4.3583062218506274E-2</v>
      </c>
      <c r="H265">
        <f t="shared" si="26"/>
        <v>0.13588418988440476</v>
      </c>
      <c r="I265">
        <f t="shared" si="27"/>
        <v>4.194784924355166E-2</v>
      </c>
      <c r="J265">
        <f t="shared" si="28"/>
        <v>0</v>
      </c>
      <c r="K265">
        <f t="shared" si="29"/>
        <v>0</v>
      </c>
    </row>
    <row r="266" spans="1:11" x14ac:dyDescent="0.3">
      <c r="A266" s="1">
        <v>40909</v>
      </c>
      <c r="B266">
        <v>23.471803999999999</v>
      </c>
      <c r="C266" s="1">
        <v>40909</v>
      </c>
      <c r="D266">
        <v>1312.410034</v>
      </c>
      <c r="E266">
        <v>1.6270277079681872E-3</v>
      </c>
      <c r="F266">
        <f t="shared" si="24"/>
        <v>7.4839241159307512E-2</v>
      </c>
      <c r="G266">
        <f t="shared" si="25"/>
        <v>4.0589464130841746E-2</v>
      </c>
      <c r="H266">
        <f t="shared" si="26"/>
        <v>7.3212213451339325E-2</v>
      </c>
      <c r="I266">
        <f t="shared" si="27"/>
        <v>3.8962436422873559E-2</v>
      </c>
      <c r="J266">
        <f t="shared" si="28"/>
        <v>0</v>
      </c>
      <c r="K266">
        <f t="shared" si="29"/>
        <v>0</v>
      </c>
    </row>
    <row r="267" spans="1:11" x14ac:dyDescent="0.3">
      <c r="A267" s="1">
        <v>40940</v>
      </c>
      <c r="B267">
        <v>25.228415999999999</v>
      </c>
      <c r="C267" s="1">
        <v>40940</v>
      </c>
      <c r="D267">
        <v>1365.6800539999999</v>
      </c>
      <c r="E267">
        <v>1.6270277079681872E-3</v>
      </c>
      <c r="F267">
        <f t="shared" si="24"/>
        <v>2.3074179528354222E-2</v>
      </c>
      <c r="G267">
        <f t="shared" si="25"/>
        <v>3.1332314530530647E-2</v>
      </c>
      <c r="H267">
        <f t="shared" si="26"/>
        <v>2.1447151820386035E-2</v>
      </c>
      <c r="I267">
        <f t="shared" si="27"/>
        <v>2.970528682256246E-2</v>
      </c>
      <c r="J267">
        <f t="shared" si="28"/>
        <v>0</v>
      </c>
      <c r="K267">
        <f t="shared" si="29"/>
        <v>0</v>
      </c>
    </row>
    <row r="268" spans="1:11" x14ac:dyDescent="0.3">
      <c r="A268" s="1">
        <v>40969</v>
      </c>
      <c r="B268">
        <v>25.810541000000001</v>
      </c>
      <c r="C268" s="1">
        <v>40969</v>
      </c>
      <c r="D268">
        <v>1408.469971</v>
      </c>
      <c r="E268">
        <v>1.7905934192179451E-3</v>
      </c>
      <c r="F268">
        <f t="shared" si="24"/>
        <v>-7.4394023744019933E-3</v>
      </c>
      <c r="G268">
        <f t="shared" si="25"/>
        <v>-7.4974527092703802E-3</v>
      </c>
      <c r="H268">
        <f t="shared" si="26"/>
        <v>-9.2299957936199384E-3</v>
      </c>
      <c r="I268">
        <f t="shared" si="27"/>
        <v>-9.2880461284883253E-3</v>
      </c>
      <c r="J268">
        <f t="shared" si="28"/>
        <v>0</v>
      </c>
      <c r="K268">
        <f t="shared" si="29"/>
        <v>0</v>
      </c>
    </row>
    <row r="269" spans="1:11" x14ac:dyDescent="0.3">
      <c r="A269" s="1">
        <v>41000</v>
      </c>
      <c r="B269">
        <v>25.618525999999999</v>
      </c>
      <c r="C269" s="1">
        <v>41000</v>
      </c>
      <c r="D269">
        <v>1397.910034</v>
      </c>
      <c r="E269">
        <v>1.6924892515723933E-3</v>
      </c>
      <c r="F269">
        <f t="shared" si="24"/>
        <v>-8.8382329256569969E-2</v>
      </c>
      <c r="G269">
        <f t="shared" si="25"/>
        <v>-6.265072563317764E-2</v>
      </c>
      <c r="H269">
        <f t="shared" si="26"/>
        <v>-9.0074818508142362E-2</v>
      </c>
      <c r="I269">
        <f t="shared" si="27"/>
        <v>-6.4343214884750033E-2</v>
      </c>
      <c r="J269">
        <f t="shared" si="28"/>
        <v>0</v>
      </c>
      <c r="K269">
        <f t="shared" si="29"/>
        <v>0</v>
      </c>
    </row>
    <row r="270" spans="1:11" x14ac:dyDescent="0.3">
      <c r="A270" s="1">
        <v>41030</v>
      </c>
      <c r="B270">
        <v>23.354301</v>
      </c>
      <c r="C270" s="1">
        <v>41030</v>
      </c>
      <c r="D270">
        <v>1310.329956</v>
      </c>
      <c r="E270">
        <v>1.4877654706024757E-3</v>
      </c>
      <c r="F270">
        <f t="shared" si="24"/>
        <v>5.48381644991216E-2</v>
      </c>
      <c r="G270">
        <f t="shared" si="25"/>
        <v>3.9554982134591521E-2</v>
      </c>
      <c r="H270">
        <f t="shared" si="26"/>
        <v>5.3350399028519124E-2</v>
      </c>
      <c r="I270">
        <f t="shared" si="27"/>
        <v>3.8067216663989045E-2</v>
      </c>
      <c r="J270">
        <f t="shared" si="28"/>
        <v>0</v>
      </c>
      <c r="K270">
        <f t="shared" si="29"/>
        <v>0</v>
      </c>
    </row>
    <row r="271" spans="1:11" x14ac:dyDescent="0.3">
      <c r="A271" s="1">
        <v>41061</v>
      </c>
      <c r="B271">
        <v>24.635007999999999</v>
      </c>
      <c r="C271" s="1">
        <v>41061</v>
      </c>
      <c r="D271">
        <v>1362.160034</v>
      </c>
      <c r="E271">
        <v>1.3400787856630014E-3</v>
      </c>
      <c r="F271">
        <f t="shared" si="24"/>
        <v>-3.6613586648723495E-2</v>
      </c>
      <c r="G271">
        <f t="shared" si="25"/>
        <v>1.2597574126154365E-2</v>
      </c>
      <c r="H271">
        <f t="shared" si="26"/>
        <v>-3.7953665434386497E-2</v>
      </c>
      <c r="I271">
        <f t="shared" si="27"/>
        <v>1.1257495340491364E-2</v>
      </c>
      <c r="J271">
        <f t="shared" si="28"/>
        <v>0</v>
      </c>
      <c r="K271">
        <f t="shared" si="29"/>
        <v>0</v>
      </c>
    </row>
    <row r="272" spans="1:11" x14ac:dyDescent="0.3">
      <c r="A272" s="1">
        <v>41091</v>
      </c>
      <c r="B272">
        <v>23.733032000000001</v>
      </c>
      <c r="C272" s="1">
        <v>41091</v>
      </c>
      <c r="D272">
        <v>1379.3199460000001</v>
      </c>
      <c r="E272">
        <v>1.2661454966749197E-3</v>
      </c>
      <c r="F272">
        <f t="shared" si="24"/>
        <v>4.580944398507536E-2</v>
      </c>
      <c r="G272">
        <f t="shared" si="25"/>
        <v>1.9763369680148246E-2</v>
      </c>
      <c r="H272">
        <f t="shared" si="26"/>
        <v>4.454329848840044E-2</v>
      </c>
      <c r="I272">
        <f t="shared" si="27"/>
        <v>1.8497224183473326E-2</v>
      </c>
      <c r="J272">
        <f t="shared" si="28"/>
        <v>0</v>
      </c>
      <c r="K272">
        <f t="shared" si="29"/>
        <v>0</v>
      </c>
    </row>
    <row r="273" spans="1:11" x14ac:dyDescent="0.3">
      <c r="A273" s="1">
        <v>41122</v>
      </c>
      <c r="B273">
        <v>24.820229000000001</v>
      </c>
      <c r="C273" s="1">
        <v>41122</v>
      </c>
      <c r="D273">
        <v>1406.579956</v>
      </c>
      <c r="E273">
        <v>1.3893343063426933E-3</v>
      </c>
      <c r="F273">
        <f t="shared" si="24"/>
        <v>-2.7996518484982635E-2</v>
      </c>
      <c r="G273">
        <f t="shared" si="25"/>
        <v>2.4236153696477025E-2</v>
      </c>
      <c r="H273">
        <f t="shared" si="26"/>
        <v>-2.9385852791325329E-2</v>
      </c>
      <c r="I273">
        <f t="shared" si="27"/>
        <v>2.2846819390134332E-2</v>
      </c>
      <c r="J273">
        <f t="shared" si="28"/>
        <v>0</v>
      </c>
      <c r="K273">
        <f t="shared" si="29"/>
        <v>0</v>
      </c>
    </row>
    <row r="274" spans="1:11" x14ac:dyDescent="0.3">
      <c r="A274" s="1">
        <v>41153</v>
      </c>
      <c r="B274">
        <v>24.125349</v>
      </c>
      <c r="C274" s="1">
        <v>41153</v>
      </c>
      <c r="D274">
        <v>1440.670044</v>
      </c>
      <c r="E274">
        <v>1.422156520640705E-3</v>
      </c>
      <c r="F274">
        <f t="shared" si="24"/>
        <v>-4.0994474318278296E-2</v>
      </c>
      <c r="G274">
        <f t="shared" si="25"/>
        <v>-1.9789409878227415E-2</v>
      </c>
      <c r="H274">
        <f t="shared" si="26"/>
        <v>-4.2416630838919001E-2</v>
      </c>
      <c r="I274">
        <f t="shared" si="27"/>
        <v>-2.121156639886812E-2</v>
      </c>
      <c r="J274">
        <f t="shared" si="28"/>
        <v>0</v>
      </c>
      <c r="K274">
        <f t="shared" si="29"/>
        <v>0</v>
      </c>
    </row>
    <row r="275" spans="1:11" x14ac:dyDescent="0.3">
      <c r="A275" s="1">
        <v>41183</v>
      </c>
      <c r="B275">
        <v>23.136343</v>
      </c>
      <c r="C275" s="1">
        <v>41183</v>
      </c>
      <c r="D275">
        <v>1412.160034</v>
      </c>
      <c r="E275">
        <v>1.4467654179763922E-3</v>
      </c>
      <c r="F275">
        <f t="shared" si="24"/>
        <v>-6.7274158236675485E-2</v>
      </c>
      <c r="G275">
        <f t="shared" si="25"/>
        <v>2.8467170173434031E-3</v>
      </c>
      <c r="H275">
        <f t="shared" si="26"/>
        <v>-6.8720923654651878E-2</v>
      </c>
      <c r="I275">
        <f t="shared" si="27"/>
        <v>1.3999515993670109E-3</v>
      </c>
      <c r="J275">
        <f t="shared" si="28"/>
        <v>0</v>
      </c>
      <c r="K275">
        <f t="shared" si="29"/>
        <v>0</v>
      </c>
    </row>
    <row r="276" spans="1:11" x14ac:dyDescent="0.3">
      <c r="A276" s="1">
        <v>41214</v>
      </c>
      <c r="B276">
        <v>21.579865000000002</v>
      </c>
      <c r="C276" s="1">
        <v>41214</v>
      </c>
      <c r="D276">
        <v>1416.1800539999999</v>
      </c>
      <c r="E276">
        <v>1.364709877352599E-3</v>
      </c>
      <c r="F276">
        <f t="shared" si="24"/>
        <v>1.1626022683645099E-2</v>
      </c>
      <c r="G276">
        <f t="shared" si="25"/>
        <v>7.068230463864511E-3</v>
      </c>
      <c r="H276">
        <f t="shared" si="26"/>
        <v>1.02613128062925E-2</v>
      </c>
      <c r="I276">
        <f t="shared" si="27"/>
        <v>5.7035205865119121E-3</v>
      </c>
      <c r="J276">
        <f t="shared" si="28"/>
        <v>0</v>
      </c>
      <c r="K276">
        <f t="shared" si="29"/>
        <v>0</v>
      </c>
    </row>
    <row r="277" spans="1:11" x14ac:dyDescent="0.3">
      <c r="A277" s="1">
        <v>41244</v>
      </c>
      <c r="B277">
        <v>21.830753000000001</v>
      </c>
      <c r="C277" s="1">
        <v>41244</v>
      </c>
      <c r="D277">
        <v>1426.1899410000001</v>
      </c>
      <c r="E277">
        <v>1.422156520640705E-3</v>
      </c>
      <c r="F277">
        <f t="shared" si="24"/>
        <v>2.7705228491202272E-2</v>
      </c>
      <c r="G277">
        <f t="shared" si="25"/>
        <v>5.0428096519578469E-2</v>
      </c>
      <c r="H277">
        <f t="shared" si="26"/>
        <v>2.6283071970561567E-2</v>
      </c>
      <c r="I277">
        <f t="shared" si="27"/>
        <v>4.9005939998937764E-2</v>
      </c>
      <c r="J277">
        <f t="shared" si="28"/>
        <v>0</v>
      </c>
      <c r="K277">
        <f t="shared" si="29"/>
        <v>0</v>
      </c>
    </row>
    <row r="278" spans="1:11" x14ac:dyDescent="0.3">
      <c r="A278" s="1">
        <v>41275</v>
      </c>
      <c r="B278">
        <v>22.435579000000001</v>
      </c>
      <c r="C278" s="1">
        <v>41275</v>
      </c>
      <c r="D278">
        <v>1498.1099850000001</v>
      </c>
      <c r="E278">
        <v>1.5779006482814495E-3</v>
      </c>
      <c r="F278">
        <f t="shared" si="24"/>
        <v>1.2750239251681394E-2</v>
      </c>
      <c r="G278">
        <f t="shared" si="25"/>
        <v>1.1060649195259176E-2</v>
      </c>
      <c r="H278">
        <f t="shared" si="26"/>
        <v>1.1172338603399945E-2</v>
      </c>
      <c r="I278">
        <f t="shared" si="27"/>
        <v>9.4827485469777262E-3</v>
      </c>
      <c r="J278">
        <f t="shared" si="28"/>
        <v>0</v>
      </c>
      <c r="K278">
        <f t="shared" si="29"/>
        <v>0</v>
      </c>
    </row>
    <row r="279" spans="1:11" x14ac:dyDescent="0.3">
      <c r="A279" s="1">
        <v>41306</v>
      </c>
      <c r="B279">
        <v>22.721637999999999</v>
      </c>
      <c r="C279" s="1">
        <v>41306</v>
      </c>
      <c r="D279">
        <v>1514.6800539999999</v>
      </c>
      <c r="E279">
        <v>1.635212974954614E-3</v>
      </c>
      <c r="F279">
        <f t="shared" si="24"/>
        <v>3.7657232282285458E-2</v>
      </c>
      <c r="G279">
        <f t="shared" si="25"/>
        <v>3.5987723516956116E-2</v>
      </c>
      <c r="H279">
        <f t="shared" si="26"/>
        <v>3.6022019307330844E-2</v>
      </c>
      <c r="I279">
        <f t="shared" si="27"/>
        <v>3.4352510542001502E-2</v>
      </c>
      <c r="J279">
        <f t="shared" si="28"/>
        <v>0</v>
      </c>
      <c r="K279">
        <f t="shared" si="29"/>
        <v>0</v>
      </c>
    </row>
    <row r="280" spans="1:11" x14ac:dyDescent="0.3">
      <c r="A280" s="1">
        <v>41334</v>
      </c>
      <c r="B280">
        <v>23.577272000000001</v>
      </c>
      <c r="C280" s="1">
        <v>41334</v>
      </c>
      <c r="D280">
        <v>1569.1899410000001</v>
      </c>
      <c r="E280">
        <v>1.6188417051281601E-3</v>
      </c>
      <c r="F280">
        <f t="shared" si="24"/>
        <v>0.15693796127049797</v>
      </c>
      <c r="G280">
        <f t="shared" si="25"/>
        <v>1.8085767859252311E-2</v>
      </c>
      <c r="H280">
        <f t="shared" si="26"/>
        <v>0.15531911956536981</v>
      </c>
      <c r="I280">
        <f t="shared" si="27"/>
        <v>1.6466926154124151E-2</v>
      </c>
      <c r="J280">
        <f t="shared" si="28"/>
        <v>0</v>
      </c>
      <c r="K280">
        <f t="shared" si="29"/>
        <v>0</v>
      </c>
    </row>
    <row r="281" spans="1:11" x14ac:dyDescent="0.3">
      <c r="A281" s="1">
        <v>41365</v>
      </c>
      <c r="B281">
        <v>27.277441</v>
      </c>
      <c r="C281" s="1">
        <v>41365</v>
      </c>
      <c r="D281">
        <v>1597.5699460000001</v>
      </c>
      <c r="E281">
        <v>1.4549669057570824E-3</v>
      </c>
      <c r="F281">
        <f t="shared" si="24"/>
        <v>5.438105429317952E-2</v>
      </c>
      <c r="G281">
        <f t="shared" si="25"/>
        <v>2.0762811721046104E-2</v>
      </c>
      <c r="H281">
        <f t="shared" si="26"/>
        <v>5.2926087387422438E-2</v>
      </c>
      <c r="I281">
        <f t="shared" si="27"/>
        <v>1.9307844815289021E-2</v>
      </c>
      <c r="J281">
        <f t="shared" si="28"/>
        <v>0</v>
      </c>
      <c r="K281">
        <f t="shared" si="29"/>
        <v>0</v>
      </c>
    </row>
    <row r="282" spans="1:11" x14ac:dyDescent="0.3">
      <c r="A282" s="1">
        <v>41395</v>
      </c>
      <c r="B282">
        <v>28.760816999999999</v>
      </c>
      <c r="C282" s="1">
        <v>41395</v>
      </c>
      <c r="D282">
        <v>1630.73999</v>
      </c>
      <c r="E282">
        <v>1.5942792801031391E-3</v>
      </c>
      <c r="F282">
        <f t="shared" si="24"/>
        <v>-3.3756342874404766E-3</v>
      </c>
      <c r="G282">
        <f t="shared" si="25"/>
        <v>-1.4999301636062778E-2</v>
      </c>
      <c r="H282">
        <f t="shared" si="26"/>
        <v>-4.9699135675436157E-3</v>
      </c>
      <c r="I282">
        <f t="shared" si="27"/>
        <v>-1.6593580916165918E-2</v>
      </c>
      <c r="J282">
        <f t="shared" si="28"/>
        <v>0</v>
      </c>
      <c r="K282">
        <f t="shared" si="29"/>
        <v>0</v>
      </c>
    </row>
    <row r="283" spans="1:11" x14ac:dyDescent="0.3">
      <c r="A283" s="1">
        <v>41426</v>
      </c>
      <c r="B283">
        <v>28.663730999999999</v>
      </c>
      <c r="C283" s="1">
        <v>41426</v>
      </c>
      <c r="D283">
        <v>1606.280029</v>
      </c>
      <c r="E283">
        <v>1.8967538135683526E-3</v>
      </c>
      <c r="F283">
        <f t="shared" si="24"/>
        <v>-7.8170179590367983E-2</v>
      </c>
      <c r="G283">
        <f t="shared" si="25"/>
        <v>4.9462079815224991E-2</v>
      </c>
      <c r="H283">
        <f t="shared" si="26"/>
        <v>-8.0066933403936336E-2</v>
      </c>
      <c r="I283">
        <f t="shared" si="27"/>
        <v>4.7565326001656638E-2</v>
      </c>
      <c r="J283">
        <f t="shared" si="28"/>
        <v>0</v>
      </c>
      <c r="K283">
        <f t="shared" si="29"/>
        <v>0</v>
      </c>
    </row>
    <row r="284" spans="1:11" x14ac:dyDescent="0.3">
      <c r="A284" s="1">
        <v>41456</v>
      </c>
      <c r="B284">
        <v>26.423082000000001</v>
      </c>
      <c r="C284" s="1">
        <v>41456</v>
      </c>
      <c r="D284">
        <v>1685.7299800000001</v>
      </c>
      <c r="E284">
        <v>2.1249875904596482E-3</v>
      </c>
      <c r="F284">
        <f t="shared" si="24"/>
        <v>4.8994890149453463E-2</v>
      </c>
      <c r="G284">
        <f t="shared" si="25"/>
        <v>-3.1298019033866864E-2</v>
      </c>
      <c r="H284">
        <f t="shared" si="26"/>
        <v>4.6869902558993815E-2</v>
      </c>
      <c r="I284">
        <f t="shared" si="27"/>
        <v>-3.3423006624326512E-2</v>
      </c>
      <c r="J284">
        <f t="shared" si="28"/>
        <v>0</v>
      </c>
      <c r="K284">
        <f t="shared" si="29"/>
        <v>0</v>
      </c>
    </row>
    <row r="285" spans="1:11" x14ac:dyDescent="0.3">
      <c r="A285" s="1">
        <v>41487</v>
      </c>
      <c r="B285">
        <v>27.717677999999999</v>
      </c>
      <c r="C285" s="1">
        <v>41487</v>
      </c>
      <c r="D285">
        <v>1632.969971</v>
      </c>
      <c r="E285">
        <v>2.2551506231971441E-3</v>
      </c>
      <c r="F285">
        <f t="shared" si="24"/>
        <v>3.4285700266811769E-3</v>
      </c>
      <c r="G285">
        <f t="shared" si="25"/>
        <v>2.9749523177239112E-2</v>
      </c>
      <c r="H285">
        <f t="shared" si="26"/>
        <v>1.1734194034840328E-3</v>
      </c>
      <c r="I285">
        <f t="shared" si="27"/>
        <v>2.7494372554041968E-2</v>
      </c>
      <c r="J285">
        <f t="shared" si="28"/>
        <v>0</v>
      </c>
      <c r="K285">
        <f t="shared" si="29"/>
        <v>0</v>
      </c>
    </row>
    <row r="286" spans="1:11" x14ac:dyDescent="0.3">
      <c r="A286" s="1">
        <v>41518</v>
      </c>
      <c r="B286">
        <v>27.812709999999999</v>
      </c>
      <c r="C286" s="1">
        <v>41518</v>
      </c>
      <c r="D286">
        <v>1681.5500489999999</v>
      </c>
      <c r="E286">
        <v>2.3120385290706924E-3</v>
      </c>
      <c r="F286">
        <f t="shared" si="24"/>
        <v>6.400253696960867E-2</v>
      </c>
      <c r="G286">
        <f t="shared" si="25"/>
        <v>4.4595752618006079E-2</v>
      </c>
      <c r="H286">
        <f t="shared" si="26"/>
        <v>6.1690498440537977E-2</v>
      </c>
      <c r="I286">
        <f t="shared" si="27"/>
        <v>4.2283714088935387E-2</v>
      </c>
      <c r="J286">
        <f t="shared" si="28"/>
        <v>0</v>
      </c>
      <c r="K286">
        <f t="shared" si="29"/>
        <v>0</v>
      </c>
    </row>
    <row r="287" spans="1:11" x14ac:dyDescent="0.3">
      <c r="A287" s="1">
        <v>41548</v>
      </c>
      <c r="B287">
        <v>29.592794000000001</v>
      </c>
      <c r="C287" s="1">
        <v>41548</v>
      </c>
      <c r="D287">
        <v>1756.540039</v>
      </c>
      <c r="E287">
        <v>2.157545786668047E-3</v>
      </c>
      <c r="F287">
        <f t="shared" si="24"/>
        <v>7.6814510992101681E-2</v>
      </c>
      <c r="G287">
        <f t="shared" si="25"/>
        <v>2.8049471635186451E-2</v>
      </c>
      <c r="H287">
        <f t="shared" si="26"/>
        <v>7.4656965205433634E-2</v>
      </c>
      <c r="I287">
        <f t="shared" si="27"/>
        <v>2.5891925848518405E-2</v>
      </c>
      <c r="J287">
        <f t="shared" si="28"/>
        <v>0</v>
      </c>
      <c r="K287">
        <f t="shared" si="29"/>
        <v>0</v>
      </c>
    </row>
    <row r="288" spans="1:11" x14ac:dyDescent="0.3">
      <c r="A288" s="1">
        <v>41579</v>
      </c>
      <c r="B288">
        <v>31.865950000000002</v>
      </c>
      <c r="C288" s="1">
        <v>41579</v>
      </c>
      <c r="D288">
        <v>1805.8100589999999</v>
      </c>
      <c r="E288">
        <v>2.2388904099577278E-3</v>
      </c>
      <c r="F288">
        <f t="shared" si="24"/>
        <v>-1.1442150634140891E-2</v>
      </c>
      <c r="G288">
        <f t="shared" si="25"/>
        <v>2.356279155049279E-2</v>
      </c>
      <c r="H288">
        <f t="shared" si="26"/>
        <v>-1.3681041044098619E-2</v>
      </c>
      <c r="I288">
        <f t="shared" si="27"/>
        <v>2.1323901140535062E-2</v>
      </c>
      <c r="J288">
        <f t="shared" si="28"/>
        <v>0</v>
      </c>
      <c r="K288">
        <f t="shared" si="29"/>
        <v>0</v>
      </c>
    </row>
    <row r="289" spans="1:11" x14ac:dyDescent="0.3">
      <c r="A289" s="1">
        <v>41609</v>
      </c>
      <c r="B289">
        <v>31.501335000000001</v>
      </c>
      <c r="C289" s="1">
        <v>41609</v>
      </c>
      <c r="D289">
        <v>1848.3599850000001</v>
      </c>
      <c r="E289">
        <v>2.3851279739270925E-3</v>
      </c>
      <c r="F289">
        <f t="shared" si="24"/>
        <v>1.1494465234568541E-2</v>
      </c>
      <c r="G289">
        <f t="shared" si="25"/>
        <v>-3.5582905675162646E-2</v>
      </c>
      <c r="H289">
        <f t="shared" si="26"/>
        <v>9.109337260641448E-3</v>
      </c>
      <c r="I289">
        <f t="shared" si="27"/>
        <v>-3.7968033649089739E-2</v>
      </c>
      <c r="J289">
        <f t="shared" si="28"/>
        <v>0</v>
      </c>
      <c r="K289">
        <f t="shared" si="29"/>
        <v>0</v>
      </c>
    </row>
    <row r="290" spans="1:11" x14ac:dyDescent="0.3">
      <c r="A290" s="1">
        <v>41640</v>
      </c>
      <c r="B290">
        <v>31.863426</v>
      </c>
      <c r="C290" s="1">
        <v>41640</v>
      </c>
      <c r="D290">
        <v>1782.589966</v>
      </c>
      <c r="E290">
        <v>2.3526510136486767E-3</v>
      </c>
      <c r="F290">
        <f t="shared" si="24"/>
        <v>1.2420384424449704E-2</v>
      </c>
      <c r="G290">
        <f t="shared" si="25"/>
        <v>4.3117029976595278E-2</v>
      </c>
      <c r="H290">
        <f t="shared" si="26"/>
        <v>1.0067733410801027E-2</v>
      </c>
      <c r="I290">
        <f t="shared" si="27"/>
        <v>4.0764378962946601E-2</v>
      </c>
      <c r="J290">
        <f t="shared" si="28"/>
        <v>0</v>
      </c>
      <c r="K290">
        <f t="shared" si="29"/>
        <v>0</v>
      </c>
    </row>
    <row r="291" spans="1:11" x14ac:dyDescent="0.3">
      <c r="A291" s="1">
        <v>41671</v>
      </c>
      <c r="B291">
        <v>32.259182000000003</v>
      </c>
      <c r="C291" s="1">
        <v>41671</v>
      </c>
      <c r="D291">
        <v>1859.4499510000001</v>
      </c>
      <c r="E291">
        <v>2.2307592150201394E-3</v>
      </c>
      <c r="F291">
        <f t="shared" si="24"/>
        <v>7.797919364477357E-2</v>
      </c>
      <c r="G291">
        <f t="shared" si="25"/>
        <v>6.9321656079357474E-3</v>
      </c>
      <c r="H291">
        <f t="shared" si="26"/>
        <v>7.5748434429753431E-2</v>
      </c>
      <c r="I291">
        <f t="shared" si="27"/>
        <v>4.701406392915608E-3</v>
      </c>
      <c r="J291">
        <f t="shared" si="28"/>
        <v>0</v>
      </c>
      <c r="K291">
        <f t="shared" si="29"/>
        <v>0</v>
      </c>
    </row>
    <row r="292" spans="1:11" x14ac:dyDescent="0.3">
      <c r="A292" s="1">
        <v>41699</v>
      </c>
      <c r="B292">
        <v>34.774726999999999</v>
      </c>
      <c r="C292" s="1">
        <v>41699</v>
      </c>
      <c r="D292">
        <v>1872.339966</v>
      </c>
      <c r="E292">
        <v>2.2388904099577278E-3</v>
      </c>
      <c r="F292">
        <f t="shared" si="24"/>
        <v>-1.439395915315167E-2</v>
      </c>
      <c r="G292">
        <f t="shared" si="25"/>
        <v>6.2007889650528281E-3</v>
      </c>
      <c r="H292">
        <f t="shared" si="26"/>
        <v>-1.6632849563109398E-2</v>
      </c>
      <c r="I292">
        <f t="shared" si="27"/>
        <v>3.9618985550951002E-3</v>
      </c>
      <c r="J292">
        <f t="shared" si="28"/>
        <v>0</v>
      </c>
      <c r="K292">
        <f t="shared" si="29"/>
        <v>0</v>
      </c>
    </row>
    <row r="293" spans="1:11" x14ac:dyDescent="0.3">
      <c r="A293" s="1">
        <v>41730</v>
      </c>
      <c r="B293">
        <v>34.274180999999999</v>
      </c>
      <c r="C293" s="1">
        <v>41730</v>
      </c>
      <c r="D293">
        <v>1883.9499510000001</v>
      </c>
      <c r="E293">
        <v>2.2307592150201394E-3</v>
      </c>
      <c r="F293">
        <f t="shared" si="24"/>
        <v>1.336641712897535E-2</v>
      </c>
      <c r="G293">
        <f t="shared" si="25"/>
        <v>2.1030280012996005E-2</v>
      </c>
      <c r="H293">
        <f t="shared" si="26"/>
        <v>1.113565791395521E-2</v>
      </c>
      <c r="I293">
        <f t="shared" si="27"/>
        <v>1.8799520797975866E-2</v>
      </c>
      <c r="J293">
        <f t="shared" si="28"/>
        <v>0</v>
      </c>
      <c r="K293">
        <f t="shared" si="29"/>
        <v>0</v>
      </c>
    </row>
    <row r="294" spans="1:11" x14ac:dyDescent="0.3">
      <c r="A294" s="1">
        <v>41760</v>
      </c>
      <c r="B294">
        <v>34.732303999999999</v>
      </c>
      <c r="C294" s="1">
        <v>41760</v>
      </c>
      <c r="D294">
        <v>1923.5699460000001</v>
      </c>
      <c r="E294">
        <v>2.1087041279623797E-3</v>
      </c>
      <c r="F294">
        <f t="shared" si="24"/>
        <v>2.5749198786236605E-2</v>
      </c>
      <c r="G294">
        <f t="shared" si="25"/>
        <v>1.9058331658920569E-2</v>
      </c>
      <c r="H294">
        <f t="shared" si="26"/>
        <v>2.3640494658274225E-2</v>
      </c>
      <c r="I294">
        <f t="shared" si="27"/>
        <v>1.6949627530958189E-2</v>
      </c>
      <c r="J294">
        <f t="shared" si="28"/>
        <v>0</v>
      </c>
      <c r="K294">
        <f t="shared" si="29"/>
        <v>0</v>
      </c>
    </row>
    <row r="295" spans="1:11" x14ac:dyDescent="0.3">
      <c r="A295" s="1">
        <v>41791</v>
      </c>
      <c r="B295">
        <v>35.626632999999998</v>
      </c>
      <c r="C295" s="1">
        <v>41791</v>
      </c>
      <c r="D295">
        <v>1960.2299800000001</v>
      </c>
      <c r="E295">
        <v>2.1412681429993086E-3</v>
      </c>
      <c r="F295">
        <f t="shared" si="24"/>
        <v>3.5012009133728705E-2</v>
      </c>
      <c r="G295">
        <f t="shared" si="25"/>
        <v>-1.5079830581919862E-2</v>
      </c>
      <c r="H295">
        <f t="shared" si="26"/>
        <v>3.2870740990729397E-2</v>
      </c>
      <c r="I295">
        <f t="shared" si="27"/>
        <v>-1.722109872491917E-2</v>
      </c>
      <c r="J295">
        <f t="shared" si="28"/>
        <v>0</v>
      </c>
      <c r="K295">
        <f t="shared" si="29"/>
        <v>0</v>
      </c>
    </row>
    <row r="296" spans="1:11" x14ac:dyDescent="0.3">
      <c r="A296" s="1">
        <v>41821</v>
      </c>
      <c r="B296">
        <v>36.873992999999999</v>
      </c>
      <c r="C296" s="1">
        <v>41821</v>
      </c>
      <c r="D296">
        <v>1930.670044</v>
      </c>
      <c r="E296">
        <v>2.0924177544194844E-3</v>
      </c>
      <c r="F296">
        <f t="shared" si="24"/>
        <v>5.2595117648365219E-2</v>
      </c>
      <c r="G296">
        <f t="shared" si="25"/>
        <v>3.7655295489735119E-2</v>
      </c>
      <c r="H296">
        <f t="shared" si="26"/>
        <v>5.0502699893945735E-2</v>
      </c>
      <c r="I296">
        <f t="shared" si="27"/>
        <v>3.5562877735315634E-2</v>
      </c>
      <c r="J296">
        <f t="shared" si="28"/>
        <v>0</v>
      </c>
      <c r="K296">
        <f t="shared" si="29"/>
        <v>0</v>
      </c>
    </row>
    <row r="297" spans="1:11" x14ac:dyDescent="0.3">
      <c r="A297" s="1">
        <v>41852</v>
      </c>
      <c r="B297">
        <v>38.813384999999997</v>
      </c>
      <c r="C297" s="1">
        <v>41852</v>
      </c>
      <c r="D297">
        <v>2003.369995</v>
      </c>
      <c r="E297">
        <v>1.9946383202138485E-3</v>
      </c>
      <c r="F297">
        <f t="shared" si="24"/>
        <v>2.6844450696583255E-2</v>
      </c>
      <c r="G297">
        <f t="shared" si="25"/>
        <v>-1.5513837223063764E-2</v>
      </c>
      <c r="H297">
        <f t="shared" si="26"/>
        <v>2.4849812376369407E-2</v>
      </c>
      <c r="I297">
        <f t="shared" si="27"/>
        <v>-1.7508475543277613E-2</v>
      </c>
      <c r="J297">
        <f t="shared" si="28"/>
        <v>0</v>
      </c>
      <c r="K297">
        <f t="shared" si="29"/>
        <v>0</v>
      </c>
    </row>
    <row r="298" spans="1:11" x14ac:dyDescent="0.3">
      <c r="A298" s="1">
        <v>41883</v>
      </c>
      <c r="B298">
        <v>39.855308999999998</v>
      </c>
      <c r="C298" s="1">
        <v>41883</v>
      </c>
      <c r="D298">
        <v>1972.290039</v>
      </c>
      <c r="E298">
        <v>2.0842734756658654E-3</v>
      </c>
      <c r="F298">
        <f t="shared" si="24"/>
        <v>1.2726460105979998E-2</v>
      </c>
      <c r="G298">
        <f t="shared" si="25"/>
        <v>2.3201460786772321E-2</v>
      </c>
      <c r="H298">
        <f t="shared" si="26"/>
        <v>1.0642186630314132E-2</v>
      </c>
      <c r="I298">
        <f t="shared" si="27"/>
        <v>2.1117187311106456E-2</v>
      </c>
      <c r="J298">
        <f t="shared" si="28"/>
        <v>0</v>
      </c>
      <c r="K298">
        <f t="shared" si="29"/>
        <v>0</v>
      </c>
    </row>
    <row r="299" spans="1:11" x14ac:dyDescent="0.3">
      <c r="A299" s="1">
        <v>41913</v>
      </c>
      <c r="B299">
        <v>40.362526000000003</v>
      </c>
      <c r="C299" s="1">
        <v>41913</v>
      </c>
      <c r="D299">
        <v>2018.0500489999999</v>
      </c>
      <c r="E299">
        <v>1.8967538135683526E-3</v>
      </c>
      <c r="F299">
        <f t="shared" si="24"/>
        <v>1.8317807958798005E-2</v>
      </c>
      <c r="G299">
        <f t="shared" si="25"/>
        <v>2.4533588760364822E-2</v>
      </c>
      <c r="H299">
        <f t="shared" si="26"/>
        <v>1.6421054145229652E-2</v>
      </c>
      <c r="I299">
        <f t="shared" si="27"/>
        <v>2.2636834946796469E-2</v>
      </c>
      <c r="J299">
        <f t="shared" si="28"/>
        <v>0</v>
      </c>
      <c r="K299">
        <f t="shared" si="29"/>
        <v>0</v>
      </c>
    </row>
    <row r="300" spans="1:11" x14ac:dyDescent="0.3">
      <c r="A300" s="1">
        <v>41944</v>
      </c>
      <c r="B300">
        <v>41.101878999999997</v>
      </c>
      <c r="C300" s="1">
        <v>41944</v>
      </c>
      <c r="D300">
        <v>2067.5600589999999</v>
      </c>
      <c r="E300">
        <v>1.921234803683225E-3</v>
      </c>
      <c r="F300">
        <f t="shared" si="24"/>
        <v>-2.2318298392148828E-2</v>
      </c>
      <c r="G300">
        <f t="shared" si="25"/>
        <v>-4.1885878779204244E-3</v>
      </c>
      <c r="H300">
        <f t="shared" si="26"/>
        <v>-2.4239533195832053E-2</v>
      </c>
      <c r="I300">
        <f t="shared" si="27"/>
        <v>-6.1098226816036494E-3</v>
      </c>
      <c r="J300">
        <f t="shared" si="28"/>
        <v>0</v>
      </c>
      <c r="K300">
        <f t="shared" si="29"/>
        <v>0</v>
      </c>
    </row>
    <row r="301" spans="1:11" x14ac:dyDescent="0.3">
      <c r="A301" s="1">
        <v>41974</v>
      </c>
      <c r="B301">
        <v>40.184555000000003</v>
      </c>
      <c r="C301" s="1">
        <v>41974</v>
      </c>
      <c r="D301">
        <v>2058.8999020000001</v>
      </c>
      <c r="E301">
        <v>1.8232713376404863E-3</v>
      </c>
      <c r="F301">
        <f t="shared" si="24"/>
        <v>-0.13024755406648159</v>
      </c>
      <c r="G301">
        <f t="shared" si="25"/>
        <v>-3.1040805790470194E-2</v>
      </c>
      <c r="H301">
        <f t="shared" si="26"/>
        <v>-0.13207082540412207</v>
      </c>
      <c r="I301">
        <f t="shared" si="27"/>
        <v>-3.286407712811068E-2</v>
      </c>
      <c r="J301">
        <f t="shared" si="28"/>
        <v>0</v>
      </c>
      <c r="K301">
        <f t="shared" si="29"/>
        <v>0</v>
      </c>
    </row>
    <row r="302" spans="1:11" x14ac:dyDescent="0.3">
      <c r="A302" s="1">
        <v>42005</v>
      </c>
      <c r="B302">
        <v>34.950614999999999</v>
      </c>
      <c r="C302" s="1">
        <v>42005</v>
      </c>
      <c r="D302">
        <v>1994.98999</v>
      </c>
      <c r="E302">
        <v>1.5533271750713951E-3</v>
      </c>
      <c r="F302">
        <f t="shared" si="24"/>
        <v>8.5396093888476576E-2</v>
      </c>
      <c r="G302">
        <f t="shared" si="25"/>
        <v>5.4892511014553946E-2</v>
      </c>
      <c r="H302">
        <f t="shared" si="26"/>
        <v>8.3842766713405181E-2</v>
      </c>
      <c r="I302">
        <f t="shared" si="27"/>
        <v>5.3339183839482551E-2</v>
      </c>
      <c r="J302">
        <f t="shared" si="28"/>
        <v>0</v>
      </c>
      <c r="K302">
        <f t="shared" si="29"/>
        <v>0</v>
      </c>
    </row>
    <row r="303" spans="1:11" x14ac:dyDescent="0.3">
      <c r="A303" s="1">
        <v>42036</v>
      </c>
      <c r="B303">
        <v>37.935260999999997</v>
      </c>
      <c r="C303" s="1">
        <v>42036</v>
      </c>
      <c r="D303">
        <v>2104.5</v>
      </c>
      <c r="E303">
        <v>1.635212974954614E-3</v>
      </c>
      <c r="F303">
        <f t="shared" si="24"/>
        <v>-6.6149037435118685E-2</v>
      </c>
      <c r="G303">
        <f t="shared" si="25"/>
        <v>-1.739610691375626E-2</v>
      </c>
      <c r="H303">
        <f t="shared" si="26"/>
        <v>-6.7784250410073299E-2</v>
      </c>
      <c r="I303">
        <f t="shared" si="27"/>
        <v>-1.9031319888710874E-2</v>
      </c>
      <c r="J303">
        <f t="shared" si="28"/>
        <v>0</v>
      </c>
      <c r="K303">
        <f t="shared" si="29"/>
        <v>0</v>
      </c>
    </row>
    <row r="304" spans="1:11" x14ac:dyDescent="0.3">
      <c r="A304" s="1">
        <v>42064</v>
      </c>
      <c r="B304">
        <v>35.425879999999999</v>
      </c>
      <c r="C304" s="1">
        <v>42064</v>
      </c>
      <c r="D304">
        <v>2067.889893</v>
      </c>
      <c r="E304">
        <v>1.6843091316907088E-3</v>
      </c>
      <c r="F304">
        <f t="shared" si="24"/>
        <v>0.1962614901873998</v>
      </c>
      <c r="G304">
        <f t="shared" si="25"/>
        <v>8.5208197301247512E-3</v>
      </c>
      <c r="H304">
        <f t="shared" si="26"/>
        <v>0.19457718105570909</v>
      </c>
      <c r="I304">
        <f t="shared" si="27"/>
        <v>6.8365105984340424E-3</v>
      </c>
      <c r="J304">
        <f t="shared" si="28"/>
        <v>0</v>
      </c>
      <c r="K304">
        <f t="shared" si="29"/>
        <v>0</v>
      </c>
    </row>
    <row r="305" spans="1:11" x14ac:dyDescent="0.3">
      <c r="A305" s="1">
        <v>42095</v>
      </c>
      <c r="B305">
        <v>42.378616000000001</v>
      </c>
      <c r="C305" s="1">
        <v>42095</v>
      </c>
      <c r="D305">
        <v>2085.51001</v>
      </c>
      <c r="E305">
        <v>1.5942792801031391E-3</v>
      </c>
      <c r="F305">
        <f t="shared" si="24"/>
        <v>-3.6595555645328237E-2</v>
      </c>
      <c r="G305">
        <f t="shared" si="25"/>
        <v>1.0491382393316817E-2</v>
      </c>
      <c r="H305">
        <f t="shared" si="26"/>
        <v>-3.8189834925431376E-2</v>
      </c>
      <c r="I305">
        <f t="shared" si="27"/>
        <v>8.897103113213678E-3</v>
      </c>
      <c r="J305">
        <f t="shared" si="28"/>
        <v>0</v>
      </c>
      <c r="K305">
        <f t="shared" si="29"/>
        <v>0</v>
      </c>
    </row>
    <row r="306" spans="1:11" x14ac:dyDescent="0.3">
      <c r="A306" s="1">
        <v>42125</v>
      </c>
      <c r="B306">
        <v>40.827747000000002</v>
      </c>
      <c r="C306" s="1">
        <v>42125</v>
      </c>
      <c r="D306">
        <v>2107.389893</v>
      </c>
      <c r="E306">
        <v>1.8151029571964461E-3</v>
      </c>
      <c r="F306">
        <f t="shared" si="24"/>
        <v>-5.170858436053305E-2</v>
      </c>
      <c r="G306">
        <f t="shared" si="25"/>
        <v>-2.1011672375900514E-2</v>
      </c>
      <c r="H306">
        <f t="shared" si="26"/>
        <v>-5.3523687317729496E-2</v>
      </c>
      <c r="I306">
        <f t="shared" si="27"/>
        <v>-2.282677533309696E-2</v>
      </c>
      <c r="J306">
        <f t="shared" si="28"/>
        <v>0</v>
      </c>
      <c r="K306">
        <f t="shared" si="29"/>
        <v>0</v>
      </c>
    </row>
    <row r="307" spans="1:11" x14ac:dyDescent="0.3">
      <c r="A307" s="1">
        <v>42156</v>
      </c>
      <c r="B307">
        <v>38.716602000000002</v>
      </c>
      <c r="C307" s="1">
        <v>42156</v>
      </c>
      <c r="D307">
        <v>2063.110107</v>
      </c>
      <c r="E307">
        <v>1.945709215699809E-3</v>
      </c>
      <c r="F307">
        <f t="shared" si="24"/>
        <v>5.7757548041018625E-2</v>
      </c>
      <c r="G307">
        <f t="shared" si="25"/>
        <v>1.9742029696721453E-2</v>
      </c>
      <c r="H307">
        <f t="shared" si="26"/>
        <v>5.5811838825318816E-2</v>
      </c>
      <c r="I307">
        <f t="shared" si="27"/>
        <v>1.7796320481021644E-2</v>
      </c>
      <c r="J307">
        <f t="shared" si="28"/>
        <v>0</v>
      </c>
      <c r="K307">
        <f t="shared" si="29"/>
        <v>0</v>
      </c>
    </row>
    <row r="308" spans="1:11" x14ac:dyDescent="0.3">
      <c r="A308" s="1">
        <v>42186</v>
      </c>
      <c r="B308">
        <v>40.952778000000002</v>
      </c>
      <c r="C308" s="1">
        <v>42186</v>
      </c>
      <c r="D308">
        <v>2103.8400879999999</v>
      </c>
      <c r="E308">
        <v>1.913075204727166E-3</v>
      </c>
      <c r="F308">
        <f t="shared" si="24"/>
        <v>-6.8094477009593923E-2</v>
      </c>
      <c r="G308">
        <f t="shared" si="25"/>
        <v>-6.2580818167202845E-2</v>
      </c>
      <c r="H308">
        <f t="shared" si="26"/>
        <v>-7.0007552214321089E-2</v>
      </c>
      <c r="I308">
        <f t="shared" si="27"/>
        <v>-6.4493893371930011E-2</v>
      </c>
      <c r="J308">
        <f t="shared" si="28"/>
        <v>0</v>
      </c>
      <c r="K308">
        <f t="shared" si="29"/>
        <v>0</v>
      </c>
    </row>
    <row r="309" spans="1:11" x14ac:dyDescent="0.3">
      <c r="A309" s="1">
        <v>42217</v>
      </c>
      <c r="B309">
        <v>38.164119999999997</v>
      </c>
      <c r="C309" s="1">
        <v>42217</v>
      </c>
      <c r="D309">
        <v>1972.1800539999999</v>
      </c>
      <c r="E309">
        <v>1.7905934192179451E-3</v>
      </c>
      <c r="F309">
        <f t="shared" si="24"/>
        <v>2.3710333161094832E-2</v>
      </c>
      <c r="G309">
        <f t="shared" si="25"/>
        <v>-2.6442831573227132E-2</v>
      </c>
      <c r="H309">
        <f t="shared" si="26"/>
        <v>2.1919739741876887E-2</v>
      </c>
      <c r="I309">
        <f t="shared" si="27"/>
        <v>-2.8233424992445078E-2</v>
      </c>
      <c r="J309">
        <f t="shared" si="28"/>
        <v>0</v>
      </c>
      <c r="K309">
        <f t="shared" si="29"/>
        <v>0</v>
      </c>
    </row>
    <row r="310" spans="1:11" x14ac:dyDescent="0.3">
      <c r="A310" s="1">
        <v>42248</v>
      </c>
      <c r="B310">
        <v>39.069004</v>
      </c>
      <c r="C310" s="1">
        <v>42248</v>
      </c>
      <c r="D310">
        <v>1920.030029</v>
      </c>
      <c r="E310">
        <v>1.7905934192179451E-3</v>
      </c>
      <c r="F310">
        <f t="shared" si="24"/>
        <v>0.18933577113969946</v>
      </c>
      <c r="G310">
        <f t="shared" si="25"/>
        <v>8.2983117760394132E-2</v>
      </c>
      <c r="H310">
        <f t="shared" si="26"/>
        <v>0.18754517772048152</v>
      </c>
      <c r="I310">
        <f t="shared" si="27"/>
        <v>8.1192524341176187E-2</v>
      </c>
      <c r="J310">
        <f t="shared" si="28"/>
        <v>0</v>
      </c>
      <c r="K310">
        <f t="shared" si="29"/>
        <v>0</v>
      </c>
    </row>
    <row r="311" spans="1:11" x14ac:dyDescent="0.3">
      <c r="A311" s="1">
        <v>42278</v>
      </c>
      <c r="B311">
        <v>46.466163999999999</v>
      </c>
      <c r="C311" s="1">
        <v>42278</v>
      </c>
      <c r="D311">
        <v>2079.360107</v>
      </c>
      <c r="E311">
        <v>1.7088472872288651E-3</v>
      </c>
      <c r="F311">
        <f t="shared" si="24"/>
        <v>3.248531555133316E-2</v>
      </c>
      <c r="G311">
        <f t="shared" si="25"/>
        <v>5.0486926072412786E-4</v>
      </c>
      <c r="H311">
        <f t="shared" si="26"/>
        <v>3.0776468264104295E-2</v>
      </c>
      <c r="I311">
        <f t="shared" si="27"/>
        <v>-1.2039780265047373E-3</v>
      </c>
      <c r="J311">
        <f t="shared" si="28"/>
        <v>0</v>
      </c>
      <c r="K311">
        <f t="shared" si="29"/>
        <v>0</v>
      </c>
    </row>
    <row r="312" spans="1:11" x14ac:dyDescent="0.3">
      <c r="A312" s="1">
        <v>42309</v>
      </c>
      <c r="B312">
        <v>47.975631999999997</v>
      </c>
      <c r="C312" s="1">
        <v>42309</v>
      </c>
      <c r="D312">
        <v>2080.4099120000001</v>
      </c>
      <c r="E312">
        <v>1.8641022544263475E-3</v>
      </c>
      <c r="F312">
        <f t="shared" si="24"/>
        <v>2.7671151888108536E-2</v>
      </c>
      <c r="G312">
        <f t="shared" si="25"/>
        <v>-1.7530185176314439E-2</v>
      </c>
      <c r="H312">
        <f t="shared" si="26"/>
        <v>2.5807049633682189E-2</v>
      </c>
      <c r="I312">
        <f t="shared" si="27"/>
        <v>-1.9394287430740786E-2</v>
      </c>
      <c r="J312">
        <f t="shared" si="28"/>
        <v>0</v>
      </c>
      <c r="K312">
        <f t="shared" si="29"/>
        <v>0</v>
      </c>
    </row>
    <row r="313" spans="1:11" x14ac:dyDescent="0.3">
      <c r="A313" s="1">
        <v>42339</v>
      </c>
      <c r="B313">
        <v>49.303173000000001</v>
      </c>
      <c r="C313" s="1">
        <v>42339</v>
      </c>
      <c r="D313">
        <v>2043.9399410000001</v>
      </c>
      <c r="E313">
        <v>1.8477720842495771E-3</v>
      </c>
      <c r="F313">
        <f t="shared" si="24"/>
        <v>-7.0296489842550658E-3</v>
      </c>
      <c r="G313">
        <f t="shared" si="25"/>
        <v>-5.073532197294639E-2</v>
      </c>
      <c r="H313">
        <f t="shared" si="26"/>
        <v>-8.8774210685046429E-3</v>
      </c>
      <c r="I313">
        <f t="shared" si="27"/>
        <v>-5.2583094057195967E-2</v>
      </c>
      <c r="J313">
        <f t="shared" si="28"/>
        <v>0</v>
      </c>
      <c r="K313">
        <f t="shared" si="29"/>
        <v>0</v>
      </c>
    </row>
    <row r="314" spans="1:11" x14ac:dyDescent="0.3">
      <c r="A314" s="1">
        <v>42370</v>
      </c>
      <c r="B314">
        <v>48.956589000000001</v>
      </c>
      <c r="C314" s="1">
        <v>42370</v>
      </c>
      <c r="D314">
        <v>1940.23999</v>
      </c>
      <c r="E314">
        <v>1.7252023849956277E-3</v>
      </c>
      <c r="F314">
        <f t="shared" si="24"/>
        <v>-7.6420111703452198E-2</v>
      </c>
      <c r="G314">
        <f t="shared" si="25"/>
        <v>-4.1283604302990717E-3</v>
      </c>
      <c r="H314">
        <f t="shared" si="26"/>
        <v>-7.8145314088447826E-2</v>
      </c>
      <c r="I314">
        <f t="shared" si="27"/>
        <v>-5.8535628152946995E-3</v>
      </c>
      <c r="J314">
        <f t="shared" si="28"/>
        <v>0</v>
      </c>
      <c r="K314">
        <f t="shared" si="29"/>
        <v>0</v>
      </c>
    </row>
    <row r="315" spans="1:11" x14ac:dyDescent="0.3">
      <c r="A315" s="1">
        <v>42401</v>
      </c>
      <c r="B315">
        <v>45.215321000000003</v>
      </c>
      <c r="C315" s="1">
        <v>42401</v>
      </c>
      <c r="D315">
        <v>1932.2299800000001</v>
      </c>
      <c r="E315">
        <v>1.4713676651572083E-3</v>
      </c>
      <c r="F315">
        <f t="shared" si="24"/>
        <v>9.3289020330077799E-2</v>
      </c>
      <c r="G315">
        <f t="shared" si="25"/>
        <v>6.5991114577365062E-2</v>
      </c>
      <c r="H315">
        <f t="shared" si="26"/>
        <v>9.181765266492059E-2</v>
      </c>
      <c r="I315">
        <f t="shared" si="27"/>
        <v>6.4519746912207854E-2</v>
      </c>
      <c r="J315">
        <f t="shared" si="28"/>
        <v>0</v>
      </c>
      <c r="K315">
        <f t="shared" si="29"/>
        <v>0</v>
      </c>
    </row>
    <row r="316" spans="1:11" x14ac:dyDescent="0.3">
      <c r="A316" s="1">
        <v>42430</v>
      </c>
      <c r="B316">
        <v>49.433413999999999</v>
      </c>
      <c r="C316" s="1">
        <v>42430</v>
      </c>
      <c r="D316">
        <v>2059.73999</v>
      </c>
      <c r="E316">
        <v>1.5615190697231274E-3</v>
      </c>
      <c r="F316">
        <f t="shared" si="24"/>
        <v>-9.7048749252883981E-2</v>
      </c>
      <c r="G316">
        <f t="shared" si="25"/>
        <v>2.6993984808731941E-3</v>
      </c>
      <c r="H316">
        <f t="shared" si="26"/>
        <v>-9.8610268322607109E-2</v>
      </c>
      <c r="I316">
        <f t="shared" si="27"/>
        <v>1.1378794111500667E-3</v>
      </c>
      <c r="J316">
        <f t="shared" si="28"/>
        <v>0</v>
      </c>
      <c r="K316">
        <f t="shared" si="29"/>
        <v>0</v>
      </c>
    </row>
    <row r="317" spans="1:11" x14ac:dyDescent="0.3">
      <c r="A317" s="1">
        <v>42461</v>
      </c>
      <c r="B317">
        <v>44.635962999999997</v>
      </c>
      <c r="C317" s="1">
        <v>42461</v>
      </c>
      <c r="D317">
        <v>2065.3000489999999</v>
      </c>
      <c r="E317">
        <v>1.4959632659397037E-3</v>
      </c>
      <c r="F317">
        <f t="shared" si="24"/>
        <v>6.2763001214962033E-2</v>
      </c>
      <c r="G317">
        <f t="shared" si="25"/>
        <v>1.5324602357572603E-2</v>
      </c>
      <c r="H317">
        <f t="shared" si="26"/>
        <v>6.1267037949022329E-2</v>
      </c>
      <c r="I317">
        <f t="shared" si="27"/>
        <v>1.3828639091632899E-2</v>
      </c>
      <c r="J317">
        <f t="shared" si="28"/>
        <v>0</v>
      </c>
      <c r="K317">
        <f t="shared" si="29"/>
        <v>0</v>
      </c>
    </row>
    <row r="318" spans="1:11" x14ac:dyDescent="0.3">
      <c r="A318" s="1">
        <v>42491</v>
      </c>
      <c r="B318">
        <v>47.437449999999998</v>
      </c>
      <c r="C318" s="1">
        <v>42491</v>
      </c>
      <c r="D318">
        <v>2096.9499510000001</v>
      </c>
      <c r="E318">
        <v>1.4959632659397037E-3</v>
      </c>
      <c r="F318">
        <f t="shared" si="24"/>
        <v>-2.777543902549573E-2</v>
      </c>
      <c r="G318">
        <f t="shared" si="25"/>
        <v>9.1092112097812539E-4</v>
      </c>
      <c r="H318">
        <f t="shared" si="26"/>
        <v>-2.9271402291435433E-2</v>
      </c>
      <c r="I318">
        <f t="shared" si="27"/>
        <v>-5.8504214496157836E-4</v>
      </c>
      <c r="J318">
        <f t="shared" si="28"/>
        <v>0</v>
      </c>
      <c r="K318">
        <f t="shared" si="29"/>
        <v>0</v>
      </c>
    </row>
    <row r="319" spans="1:11" x14ac:dyDescent="0.3">
      <c r="A319" s="1">
        <v>42522</v>
      </c>
      <c r="B319">
        <v>46.119853999999997</v>
      </c>
      <c r="C319" s="1">
        <v>42522</v>
      </c>
      <c r="D319">
        <v>2098.860107</v>
      </c>
      <c r="E319">
        <v>1.3565002539421833E-3</v>
      </c>
      <c r="F319">
        <f t="shared" si="24"/>
        <v>0.10768050133029483</v>
      </c>
      <c r="G319">
        <f t="shared" si="25"/>
        <v>3.5609801125254359E-2</v>
      </c>
      <c r="H319">
        <f t="shared" si="26"/>
        <v>0.10632400107635265</v>
      </c>
      <c r="I319">
        <f t="shared" si="27"/>
        <v>3.4253300871312176E-2</v>
      </c>
      <c r="J319">
        <f t="shared" si="28"/>
        <v>0</v>
      </c>
      <c r="K319">
        <f t="shared" si="29"/>
        <v>0</v>
      </c>
    </row>
    <row r="320" spans="1:11" x14ac:dyDescent="0.3">
      <c r="A320" s="1">
        <v>42552</v>
      </c>
      <c r="B320">
        <v>51.086063000000003</v>
      </c>
      <c r="C320" s="1">
        <v>42552</v>
      </c>
      <c r="D320">
        <v>2173.6000979999999</v>
      </c>
      <c r="E320">
        <v>1.2414877164492744E-3</v>
      </c>
      <c r="F320">
        <f t="shared" si="24"/>
        <v>1.3761307071167295E-2</v>
      </c>
      <c r="G320">
        <f t="shared" si="25"/>
        <v>-1.2192431360480427E-3</v>
      </c>
      <c r="H320">
        <f t="shared" si="26"/>
        <v>1.251981935471802E-2</v>
      </c>
      <c r="I320">
        <f t="shared" si="27"/>
        <v>-2.460730852497317E-3</v>
      </c>
      <c r="J320">
        <f t="shared" si="28"/>
        <v>0</v>
      </c>
      <c r="K320">
        <f t="shared" si="29"/>
        <v>0</v>
      </c>
    </row>
    <row r="321" spans="1:11" x14ac:dyDescent="0.3">
      <c r="A321" s="1">
        <v>42583</v>
      </c>
      <c r="B321">
        <v>51.789073999999999</v>
      </c>
      <c r="C321" s="1">
        <v>42583</v>
      </c>
      <c r="D321">
        <v>2170.9499510000001</v>
      </c>
      <c r="E321">
        <v>1.2907965990995862E-3</v>
      </c>
      <c r="F321">
        <f t="shared" si="24"/>
        <v>8.6844572660247366E-3</v>
      </c>
      <c r="G321">
        <f t="shared" si="25"/>
        <v>-1.2344508443253854E-3</v>
      </c>
      <c r="H321">
        <f t="shared" si="26"/>
        <v>7.3936606669251503E-3</v>
      </c>
      <c r="I321">
        <f t="shared" si="27"/>
        <v>-2.5252474434249716E-3</v>
      </c>
      <c r="J321">
        <f t="shared" si="28"/>
        <v>0</v>
      </c>
      <c r="K321">
        <f t="shared" si="29"/>
        <v>0</v>
      </c>
    </row>
    <row r="322" spans="1:11" x14ac:dyDescent="0.3">
      <c r="A322" s="1">
        <v>42614</v>
      </c>
      <c r="B322">
        <v>52.238833999999997</v>
      </c>
      <c r="C322" s="1">
        <v>42614</v>
      </c>
      <c r="D322">
        <v>2168.2700199999999</v>
      </c>
      <c r="E322">
        <v>1.3482898900922802E-3</v>
      </c>
      <c r="F322">
        <f t="shared" si="24"/>
        <v>4.02777941023722E-2</v>
      </c>
      <c r="G322">
        <f t="shared" si="25"/>
        <v>-1.9425679279557517E-2</v>
      </c>
      <c r="H322">
        <f t="shared" si="26"/>
        <v>3.892950421227992E-2</v>
      </c>
      <c r="I322">
        <f t="shared" si="27"/>
        <v>-2.0773969169649797E-2</v>
      </c>
      <c r="J322">
        <f t="shared" si="28"/>
        <v>0</v>
      </c>
      <c r="K322">
        <f t="shared" si="29"/>
        <v>0</v>
      </c>
    </row>
    <row r="323" spans="1:11" x14ac:dyDescent="0.3">
      <c r="A323" s="1">
        <v>42644</v>
      </c>
      <c r="B323">
        <v>54.342899000000003</v>
      </c>
      <c r="C323" s="1">
        <v>42644</v>
      </c>
      <c r="D323">
        <v>2126.1499020000001</v>
      </c>
      <c r="E323">
        <v>1.4549669057570824E-3</v>
      </c>
      <c r="F323">
        <f t="shared" ref="F323:F386" si="30">(B324/B323)-1</f>
        <v>5.6740808030870671E-3</v>
      </c>
      <c r="G323">
        <f t="shared" ref="G323:G386" si="31">(D324/D323)-1</f>
        <v>3.4174522187570444E-2</v>
      </c>
      <c r="H323">
        <f t="shared" ref="H323:H386" si="32">F323-E323</f>
        <v>4.2191138973299847E-3</v>
      </c>
      <c r="I323">
        <f t="shared" ref="I323:I386" si="33">G323-E323</f>
        <v>3.2719555281813362E-2</v>
      </c>
      <c r="J323">
        <f t="shared" ref="J323:J386" si="34">IF(H323=$P$3, 1, 0)</f>
        <v>0</v>
      </c>
      <c r="K323">
        <f t="shared" ref="K323:K386" si="35">I323*J323</f>
        <v>0</v>
      </c>
    </row>
    <row r="324" spans="1:11" x14ac:dyDescent="0.3">
      <c r="A324" s="1">
        <v>42675</v>
      </c>
      <c r="B324">
        <v>54.651245000000003</v>
      </c>
      <c r="C324" s="1">
        <v>42675</v>
      </c>
      <c r="D324">
        <v>2198.8100589999999</v>
      </c>
      <c r="E324">
        <v>1.7660772833825167E-3</v>
      </c>
      <c r="F324">
        <f t="shared" si="30"/>
        <v>3.8164455356872518E-2</v>
      </c>
      <c r="G324">
        <f t="shared" si="31"/>
        <v>1.8200762196895148E-2</v>
      </c>
      <c r="H324">
        <f t="shared" si="32"/>
        <v>3.6398378073490001E-2</v>
      </c>
      <c r="I324">
        <f t="shared" si="33"/>
        <v>1.6434684913512632E-2</v>
      </c>
      <c r="J324">
        <f t="shared" si="34"/>
        <v>0</v>
      </c>
      <c r="K324">
        <f t="shared" si="35"/>
        <v>0</v>
      </c>
    </row>
    <row r="325" spans="1:11" x14ac:dyDescent="0.3">
      <c r="A325" s="1">
        <v>42705</v>
      </c>
      <c r="B325">
        <v>56.736980000000003</v>
      </c>
      <c r="C325" s="1">
        <v>42705</v>
      </c>
      <c r="D325">
        <v>2238.830078</v>
      </c>
      <c r="E325">
        <v>2.051689077593899E-3</v>
      </c>
      <c r="F325">
        <f t="shared" si="30"/>
        <v>4.0392773813481053E-2</v>
      </c>
      <c r="G325">
        <f t="shared" si="31"/>
        <v>1.7884358171464498E-2</v>
      </c>
      <c r="H325">
        <f t="shared" si="32"/>
        <v>3.8341084735887154E-2</v>
      </c>
      <c r="I325">
        <f t="shared" si="33"/>
        <v>1.5832669093870599E-2</v>
      </c>
      <c r="J325">
        <f t="shared" si="34"/>
        <v>0</v>
      </c>
      <c r="K325">
        <f t="shared" si="35"/>
        <v>0</v>
      </c>
    </row>
    <row r="326" spans="1:11" x14ac:dyDescent="0.3">
      <c r="A326" s="1">
        <v>42736</v>
      </c>
      <c r="B326">
        <v>59.028744000000003</v>
      </c>
      <c r="C326" s="1">
        <v>42736</v>
      </c>
      <c r="D326">
        <v>2278.8701169999999</v>
      </c>
      <c r="E326">
        <v>2.0027906163269105E-3</v>
      </c>
      <c r="F326">
        <f t="shared" si="30"/>
        <v>-1.0363493419409342E-2</v>
      </c>
      <c r="G326">
        <f t="shared" si="31"/>
        <v>3.7198160337279074E-2</v>
      </c>
      <c r="H326">
        <f t="shared" si="32"/>
        <v>-1.2366284035736252E-2</v>
      </c>
      <c r="I326">
        <f t="shared" si="33"/>
        <v>3.5195369720952163E-2</v>
      </c>
      <c r="J326">
        <f t="shared" si="34"/>
        <v>0</v>
      </c>
      <c r="K326">
        <f t="shared" si="35"/>
        <v>0</v>
      </c>
    </row>
    <row r="327" spans="1:11" x14ac:dyDescent="0.3">
      <c r="A327" s="1">
        <v>42767</v>
      </c>
      <c r="B327">
        <v>58.417000000000002</v>
      </c>
      <c r="C327" s="1">
        <v>42767</v>
      </c>
      <c r="D327">
        <v>2363.639893</v>
      </c>
      <c r="E327">
        <v>1.9946383202138485E-3</v>
      </c>
      <c r="F327">
        <f t="shared" si="30"/>
        <v>3.5624646934967696E-2</v>
      </c>
      <c r="G327">
        <f t="shared" si="31"/>
        <v>-3.8919718808450021E-4</v>
      </c>
      <c r="H327">
        <f t="shared" si="32"/>
        <v>3.3630008614753848E-2</v>
      </c>
      <c r="I327">
        <f t="shared" si="33"/>
        <v>-2.3838355082983487E-3</v>
      </c>
      <c r="J327">
        <f t="shared" si="34"/>
        <v>0</v>
      </c>
      <c r="K327">
        <f t="shared" si="35"/>
        <v>0</v>
      </c>
    </row>
    <row r="328" spans="1:11" x14ac:dyDescent="0.3">
      <c r="A328" s="1">
        <v>42795</v>
      </c>
      <c r="B328">
        <v>60.498085000000003</v>
      </c>
      <c r="C328" s="1">
        <v>42795</v>
      </c>
      <c r="D328">
        <v>2362.719971</v>
      </c>
      <c r="E328">
        <v>2.043541156630635E-3</v>
      </c>
      <c r="F328">
        <f t="shared" si="30"/>
        <v>3.9477877688194551E-2</v>
      </c>
      <c r="G328">
        <f t="shared" si="31"/>
        <v>9.0912085493182193E-3</v>
      </c>
      <c r="H328">
        <f t="shared" si="32"/>
        <v>3.7434336531563916E-2</v>
      </c>
      <c r="I328">
        <f t="shared" si="33"/>
        <v>7.0476673926875844E-3</v>
      </c>
      <c r="J328">
        <f t="shared" si="34"/>
        <v>0</v>
      </c>
      <c r="K328">
        <f t="shared" si="35"/>
        <v>0</v>
      </c>
    </row>
    <row r="329" spans="1:11" x14ac:dyDescent="0.3">
      <c r="A329" s="1">
        <v>42826</v>
      </c>
      <c r="B329">
        <v>62.886420999999999</v>
      </c>
      <c r="C329" s="1">
        <v>42826</v>
      </c>
      <c r="D329">
        <v>2384.1999510000001</v>
      </c>
      <c r="E329">
        <v>1.7987639981225101E-3</v>
      </c>
      <c r="F329">
        <f t="shared" si="30"/>
        <v>2.0157722125735189E-2</v>
      </c>
      <c r="G329">
        <f t="shared" si="31"/>
        <v>1.157625139134133E-2</v>
      </c>
      <c r="H329">
        <f t="shared" si="32"/>
        <v>1.8358958127612679E-2</v>
      </c>
      <c r="I329">
        <f t="shared" si="33"/>
        <v>9.77748739321882E-3</v>
      </c>
      <c r="J329">
        <f t="shared" si="34"/>
        <v>0</v>
      </c>
      <c r="K329">
        <f t="shared" si="35"/>
        <v>0</v>
      </c>
    </row>
    <row r="330" spans="1:11" x14ac:dyDescent="0.3">
      <c r="A330" s="1">
        <v>42856</v>
      </c>
      <c r="B330">
        <v>64.154067999999995</v>
      </c>
      <c r="C330" s="1">
        <v>42856</v>
      </c>
      <c r="D330">
        <v>2411.8000489999999</v>
      </c>
      <c r="E330">
        <v>1.8967538135683526E-3</v>
      </c>
      <c r="F330">
        <f t="shared" si="30"/>
        <v>-7.3725176710538465E-3</v>
      </c>
      <c r="G330">
        <f t="shared" si="31"/>
        <v>4.8137750908554544E-3</v>
      </c>
      <c r="H330">
        <f t="shared" si="32"/>
        <v>-9.2692714846221991E-3</v>
      </c>
      <c r="I330">
        <f t="shared" si="33"/>
        <v>2.9170212772871018E-3</v>
      </c>
      <c r="J330">
        <f t="shared" si="34"/>
        <v>0</v>
      </c>
      <c r="K330">
        <f t="shared" si="35"/>
        <v>0</v>
      </c>
    </row>
    <row r="331" spans="1:11" x14ac:dyDescent="0.3">
      <c r="A331" s="1">
        <v>42887</v>
      </c>
      <c r="B331">
        <v>63.681091000000002</v>
      </c>
      <c r="C331" s="1">
        <v>42887</v>
      </c>
      <c r="D331">
        <v>2423.4099120000001</v>
      </c>
      <c r="E331">
        <v>1.8069338440696026E-3</v>
      </c>
      <c r="F331">
        <f t="shared" si="30"/>
        <v>5.4692765863574744E-2</v>
      </c>
      <c r="G331">
        <f t="shared" si="31"/>
        <v>1.9348826118030571E-2</v>
      </c>
      <c r="H331">
        <f t="shared" si="32"/>
        <v>5.2885832019505141E-2</v>
      </c>
      <c r="I331">
        <f t="shared" si="33"/>
        <v>1.7541892273960968E-2</v>
      </c>
      <c r="J331">
        <f t="shared" si="34"/>
        <v>0</v>
      </c>
      <c r="K331">
        <f t="shared" si="35"/>
        <v>0</v>
      </c>
    </row>
    <row r="332" spans="1:11" x14ac:dyDescent="0.3">
      <c r="A332" s="1">
        <v>42917</v>
      </c>
      <c r="B332">
        <v>67.163985999999994</v>
      </c>
      <c r="C332" s="1">
        <v>42917</v>
      </c>
      <c r="D332">
        <v>2470.3000489999999</v>
      </c>
      <c r="E332">
        <v>1.913075204727166E-3</v>
      </c>
      <c r="F332">
        <f t="shared" si="30"/>
        <v>2.8473578086922968E-2</v>
      </c>
      <c r="G332">
        <f t="shared" si="31"/>
        <v>5.4643281108557318E-4</v>
      </c>
      <c r="H332">
        <f t="shared" si="32"/>
        <v>2.6560502882195802E-2</v>
      </c>
      <c r="I332">
        <f t="shared" si="33"/>
        <v>-1.3666423936415928E-3</v>
      </c>
      <c r="J332">
        <f t="shared" si="34"/>
        <v>0</v>
      </c>
      <c r="K332">
        <f t="shared" si="35"/>
        <v>0</v>
      </c>
    </row>
    <row r="333" spans="1:11" x14ac:dyDescent="0.3">
      <c r="A333" s="1">
        <v>42948</v>
      </c>
      <c r="B333">
        <v>69.076385000000002</v>
      </c>
      <c r="C333" s="1">
        <v>42948</v>
      </c>
      <c r="D333">
        <v>2471.6499020000001</v>
      </c>
      <c r="E333">
        <v>1.8232713376404863E-3</v>
      </c>
      <c r="F333">
        <f t="shared" si="30"/>
        <v>1.5631825550801448E-3</v>
      </c>
      <c r="G333">
        <f t="shared" si="31"/>
        <v>1.9302978533243698E-2</v>
      </c>
      <c r="H333">
        <f t="shared" si="32"/>
        <v>-2.6008878256034151E-4</v>
      </c>
      <c r="I333">
        <f t="shared" si="33"/>
        <v>1.7479707195603211E-2</v>
      </c>
      <c r="J333">
        <f t="shared" si="34"/>
        <v>0</v>
      </c>
      <c r="K333">
        <f t="shared" si="35"/>
        <v>0</v>
      </c>
    </row>
    <row r="334" spans="1:11" x14ac:dyDescent="0.3">
      <c r="A334" s="1">
        <v>42979</v>
      </c>
      <c r="B334">
        <v>69.184364000000002</v>
      </c>
      <c r="C334" s="1">
        <v>42979</v>
      </c>
      <c r="D334">
        <v>2519.360107</v>
      </c>
      <c r="E334">
        <v>1.8151029571964461E-3</v>
      </c>
      <c r="F334">
        <f t="shared" si="30"/>
        <v>0.1166596255766692</v>
      </c>
      <c r="G334">
        <f t="shared" si="31"/>
        <v>2.218813533034969E-2</v>
      </c>
      <c r="H334">
        <f t="shared" si="32"/>
        <v>0.11484452261947276</v>
      </c>
      <c r="I334">
        <f t="shared" si="33"/>
        <v>2.0373032373153244E-2</v>
      </c>
      <c r="J334">
        <f t="shared" si="34"/>
        <v>0</v>
      </c>
      <c r="K334">
        <f t="shared" si="35"/>
        <v>0</v>
      </c>
    </row>
    <row r="335" spans="1:11" x14ac:dyDescent="0.3">
      <c r="A335" s="1">
        <v>43009</v>
      </c>
      <c r="B335">
        <v>77.255386000000001</v>
      </c>
      <c r="C335" s="1">
        <v>43009</v>
      </c>
      <c r="D335">
        <v>2575.26001</v>
      </c>
      <c r="E335">
        <v>1.945709215699809E-3</v>
      </c>
      <c r="F335">
        <f t="shared" si="30"/>
        <v>1.1902121620361639E-2</v>
      </c>
      <c r="G335">
        <f t="shared" si="31"/>
        <v>2.808262766445857E-2</v>
      </c>
      <c r="H335">
        <f t="shared" si="32"/>
        <v>9.9564124046618296E-3</v>
      </c>
      <c r="I335">
        <f t="shared" si="33"/>
        <v>2.6136918448758761E-2</v>
      </c>
      <c r="J335">
        <f t="shared" si="34"/>
        <v>0</v>
      </c>
      <c r="K335">
        <f t="shared" si="35"/>
        <v>0</v>
      </c>
    </row>
    <row r="336" spans="1:11" x14ac:dyDescent="0.3">
      <c r="A336" s="1">
        <v>43040</v>
      </c>
      <c r="B336">
        <v>78.174888999999993</v>
      </c>
      <c r="C336" s="1">
        <v>43040</v>
      </c>
      <c r="D336">
        <v>2647.580078</v>
      </c>
      <c r="E336">
        <v>1.937551809032545E-3</v>
      </c>
      <c r="F336">
        <f t="shared" si="30"/>
        <v>2.1380574010153142E-2</v>
      </c>
      <c r="G336">
        <f t="shared" si="31"/>
        <v>9.8316304826040479E-3</v>
      </c>
      <c r="H336">
        <f t="shared" si="32"/>
        <v>1.9443022201120597E-2</v>
      </c>
      <c r="I336">
        <f t="shared" si="33"/>
        <v>7.8940786735715029E-3</v>
      </c>
      <c r="J336">
        <f t="shared" si="34"/>
        <v>0</v>
      </c>
      <c r="K336">
        <f t="shared" si="35"/>
        <v>0</v>
      </c>
    </row>
    <row r="337" spans="1:11" x14ac:dyDescent="0.3">
      <c r="A337" s="1">
        <v>43070</v>
      </c>
      <c r="B337">
        <v>79.846312999999995</v>
      </c>
      <c r="C337" s="1">
        <v>43070</v>
      </c>
      <c r="D337">
        <v>2673.610107</v>
      </c>
      <c r="E337">
        <v>1.9783315388433032E-3</v>
      </c>
      <c r="F337">
        <f t="shared" si="30"/>
        <v>0.11070834291371723</v>
      </c>
      <c r="G337">
        <f t="shared" si="31"/>
        <v>5.6178704444133087E-2</v>
      </c>
      <c r="H337">
        <f t="shared" si="32"/>
        <v>0.10873001137487392</v>
      </c>
      <c r="I337">
        <f t="shared" si="33"/>
        <v>5.4200372905289784E-2</v>
      </c>
      <c r="J337">
        <f t="shared" si="34"/>
        <v>0</v>
      </c>
      <c r="K337">
        <f t="shared" si="35"/>
        <v>0</v>
      </c>
    </row>
    <row r="338" spans="1:11" x14ac:dyDescent="0.3">
      <c r="A338" s="1">
        <v>43101</v>
      </c>
      <c r="B338">
        <v>88.685965999999993</v>
      </c>
      <c r="C338" s="1">
        <v>43101</v>
      </c>
      <c r="D338">
        <v>2823.8100589999999</v>
      </c>
      <c r="E338">
        <v>2.1249875904596482E-3</v>
      </c>
      <c r="F338">
        <f t="shared" si="30"/>
        <v>-1.305125322759626E-2</v>
      </c>
      <c r="G338">
        <f t="shared" si="31"/>
        <v>-3.8947372061896912E-2</v>
      </c>
      <c r="H338">
        <f t="shared" si="32"/>
        <v>-1.5176240818055908E-2</v>
      </c>
      <c r="I338">
        <f t="shared" si="33"/>
        <v>-4.107235965235656E-2</v>
      </c>
      <c r="J338">
        <f t="shared" si="34"/>
        <v>0</v>
      </c>
      <c r="K338">
        <f t="shared" si="35"/>
        <v>0</v>
      </c>
    </row>
    <row r="339" spans="1:11" x14ac:dyDescent="0.3">
      <c r="A339" s="1">
        <v>43132</v>
      </c>
      <c r="B339">
        <v>87.528503000000001</v>
      </c>
      <c r="C339" s="1">
        <v>43132</v>
      </c>
      <c r="D339">
        <v>2713.830078</v>
      </c>
      <c r="E339">
        <v>2.3526510136486767E-3</v>
      </c>
      <c r="F339">
        <f t="shared" si="30"/>
        <v>-2.2088656080408442E-2</v>
      </c>
      <c r="G339">
        <f t="shared" si="31"/>
        <v>-2.6884498624825115E-2</v>
      </c>
      <c r="H339">
        <f t="shared" si="32"/>
        <v>-2.4441307094057119E-2</v>
      </c>
      <c r="I339">
        <f t="shared" si="33"/>
        <v>-2.9237149638473792E-2</v>
      </c>
      <c r="J339">
        <f t="shared" si="34"/>
        <v>0</v>
      </c>
      <c r="K339">
        <f t="shared" si="35"/>
        <v>0</v>
      </c>
    </row>
    <row r="340" spans="1:11" x14ac:dyDescent="0.3">
      <c r="A340" s="1">
        <v>43160</v>
      </c>
      <c r="B340">
        <v>85.595116000000004</v>
      </c>
      <c r="C340" s="1">
        <v>43160</v>
      </c>
      <c r="D340">
        <v>2640.8701169999999</v>
      </c>
      <c r="E340">
        <v>2.3364081918575419E-3</v>
      </c>
      <c r="F340">
        <f t="shared" si="30"/>
        <v>2.4651838780147095E-2</v>
      </c>
      <c r="G340">
        <f t="shared" si="31"/>
        <v>2.718775131643536E-3</v>
      </c>
      <c r="H340">
        <f t="shared" si="32"/>
        <v>2.2315430588289553E-2</v>
      </c>
      <c r="I340">
        <f t="shared" si="33"/>
        <v>3.8236693978599412E-4</v>
      </c>
      <c r="J340">
        <f t="shared" si="34"/>
        <v>0</v>
      </c>
      <c r="K340">
        <f t="shared" si="35"/>
        <v>0</v>
      </c>
    </row>
    <row r="341" spans="1:11" x14ac:dyDescent="0.3">
      <c r="A341" s="1">
        <v>43191</v>
      </c>
      <c r="B341">
        <v>87.705192999999994</v>
      </c>
      <c r="C341" s="1">
        <v>43191</v>
      </c>
      <c r="D341">
        <v>2648.0500489999999</v>
      </c>
      <c r="E341">
        <v>2.3607713389290907E-3</v>
      </c>
      <c r="F341">
        <f t="shared" si="30"/>
        <v>5.6886335111308695E-2</v>
      </c>
      <c r="G341">
        <f t="shared" si="31"/>
        <v>2.1608341965291933E-2</v>
      </c>
      <c r="H341">
        <f t="shared" si="32"/>
        <v>5.4525563772379604E-2</v>
      </c>
      <c r="I341">
        <f t="shared" si="33"/>
        <v>1.9247570626362842E-2</v>
      </c>
      <c r="J341">
        <f t="shared" si="34"/>
        <v>0</v>
      </c>
      <c r="K341">
        <f t="shared" si="35"/>
        <v>0</v>
      </c>
    </row>
    <row r="342" spans="1:11" x14ac:dyDescent="0.3">
      <c r="A342" s="1">
        <v>43221</v>
      </c>
      <c r="B342">
        <v>92.694419999999994</v>
      </c>
      <c r="C342" s="1">
        <v>43221</v>
      </c>
      <c r="D342">
        <v>2705.2700199999999</v>
      </c>
      <c r="E342">
        <v>2.4500471914443711E-3</v>
      </c>
      <c r="F342">
        <f t="shared" si="30"/>
        <v>1.9975096667090853E-3</v>
      </c>
      <c r="G342">
        <f t="shared" si="31"/>
        <v>4.8424360241865472E-3</v>
      </c>
      <c r="H342">
        <f t="shared" si="32"/>
        <v>-4.5253752473528586E-4</v>
      </c>
      <c r="I342">
        <f t="shared" si="33"/>
        <v>2.3923888327421761E-3</v>
      </c>
      <c r="J342">
        <f t="shared" si="34"/>
        <v>0</v>
      </c>
      <c r="K342">
        <f t="shared" si="35"/>
        <v>0</v>
      </c>
    </row>
    <row r="343" spans="1:11" x14ac:dyDescent="0.3">
      <c r="A343" s="1">
        <v>43252</v>
      </c>
      <c r="B343">
        <v>92.879577999999995</v>
      </c>
      <c r="C343" s="1">
        <v>43252</v>
      </c>
      <c r="D343">
        <v>2718.3701169999999</v>
      </c>
      <c r="E343">
        <v>2.3932454057613572E-3</v>
      </c>
      <c r="F343">
        <f t="shared" si="30"/>
        <v>7.5752637463533778E-2</v>
      </c>
      <c r="G343">
        <f t="shared" si="31"/>
        <v>3.6021556221367268E-2</v>
      </c>
      <c r="H343">
        <f t="shared" si="32"/>
        <v>7.3359392057772421E-2</v>
      </c>
      <c r="I343">
        <f t="shared" si="33"/>
        <v>3.3628310815605911E-2</v>
      </c>
      <c r="J343">
        <f t="shared" si="34"/>
        <v>0</v>
      </c>
      <c r="K343">
        <f t="shared" si="35"/>
        <v>0</v>
      </c>
    </row>
    <row r="344" spans="1:11" x14ac:dyDescent="0.3">
      <c r="A344" s="1">
        <v>43282</v>
      </c>
      <c r="B344">
        <v>99.915451000000004</v>
      </c>
      <c r="C344" s="1">
        <v>43282</v>
      </c>
      <c r="D344">
        <v>2816.290039</v>
      </c>
      <c r="E344">
        <v>2.3770098189335176E-3</v>
      </c>
      <c r="F344">
        <f t="shared" si="30"/>
        <v>5.8917914507536917E-2</v>
      </c>
      <c r="G344">
        <f t="shared" si="31"/>
        <v>3.0263211466054596E-2</v>
      </c>
      <c r="H344">
        <f t="shared" si="32"/>
        <v>5.6540904688603399E-2</v>
      </c>
      <c r="I344">
        <f t="shared" si="33"/>
        <v>2.7886201647121078E-2</v>
      </c>
      <c r="J344">
        <f t="shared" si="34"/>
        <v>0</v>
      </c>
      <c r="K344">
        <f t="shared" si="35"/>
        <v>0</v>
      </c>
    </row>
    <row r="345" spans="1:11" x14ac:dyDescent="0.3">
      <c r="A345" s="1">
        <v>43313</v>
      </c>
      <c r="B345">
        <v>105.802261</v>
      </c>
      <c r="C345" s="1">
        <v>43313</v>
      </c>
      <c r="D345">
        <v>2901.5200199999999</v>
      </c>
      <c r="E345">
        <v>2.3770098189335176E-3</v>
      </c>
      <c r="F345">
        <f t="shared" si="30"/>
        <v>2.2078913795613442E-2</v>
      </c>
      <c r="G345">
        <f t="shared" si="31"/>
        <v>4.2942871026614426E-3</v>
      </c>
      <c r="H345">
        <f t="shared" si="32"/>
        <v>1.9701903976679924E-2</v>
      </c>
      <c r="I345">
        <f t="shared" si="33"/>
        <v>1.9172772837279251E-3</v>
      </c>
      <c r="J345">
        <f t="shared" si="34"/>
        <v>0</v>
      </c>
      <c r="K345">
        <f t="shared" si="35"/>
        <v>0</v>
      </c>
    </row>
    <row r="346" spans="1:11" x14ac:dyDescent="0.3">
      <c r="A346" s="1">
        <v>43344</v>
      </c>
      <c r="B346">
        <v>108.13826</v>
      </c>
      <c r="C346" s="1">
        <v>43344</v>
      </c>
      <c r="D346">
        <v>2913.9799800000001</v>
      </c>
      <c r="E346">
        <v>2.4662697723036864E-3</v>
      </c>
      <c r="F346">
        <f t="shared" si="30"/>
        <v>-6.6101220789015813E-2</v>
      </c>
      <c r="G346">
        <f t="shared" si="31"/>
        <v>-6.9403356024429486E-2</v>
      </c>
      <c r="H346">
        <f t="shared" si="32"/>
        <v>-6.85674905613195E-2</v>
      </c>
      <c r="I346">
        <f t="shared" si="33"/>
        <v>-7.1869625796733172E-2</v>
      </c>
      <c r="J346">
        <f t="shared" si="34"/>
        <v>0</v>
      </c>
      <c r="K346">
        <f t="shared" si="35"/>
        <v>0</v>
      </c>
    </row>
    <row r="347" spans="1:11" x14ac:dyDescent="0.3">
      <c r="A347" s="1">
        <v>43374</v>
      </c>
      <c r="B347">
        <v>100.990189</v>
      </c>
      <c r="C347" s="1">
        <v>43374</v>
      </c>
      <c r="D347">
        <v>2711.73999</v>
      </c>
      <c r="E347">
        <v>2.587847171547919E-3</v>
      </c>
      <c r="F347">
        <f t="shared" si="30"/>
        <v>3.8198799687363616E-2</v>
      </c>
      <c r="G347">
        <f t="shared" si="31"/>
        <v>1.7859356788848979E-2</v>
      </c>
      <c r="H347">
        <f t="shared" si="32"/>
        <v>3.5610952515815697E-2</v>
      </c>
      <c r="I347">
        <f t="shared" si="33"/>
        <v>1.527150961730106E-2</v>
      </c>
      <c r="J347">
        <f t="shared" si="34"/>
        <v>0</v>
      </c>
      <c r="K347">
        <f t="shared" si="35"/>
        <v>0</v>
      </c>
    </row>
    <row r="348" spans="1:11" x14ac:dyDescent="0.3">
      <c r="A348" s="1">
        <v>43405</v>
      </c>
      <c r="B348">
        <v>104.847893</v>
      </c>
      <c r="C348" s="1">
        <v>43405</v>
      </c>
      <c r="D348">
        <v>2760.169922</v>
      </c>
      <c r="E348">
        <v>2.5635446626290914E-3</v>
      </c>
      <c r="F348">
        <f t="shared" si="30"/>
        <v>-8.009039342354729E-2</v>
      </c>
      <c r="G348">
        <f t="shared" si="31"/>
        <v>-9.1776894596563907E-2</v>
      </c>
      <c r="H348">
        <f t="shared" si="32"/>
        <v>-8.2653938086176382E-2</v>
      </c>
      <c r="I348">
        <f t="shared" si="33"/>
        <v>-9.4340439259192999E-2</v>
      </c>
      <c r="J348">
        <f t="shared" si="34"/>
        <v>0</v>
      </c>
      <c r="K348">
        <f t="shared" si="35"/>
        <v>0</v>
      </c>
    </row>
    <row r="349" spans="1:11" x14ac:dyDescent="0.3">
      <c r="A349" s="1">
        <v>43435</v>
      </c>
      <c r="B349">
        <v>96.450584000000006</v>
      </c>
      <c r="C349" s="1">
        <v>43435</v>
      </c>
      <c r="D349">
        <v>2506.8500979999999</v>
      </c>
      <c r="E349">
        <v>2.3282856950768149E-3</v>
      </c>
      <c r="F349">
        <f t="shared" si="30"/>
        <v>2.8157952884971582E-2</v>
      </c>
      <c r="G349">
        <f t="shared" si="31"/>
        <v>7.8684401655036762E-2</v>
      </c>
      <c r="H349">
        <f t="shared" si="32"/>
        <v>2.5829667189894767E-2</v>
      </c>
      <c r="I349">
        <f t="shared" si="33"/>
        <v>7.6356115959959947E-2</v>
      </c>
      <c r="J349">
        <f t="shared" si="34"/>
        <v>0</v>
      </c>
      <c r="K349">
        <f t="shared" si="35"/>
        <v>0</v>
      </c>
    </row>
    <row r="350" spans="1:11" x14ac:dyDescent="0.3">
      <c r="A350" s="1">
        <v>43466</v>
      </c>
      <c r="B350">
        <v>99.166435000000007</v>
      </c>
      <c r="C350" s="1">
        <v>43466</v>
      </c>
      <c r="D350">
        <v>2704.1000979999999</v>
      </c>
      <c r="E350">
        <v>2.2307592150201394E-3</v>
      </c>
      <c r="F350">
        <f t="shared" si="30"/>
        <v>7.2775975056479592E-2</v>
      </c>
      <c r="G350">
        <f t="shared" si="31"/>
        <v>2.9728889126352298E-2</v>
      </c>
      <c r="H350">
        <f t="shared" si="32"/>
        <v>7.0545215841459452E-2</v>
      </c>
      <c r="I350">
        <f t="shared" si="33"/>
        <v>2.7498129911332159E-2</v>
      </c>
      <c r="J350">
        <f t="shared" si="34"/>
        <v>0</v>
      </c>
      <c r="K350">
        <f t="shared" si="35"/>
        <v>0</v>
      </c>
    </row>
    <row r="351" spans="1:11" x14ac:dyDescent="0.3">
      <c r="A351" s="1">
        <v>43497</v>
      </c>
      <c r="B351">
        <v>106.383369</v>
      </c>
      <c r="C351" s="1">
        <v>43497</v>
      </c>
      <c r="D351">
        <v>2784.48999</v>
      </c>
      <c r="E351">
        <v>2.206361275312263E-3</v>
      </c>
      <c r="F351">
        <f t="shared" si="30"/>
        <v>5.7249775573473327E-2</v>
      </c>
      <c r="G351">
        <f t="shared" si="31"/>
        <v>1.7924256211817147E-2</v>
      </c>
      <c r="H351">
        <f t="shared" si="32"/>
        <v>5.5043414298161064E-2</v>
      </c>
      <c r="I351">
        <f t="shared" si="33"/>
        <v>1.5717894936504884E-2</v>
      </c>
      <c r="J351">
        <f t="shared" si="34"/>
        <v>0</v>
      </c>
      <c r="K351">
        <f t="shared" si="35"/>
        <v>0</v>
      </c>
    </row>
    <row r="352" spans="1:11" x14ac:dyDescent="0.3">
      <c r="A352" s="1">
        <v>43525</v>
      </c>
      <c r="B352">
        <v>112.473793</v>
      </c>
      <c r="C352" s="1">
        <v>43525</v>
      </c>
      <c r="D352">
        <v>2834.3999020000001</v>
      </c>
      <c r="E352">
        <v>2.1168462230236607E-3</v>
      </c>
      <c r="F352">
        <f t="shared" si="30"/>
        <v>0.10734265003403953</v>
      </c>
      <c r="G352">
        <f t="shared" si="31"/>
        <v>3.9313498395682656E-2</v>
      </c>
      <c r="H352">
        <f t="shared" si="32"/>
        <v>0.10522580381101587</v>
      </c>
      <c r="I352">
        <f t="shared" si="33"/>
        <v>3.7196652172658995E-2</v>
      </c>
      <c r="J352">
        <f t="shared" si="34"/>
        <v>0</v>
      </c>
      <c r="K352">
        <f t="shared" si="35"/>
        <v>0</v>
      </c>
    </row>
    <row r="353" spans="1:11" x14ac:dyDescent="0.3">
      <c r="A353" s="1">
        <v>43556</v>
      </c>
      <c r="B353">
        <v>124.547028</v>
      </c>
      <c r="C353" s="1">
        <v>43556</v>
      </c>
      <c r="D353">
        <v>2945.830078</v>
      </c>
      <c r="E353">
        <v>2.0842734756658654E-3</v>
      </c>
      <c r="F353">
        <f t="shared" si="30"/>
        <v>-5.2986081691166476E-2</v>
      </c>
      <c r="G353">
        <f t="shared" si="31"/>
        <v>-6.577773118928687E-2</v>
      </c>
      <c r="H353">
        <f t="shared" si="32"/>
        <v>-5.5070355166832341E-2</v>
      </c>
      <c r="I353">
        <f t="shared" si="33"/>
        <v>-6.7862004664952735E-2</v>
      </c>
      <c r="J353">
        <f t="shared" si="34"/>
        <v>0</v>
      </c>
      <c r="K353">
        <f t="shared" si="35"/>
        <v>0</v>
      </c>
    </row>
    <row r="354" spans="1:11" x14ac:dyDescent="0.3">
      <c r="A354" s="1">
        <v>43586</v>
      </c>
      <c r="B354">
        <v>117.94776899999999</v>
      </c>
      <c r="C354" s="1">
        <v>43586</v>
      </c>
      <c r="D354">
        <v>2752.0600589999999</v>
      </c>
      <c r="E354">
        <v>1.970177053312705E-3</v>
      </c>
      <c r="F354">
        <f t="shared" si="30"/>
        <v>8.7126811190468612E-2</v>
      </c>
      <c r="G354">
        <f t="shared" si="31"/>
        <v>6.8930163925612131E-2</v>
      </c>
      <c r="H354">
        <f t="shared" si="32"/>
        <v>8.5156634137155907E-2</v>
      </c>
      <c r="I354">
        <f t="shared" si="33"/>
        <v>6.6959986872299426E-2</v>
      </c>
      <c r="J354">
        <f t="shared" si="34"/>
        <v>0</v>
      </c>
      <c r="K354">
        <f t="shared" si="35"/>
        <v>0</v>
      </c>
    </row>
    <row r="355" spans="1:11" x14ac:dyDescent="0.3">
      <c r="A355" s="1">
        <v>43617</v>
      </c>
      <c r="B355">
        <v>128.22418200000001</v>
      </c>
      <c r="C355" s="1">
        <v>43617</v>
      </c>
      <c r="D355">
        <v>2941.76001</v>
      </c>
      <c r="E355">
        <v>1.7088472872288651E-3</v>
      </c>
      <c r="F355">
        <f t="shared" si="30"/>
        <v>1.7244056195265589E-2</v>
      </c>
      <c r="G355">
        <f t="shared" si="31"/>
        <v>1.3128152149977756E-2</v>
      </c>
      <c r="H355">
        <f t="shared" si="32"/>
        <v>1.5535208908036724E-2</v>
      </c>
      <c r="I355">
        <f t="shared" si="33"/>
        <v>1.1419304862748891E-2</v>
      </c>
      <c r="J355">
        <f t="shared" si="34"/>
        <v>0</v>
      </c>
      <c r="K355">
        <f t="shared" si="35"/>
        <v>0</v>
      </c>
    </row>
    <row r="356" spans="1:11" x14ac:dyDescent="0.3">
      <c r="A356" s="1">
        <v>43647</v>
      </c>
      <c r="B356">
        <v>130.43528699999999</v>
      </c>
      <c r="C356" s="1">
        <v>43647</v>
      </c>
      <c r="D356">
        <v>2980.3798830000001</v>
      </c>
      <c r="E356">
        <v>1.7006686367058155E-3</v>
      </c>
      <c r="F356">
        <f t="shared" si="30"/>
        <v>1.1667831880494361E-2</v>
      </c>
      <c r="G356">
        <f t="shared" si="31"/>
        <v>-1.8091627281326739E-2</v>
      </c>
      <c r="H356">
        <f t="shared" si="32"/>
        <v>9.967163243788546E-3</v>
      </c>
      <c r="I356">
        <f t="shared" si="33"/>
        <v>-1.9792295918032554E-2</v>
      </c>
      <c r="J356">
        <f t="shared" si="34"/>
        <v>0</v>
      </c>
      <c r="K356">
        <f t="shared" si="35"/>
        <v>0</v>
      </c>
    </row>
    <row r="357" spans="1:11" x14ac:dyDescent="0.3">
      <c r="A357" s="1">
        <v>43678</v>
      </c>
      <c r="B357">
        <v>131.95718400000001</v>
      </c>
      <c r="C357" s="1">
        <v>43678</v>
      </c>
      <c r="D357">
        <v>2926.459961</v>
      </c>
      <c r="E357">
        <v>1.3482898900922802E-3</v>
      </c>
      <c r="F357">
        <f t="shared" si="30"/>
        <v>1.1845357354700603E-2</v>
      </c>
      <c r="G357">
        <f t="shared" si="31"/>
        <v>1.7181177829208583E-2</v>
      </c>
      <c r="H357">
        <f t="shared" si="32"/>
        <v>1.0497067464608323E-2</v>
      </c>
      <c r="I357">
        <f t="shared" si="33"/>
        <v>1.5832887939116302E-2</v>
      </c>
      <c r="J357">
        <f t="shared" si="34"/>
        <v>0</v>
      </c>
      <c r="K357">
        <f t="shared" si="35"/>
        <v>0</v>
      </c>
    </row>
    <row r="358" spans="1:11" x14ac:dyDescent="0.3">
      <c r="A358" s="1">
        <v>43709</v>
      </c>
      <c r="B358">
        <v>133.520264</v>
      </c>
      <c r="C358" s="1">
        <v>43709</v>
      </c>
      <c r="D358">
        <v>2976.73999</v>
      </c>
      <c r="E358">
        <v>1.4057468926966799E-3</v>
      </c>
      <c r="F358">
        <f t="shared" si="30"/>
        <v>3.1216227972706845E-2</v>
      </c>
      <c r="G358">
        <f t="shared" si="31"/>
        <v>2.0431770730503063E-2</v>
      </c>
      <c r="H358">
        <f t="shared" si="32"/>
        <v>2.9810481080010165E-2</v>
      </c>
      <c r="I358">
        <f t="shared" si="33"/>
        <v>1.9026023837806383E-2</v>
      </c>
      <c r="J358">
        <f t="shared" si="34"/>
        <v>0</v>
      </c>
      <c r="K358">
        <f t="shared" si="35"/>
        <v>0</v>
      </c>
    </row>
    <row r="359" spans="1:11" x14ac:dyDescent="0.3">
      <c r="A359" s="1">
        <v>43739</v>
      </c>
      <c r="B359">
        <v>137.68826300000001</v>
      </c>
      <c r="C359" s="1">
        <v>43739</v>
      </c>
      <c r="D359">
        <v>3037.5600589999999</v>
      </c>
      <c r="E359">
        <v>1.4139520764002711E-3</v>
      </c>
      <c r="F359">
        <f t="shared" si="30"/>
        <v>5.5869547864076052E-2</v>
      </c>
      <c r="G359">
        <f t="shared" si="31"/>
        <v>3.4047037421886195E-2</v>
      </c>
      <c r="H359">
        <f t="shared" si="32"/>
        <v>5.4455595787675781E-2</v>
      </c>
      <c r="I359">
        <f t="shared" si="33"/>
        <v>3.2633085345485924E-2</v>
      </c>
      <c r="J359">
        <f t="shared" si="34"/>
        <v>0</v>
      </c>
      <c r="K359">
        <f t="shared" si="35"/>
        <v>0</v>
      </c>
    </row>
    <row r="360" spans="1:11" x14ac:dyDescent="0.3">
      <c r="A360" s="1">
        <v>43770</v>
      </c>
      <c r="B360">
        <v>145.380844</v>
      </c>
      <c r="C360" s="1">
        <v>43770</v>
      </c>
      <c r="D360">
        <v>3140.9799800000001</v>
      </c>
      <c r="E360">
        <v>1.4959632659397037E-3</v>
      </c>
      <c r="F360">
        <f t="shared" si="30"/>
        <v>4.5293821516127819E-2</v>
      </c>
      <c r="G360">
        <f t="shared" si="31"/>
        <v>2.8589818964716907E-2</v>
      </c>
      <c r="H360">
        <f t="shared" si="32"/>
        <v>4.3797858250188115E-2</v>
      </c>
      <c r="I360">
        <f t="shared" si="33"/>
        <v>2.7093855698777203E-2</v>
      </c>
      <c r="J360">
        <f t="shared" si="34"/>
        <v>0</v>
      </c>
      <c r="K360">
        <f t="shared" si="35"/>
        <v>0</v>
      </c>
    </row>
    <row r="361" spans="1:11" x14ac:dyDescent="0.3">
      <c r="A361" s="1">
        <v>43800</v>
      </c>
      <c r="B361">
        <v>151.965698</v>
      </c>
      <c r="C361" s="1">
        <v>43800</v>
      </c>
      <c r="D361">
        <v>3230.780029</v>
      </c>
      <c r="E361">
        <v>1.5369411743291206E-3</v>
      </c>
      <c r="F361">
        <f t="shared" si="30"/>
        <v>7.9454687201844676E-2</v>
      </c>
      <c r="G361">
        <f t="shared" si="31"/>
        <v>-1.6280925822201864E-3</v>
      </c>
      <c r="H361">
        <f t="shared" si="32"/>
        <v>7.7917746027515555E-2</v>
      </c>
      <c r="I361">
        <f t="shared" si="33"/>
        <v>-3.165033756549307E-3</v>
      </c>
      <c r="J361">
        <f t="shared" si="34"/>
        <v>0</v>
      </c>
      <c r="K361">
        <f t="shared" si="35"/>
        <v>0</v>
      </c>
    </row>
    <row r="362" spans="1:11" x14ac:dyDescent="0.3">
      <c r="A362" s="1">
        <v>43831</v>
      </c>
      <c r="B362">
        <v>164.040085</v>
      </c>
      <c r="C362" s="1">
        <v>43831</v>
      </c>
      <c r="D362">
        <v>3225.5200199999999</v>
      </c>
      <c r="E362">
        <v>1.4549669057570824E-3</v>
      </c>
      <c r="F362">
        <f t="shared" si="30"/>
        <v>-4.8287660909222208E-2</v>
      </c>
      <c r="G362">
        <f t="shared" si="31"/>
        <v>-8.411048367946572E-2</v>
      </c>
      <c r="H362">
        <f t="shared" si="32"/>
        <v>-4.974262781497929E-2</v>
      </c>
      <c r="I362">
        <f t="shared" si="33"/>
        <v>-8.5565450585222802E-2</v>
      </c>
      <c r="J362">
        <f t="shared" si="34"/>
        <v>0</v>
      </c>
      <c r="K362">
        <f t="shared" si="35"/>
        <v>0</v>
      </c>
    </row>
    <row r="363" spans="1:11" x14ac:dyDescent="0.3">
      <c r="A363" s="1">
        <v>43862</v>
      </c>
      <c r="B363">
        <v>156.11897300000001</v>
      </c>
      <c r="C363" s="1">
        <v>43862</v>
      </c>
      <c r="D363">
        <v>2954.219971</v>
      </c>
      <c r="E363">
        <v>1.2414877164492744E-3</v>
      </c>
      <c r="F363">
        <f t="shared" si="30"/>
        <v>-2.3882721800892348E-2</v>
      </c>
      <c r="G363">
        <f t="shared" si="31"/>
        <v>-0.12511928245982329</v>
      </c>
      <c r="H363">
        <f t="shared" si="32"/>
        <v>-2.5124209517341622E-2</v>
      </c>
      <c r="I363">
        <f t="shared" si="33"/>
        <v>-0.12636077017627256</v>
      </c>
      <c r="J363">
        <f t="shared" si="34"/>
        <v>0</v>
      </c>
      <c r="K363">
        <f t="shared" si="35"/>
        <v>0</v>
      </c>
    </row>
    <row r="364" spans="1:11" x14ac:dyDescent="0.3">
      <c r="A364" s="1">
        <v>43891</v>
      </c>
      <c r="B364">
        <v>152.39042699999999</v>
      </c>
      <c r="C364" s="1">
        <v>43891</v>
      </c>
      <c r="D364">
        <v>2584.5900879999999</v>
      </c>
      <c r="E364">
        <v>7.2212503004753792E-4</v>
      </c>
      <c r="F364">
        <f t="shared" si="30"/>
        <v>0.13632621424441571</v>
      </c>
      <c r="G364">
        <f t="shared" si="31"/>
        <v>0.12684403825663826</v>
      </c>
      <c r="H364">
        <f t="shared" si="32"/>
        <v>0.13560408921436817</v>
      </c>
      <c r="I364">
        <f t="shared" si="33"/>
        <v>0.12612191322659072</v>
      </c>
      <c r="J364">
        <f t="shared" si="34"/>
        <v>0</v>
      </c>
      <c r="K364">
        <f t="shared" si="35"/>
        <v>0</v>
      </c>
    </row>
    <row r="365" spans="1:11" x14ac:dyDescent="0.3">
      <c r="A365" s="1">
        <v>43922</v>
      </c>
      <c r="B365">
        <v>173.16523699999999</v>
      </c>
      <c r="C365" s="1">
        <v>43922</v>
      </c>
      <c r="D365">
        <v>2912.429932</v>
      </c>
      <c r="E365">
        <v>5.4834323189068002E-4</v>
      </c>
      <c r="F365">
        <f t="shared" si="30"/>
        <v>2.2543306425873544E-2</v>
      </c>
      <c r="G365">
        <f t="shared" si="31"/>
        <v>4.5281819676065593E-2</v>
      </c>
      <c r="H365">
        <f t="shared" si="32"/>
        <v>2.1994963193982864E-2</v>
      </c>
      <c r="I365">
        <f t="shared" si="33"/>
        <v>4.4733476444174913E-2</v>
      </c>
      <c r="J365">
        <f t="shared" si="34"/>
        <v>0</v>
      </c>
      <c r="K365">
        <f t="shared" si="35"/>
        <v>0</v>
      </c>
    </row>
    <row r="366" spans="1:11" x14ac:dyDescent="0.3">
      <c r="A366" s="1">
        <v>43952</v>
      </c>
      <c r="B366">
        <v>177.06895399999999</v>
      </c>
      <c r="C366" s="1">
        <v>43952</v>
      </c>
      <c r="D366">
        <v>3044.3100589999999</v>
      </c>
      <c r="E366">
        <v>5.5662608827478088E-4</v>
      </c>
      <c r="F366">
        <f t="shared" si="30"/>
        <v>0.11365258304965198</v>
      </c>
      <c r="G366">
        <f t="shared" si="31"/>
        <v>1.8388396357494674E-2</v>
      </c>
      <c r="H366">
        <f t="shared" si="32"/>
        <v>0.1130959569613772</v>
      </c>
      <c r="I366">
        <f t="shared" si="33"/>
        <v>1.7831770269219893E-2</v>
      </c>
      <c r="J366">
        <f t="shared" si="34"/>
        <v>0</v>
      </c>
      <c r="K366">
        <f t="shared" si="35"/>
        <v>0</v>
      </c>
    </row>
    <row r="367" spans="1:11" x14ac:dyDescent="0.3">
      <c r="A367" s="1">
        <v>43983</v>
      </c>
      <c r="B367">
        <v>197.193298</v>
      </c>
      <c r="C367" s="1">
        <v>43983</v>
      </c>
      <c r="D367">
        <v>3100.290039</v>
      </c>
      <c r="E367">
        <v>6.0630739394196276E-4</v>
      </c>
      <c r="F367">
        <f t="shared" si="30"/>
        <v>7.3705902520073696E-3</v>
      </c>
      <c r="G367">
        <f t="shared" si="31"/>
        <v>5.5101321441235696E-2</v>
      </c>
      <c r="H367">
        <f t="shared" si="32"/>
        <v>6.7642828580654069E-3</v>
      </c>
      <c r="I367">
        <f t="shared" si="33"/>
        <v>5.4495014047293733E-2</v>
      </c>
      <c r="J367">
        <f t="shared" si="34"/>
        <v>0</v>
      </c>
      <c r="K367">
        <f t="shared" si="35"/>
        <v>0</v>
      </c>
    </row>
    <row r="368" spans="1:11" x14ac:dyDescent="0.3">
      <c r="A368" s="1">
        <v>44013</v>
      </c>
      <c r="B368">
        <v>198.64672899999999</v>
      </c>
      <c r="C368" s="1">
        <v>44013</v>
      </c>
      <c r="D368">
        <v>3271.1201169999999</v>
      </c>
      <c r="E368">
        <v>5.1520426173889966E-4</v>
      </c>
      <c r="F368">
        <f t="shared" si="30"/>
        <v>0.10009261718072393</v>
      </c>
      <c r="G368">
        <f t="shared" si="31"/>
        <v>7.0064667087246457E-2</v>
      </c>
      <c r="H368">
        <f t="shared" si="32"/>
        <v>9.9577412918985031E-2</v>
      </c>
      <c r="I368">
        <f t="shared" si="33"/>
        <v>6.9549462825507558E-2</v>
      </c>
      <c r="J368">
        <f t="shared" si="34"/>
        <v>0</v>
      </c>
      <c r="K368">
        <f t="shared" si="35"/>
        <v>0</v>
      </c>
    </row>
    <row r="369" spans="1:11" x14ac:dyDescent="0.3">
      <c r="A369" s="1">
        <v>44044</v>
      </c>
      <c r="B369">
        <v>218.52979999999999</v>
      </c>
      <c r="C369" s="1">
        <v>44044</v>
      </c>
      <c r="D369">
        <v>3500.3100589999999</v>
      </c>
      <c r="E369">
        <v>5.4005962118885975E-4</v>
      </c>
      <c r="F369">
        <f t="shared" si="30"/>
        <v>-6.5142232317972115E-2</v>
      </c>
      <c r="G369">
        <f t="shared" si="31"/>
        <v>-3.9227970289931413E-2</v>
      </c>
      <c r="H369">
        <f t="shared" si="32"/>
        <v>-6.5682291939160975E-2</v>
      </c>
      <c r="I369">
        <f t="shared" si="33"/>
        <v>-3.9768029911120273E-2</v>
      </c>
      <c r="J369">
        <f t="shared" si="34"/>
        <v>0</v>
      </c>
      <c r="K369">
        <f t="shared" si="35"/>
        <v>0</v>
      </c>
    </row>
    <row r="370" spans="1:11" x14ac:dyDescent="0.3">
      <c r="A370" s="1">
        <v>44075</v>
      </c>
      <c r="B370">
        <v>204.29428100000001</v>
      </c>
      <c r="C370" s="1">
        <v>44075</v>
      </c>
      <c r="D370">
        <v>3363</v>
      </c>
      <c r="E370">
        <v>5.6490819048460317E-4</v>
      </c>
      <c r="F370">
        <f t="shared" si="30"/>
        <v>-3.7369993729780449E-2</v>
      </c>
      <c r="G370">
        <f t="shared" si="31"/>
        <v>-2.766578620279514E-2</v>
      </c>
      <c r="H370">
        <f t="shared" si="32"/>
        <v>-3.7934901920265052E-2</v>
      </c>
      <c r="I370">
        <f t="shared" si="33"/>
        <v>-2.8230694393279743E-2</v>
      </c>
      <c r="J370">
        <f t="shared" si="34"/>
        <v>0</v>
      </c>
      <c r="K370">
        <f t="shared" si="35"/>
        <v>0</v>
      </c>
    </row>
    <row r="371" spans="1:11" x14ac:dyDescent="0.3">
      <c r="A371" s="1">
        <v>44105</v>
      </c>
      <c r="B371">
        <v>196.65980500000001</v>
      </c>
      <c r="C371" s="1">
        <v>44105</v>
      </c>
      <c r="D371">
        <v>3269.959961</v>
      </c>
      <c r="E371">
        <v>6.5596158031810958E-4</v>
      </c>
      <c r="F371">
        <f t="shared" si="30"/>
        <v>5.7292597234091636E-2</v>
      </c>
      <c r="G371">
        <f t="shared" si="31"/>
        <v>0.10754563548003038</v>
      </c>
      <c r="H371">
        <f t="shared" si="32"/>
        <v>5.6636635653773526E-2</v>
      </c>
      <c r="I371">
        <f t="shared" si="33"/>
        <v>0.10688967389971227</v>
      </c>
      <c r="J371">
        <f t="shared" si="34"/>
        <v>0</v>
      </c>
      <c r="K371">
        <f t="shared" si="35"/>
        <v>0</v>
      </c>
    </row>
    <row r="372" spans="1:11" x14ac:dyDescent="0.3">
      <c r="A372" s="1">
        <v>44136</v>
      </c>
      <c r="B372">
        <v>207.92695599999999</v>
      </c>
      <c r="C372" s="1">
        <v>44136</v>
      </c>
      <c r="D372">
        <v>3621.6298830000001</v>
      </c>
      <c r="E372">
        <v>7.2212503004753792E-4</v>
      </c>
      <c r="F372">
        <f t="shared" si="30"/>
        <v>4.1725946298179828E-2</v>
      </c>
      <c r="G372">
        <f t="shared" si="31"/>
        <v>3.7121458940645669E-2</v>
      </c>
      <c r="H372">
        <f t="shared" si="32"/>
        <v>4.100382126813229E-2</v>
      </c>
      <c r="I372">
        <f t="shared" si="33"/>
        <v>3.6399333910598131E-2</v>
      </c>
      <c r="J372">
        <f t="shared" si="34"/>
        <v>0</v>
      </c>
      <c r="K372">
        <f t="shared" si="35"/>
        <v>0</v>
      </c>
    </row>
    <row r="373" spans="1:11" x14ac:dyDescent="0.3">
      <c r="A373" s="1">
        <v>44166</v>
      </c>
      <c r="B373">
        <v>216.60290499999999</v>
      </c>
      <c r="C373" s="1">
        <v>44166</v>
      </c>
      <c r="D373">
        <v>3756.070068</v>
      </c>
      <c r="E373">
        <v>7.7171605828496581E-4</v>
      </c>
      <c r="F373">
        <f t="shared" si="30"/>
        <v>4.2891839331517856E-2</v>
      </c>
      <c r="G373">
        <f t="shared" si="31"/>
        <v>-1.1136660723231162E-2</v>
      </c>
      <c r="H373">
        <f t="shared" si="32"/>
        <v>4.212012327323289E-2</v>
      </c>
      <c r="I373">
        <f t="shared" si="33"/>
        <v>-1.1908376781516128E-2</v>
      </c>
      <c r="J373">
        <f t="shared" si="34"/>
        <v>0</v>
      </c>
      <c r="K373">
        <f t="shared" si="35"/>
        <v>0</v>
      </c>
    </row>
    <row r="374" spans="1:11" x14ac:dyDescent="0.3">
      <c r="A374" s="1">
        <v>44197</v>
      </c>
      <c r="B374">
        <v>225.89340200000001</v>
      </c>
      <c r="C374" s="1">
        <v>44197</v>
      </c>
      <c r="D374">
        <v>3714.23999</v>
      </c>
      <c r="E374">
        <v>8.0000000000000004E-4</v>
      </c>
      <c r="F374">
        <f t="shared" si="30"/>
        <v>1.8105752376069706E-3</v>
      </c>
      <c r="G374">
        <f t="shared" si="31"/>
        <v>2.6091451349647521E-2</v>
      </c>
      <c r="H374">
        <f t="shared" si="32"/>
        <v>1.0105752376069707E-3</v>
      </c>
      <c r="I374">
        <f t="shared" si="33"/>
        <v>2.5291451349647522E-2</v>
      </c>
      <c r="J374">
        <f t="shared" si="34"/>
        <v>0</v>
      </c>
      <c r="K374">
        <f t="shared" si="35"/>
        <v>0</v>
      </c>
    </row>
    <row r="375" spans="1:11" x14ac:dyDescent="0.3">
      <c r="A375" s="1">
        <v>44228</v>
      </c>
      <c r="B375">
        <v>226.30239900000001</v>
      </c>
      <c r="C375" s="1">
        <v>44228</v>
      </c>
      <c r="D375">
        <v>3811.1499020000001</v>
      </c>
      <c r="E375">
        <v>4.0000000000000002E-4</v>
      </c>
      <c r="F375">
        <f t="shared" si="30"/>
        <v>1.6925074665249173E-2</v>
      </c>
      <c r="G375">
        <f t="shared" si="31"/>
        <v>4.2438632737883841E-2</v>
      </c>
      <c r="H375">
        <f t="shared" si="32"/>
        <v>1.6525074665249172E-2</v>
      </c>
      <c r="I375">
        <f t="shared" si="33"/>
        <v>4.2038632737883844E-2</v>
      </c>
      <c r="J375">
        <f t="shared" si="34"/>
        <v>0</v>
      </c>
      <c r="K375">
        <f t="shared" si="35"/>
        <v>0</v>
      </c>
    </row>
    <row r="376" spans="1:11" x14ac:dyDescent="0.3">
      <c r="A376" s="1">
        <v>44256</v>
      </c>
      <c r="B376">
        <v>230.13258400000001</v>
      </c>
      <c r="C376" s="1">
        <v>44256</v>
      </c>
      <c r="D376">
        <v>3972.889893</v>
      </c>
      <c r="E376">
        <v>2.9999999999999997E-4</v>
      </c>
      <c r="F376">
        <f t="shared" si="30"/>
        <v>6.9601521529867316E-2</v>
      </c>
      <c r="G376">
        <f t="shared" si="31"/>
        <v>5.2425321267266289E-2</v>
      </c>
      <c r="H376">
        <f t="shared" si="32"/>
        <v>6.9301521529867322E-2</v>
      </c>
      <c r="I376">
        <f t="shared" si="33"/>
        <v>5.2125321267266288E-2</v>
      </c>
      <c r="J376">
        <f t="shared" si="34"/>
        <v>0</v>
      </c>
      <c r="K376">
        <f t="shared" si="35"/>
        <v>0</v>
      </c>
    </row>
    <row r="377" spans="1:11" x14ac:dyDescent="0.3">
      <c r="A377" s="1">
        <v>44287</v>
      </c>
      <c r="B377">
        <v>246.15016199999999</v>
      </c>
      <c r="C377" s="1">
        <v>44287</v>
      </c>
      <c r="D377">
        <v>4181.169922</v>
      </c>
      <c r="E377">
        <v>2.0000000000000001E-4</v>
      </c>
      <c r="F377">
        <f t="shared" si="30"/>
        <v>-9.9135258745025601E-3</v>
      </c>
      <c r="G377">
        <f t="shared" si="31"/>
        <v>5.4864885732810453E-3</v>
      </c>
      <c r="H377">
        <f t="shared" si="32"/>
        <v>-1.0113525874502561E-2</v>
      </c>
      <c r="I377">
        <f t="shared" si="33"/>
        <v>5.2864885732810457E-3</v>
      </c>
      <c r="J377">
        <f t="shared" si="34"/>
        <v>0</v>
      </c>
      <c r="K377">
        <f t="shared" si="35"/>
        <v>0</v>
      </c>
    </row>
    <row r="378" spans="1:11" x14ac:dyDescent="0.3">
      <c r="A378" s="1">
        <v>44317</v>
      </c>
      <c r="B378">
        <v>243.709946</v>
      </c>
      <c r="C378" s="1">
        <v>44317</v>
      </c>
      <c r="D378">
        <v>4204.1098629999997</v>
      </c>
      <c r="E378">
        <v>2.0000000000000001E-4</v>
      </c>
      <c r="F378">
        <f t="shared" si="30"/>
        <v>8.7494406157720084E-2</v>
      </c>
      <c r="G378">
        <f t="shared" si="31"/>
        <v>2.2214009634219822E-2</v>
      </c>
      <c r="H378">
        <f t="shared" si="32"/>
        <v>8.7294406157720078E-2</v>
      </c>
      <c r="I378">
        <f t="shared" si="33"/>
        <v>2.2014009634219824E-2</v>
      </c>
      <c r="J378">
        <f t="shared" si="34"/>
        <v>0</v>
      </c>
      <c r="K378">
        <f t="shared" si="35"/>
        <v>0</v>
      </c>
    </row>
    <row r="379" spans="1:11" x14ac:dyDescent="0.3">
      <c r="A379" s="1">
        <v>44348</v>
      </c>
      <c r="B379">
        <v>265.03320300000001</v>
      </c>
      <c r="C379" s="1">
        <v>44348</v>
      </c>
      <c r="D379">
        <v>4297.5</v>
      </c>
      <c r="E379">
        <v>4.0000000000000002E-4</v>
      </c>
      <c r="F379">
        <f t="shared" si="30"/>
        <v>5.1716440977397138E-2</v>
      </c>
      <c r="G379">
        <f t="shared" si="31"/>
        <v>2.2748054915648686E-2</v>
      </c>
      <c r="H379">
        <f t="shared" si="32"/>
        <v>5.131644097739714E-2</v>
      </c>
      <c r="I379">
        <f t="shared" si="33"/>
        <v>2.2348054915648684E-2</v>
      </c>
      <c r="J379">
        <f t="shared" si="34"/>
        <v>0</v>
      </c>
      <c r="K379">
        <f t="shared" si="35"/>
        <v>0</v>
      </c>
    </row>
    <row r="380" spans="1:11" x14ac:dyDescent="0.3">
      <c r="A380" s="1">
        <v>44378</v>
      </c>
      <c r="B380">
        <v>278.739777</v>
      </c>
      <c r="C380" s="1">
        <v>44378</v>
      </c>
      <c r="D380">
        <v>4395.2597660000001</v>
      </c>
      <c r="E380">
        <v>5.0000000000000001E-4</v>
      </c>
      <c r="F380">
        <f t="shared" si="30"/>
        <v>5.9562424777286127E-2</v>
      </c>
      <c r="G380">
        <f t="shared" si="31"/>
        <v>2.8990416217415271E-2</v>
      </c>
      <c r="H380">
        <f t="shared" si="32"/>
        <v>5.9062424777286127E-2</v>
      </c>
      <c r="I380">
        <f t="shared" si="33"/>
        <v>2.8490416217415271E-2</v>
      </c>
      <c r="J380">
        <f t="shared" si="34"/>
        <v>0</v>
      </c>
      <c r="K380">
        <f t="shared" si="35"/>
        <v>0</v>
      </c>
    </row>
    <row r="381" spans="1:11" x14ac:dyDescent="0.3">
      <c r="A381" s="1">
        <v>44409</v>
      </c>
      <c r="B381">
        <v>295.34219400000001</v>
      </c>
      <c r="C381" s="1">
        <v>44409</v>
      </c>
      <c r="D381">
        <v>4522.6801759999998</v>
      </c>
      <c r="E381">
        <v>5.0000000000000001E-4</v>
      </c>
      <c r="F381">
        <f t="shared" si="30"/>
        <v>-6.4331021391410115E-2</v>
      </c>
      <c r="G381">
        <f t="shared" si="31"/>
        <v>-4.7569168861786748E-2</v>
      </c>
      <c r="H381">
        <f t="shared" si="32"/>
        <v>-6.4831021391410115E-2</v>
      </c>
      <c r="I381">
        <f t="shared" si="33"/>
        <v>-4.8069168861786749E-2</v>
      </c>
      <c r="J381">
        <f t="shared" si="34"/>
        <v>0</v>
      </c>
      <c r="K381">
        <f t="shared" si="35"/>
        <v>0</v>
      </c>
    </row>
    <row r="382" spans="1:11" x14ac:dyDescent="0.3">
      <c r="A382" s="1">
        <v>44440</v>
      </c>
      <c r="B382">
        <v>276.34252900000001</v>
      </c>
      <c r="C382" s="1">
        <v>44440</v>
      </c>
      <c r="D382">
        <v>4307.5400390000004</v>
      </c>
      <c r="E382">
        <v>4.0000000000000002E-4</v>
      </c>
      <c r="F382">
        <f t="shared" si="30"/>
        <v>0.17629123963036464</v>
      </c>
      <c r="G382">
        <f t="shared" si="31"/>
        <v>6.9143836459647501E-2</v>
      </c>
      <c r="H382">
        <f t="shared" si="32"/>
        <v>0.17589123963036463</v>
      </c>
      <c r="I382">
        <f t="shared" si="33"/>
        <v>6.8743836459647503E-2</v>
      </c>
      <c r="J382">
        <f t="shared" si="34"/>
        <v>0</v>
      </c>
      <c r="K382">
        <f t="shared" si="35"/>
        <v>0</v>
      </c>
    </row>
    <row r="383" spans="1:11" x14ac:dyDescent="0.3">
      <c r="A383" s="1">
        <v>44470</v>
      </c>
      <c r="B383">
        <v>325.05929600000002</v>
      </c>
      <c r="C383" s="1">
        <v>44470</v>
      </c>
      <c r="D383">
        <v>4605.3798829999996</v>
      </c>
      <c r="E383">
        <v>5.0000000000000001E-4</v>
      </c>
      <c r="F383">
        <f t="shared" si="30"/>
        <v>-3.1061225211046484E-3</v>
      </c>
      <c r="G383">
        <f t="shared" si="31"/>
        <v>-8.3337062251199745E-3</v>
      </c>
      <c r="H383">
        <f t="shared" si="32"/>
        <v>-3.6061225211046484E-3</v>
      </c>
      <c r="I383">
        <f t="shared" si="33"/>
        <v>-8.8337062251199749E-3</v>
      </c>
      <c r="J383">
        <f t="shared" si="34"/>
        <v>0</v>
      </c>
      <c r="K383">
        <f t="shared" si="35"/>
        <v>0</v>
      </c>
    </row>
    <row r="384" spans="1:11" x14ac:dyDescent="0.3">
      <c r="A384" s="1">
        <v>44501</v>
      </c>
      <c r="B384">
        <v>324.049622</v>
      </c>
      <c r="C384" s="1">
        <v>44501</v>
      </c>
      <c r="D384">
        <v>4567</v>
      </c>
      <c r="E384">
        <v>5.0000000000000001E-4</v>
      </c>
      <c r="F384">
        <f t="shared" si="30"/>
        <v>1.9194122065663288E-2</v>
      </c>
      <c r="G384">
        <f t="shared" si="31"/>
        <v>4.361291350996277E-2</v>
      </c>
      <c r="H384">
        <f t="shared" si="32"/>
        <v>1.8694122065663288E-2</v>
      </c>
      <c r="I384">
        <f t="shared" si="33"/>
        <v>4.3112913509962769E-2</v>
      </c>
      <c r="J384">
        <f t="shared" si="34"/>
        <v>0</v>
      </c>
      <c r="K384">
        <f t="shared" si="35"/>
        <v>0</v>
      </c>
    </row>
    <row r="385" spans="1:11" x14ac:dyDescent="0.3">
      <c r="A385" s="1">
        <v>44531</v>
      </c>
      <c r="B385">
        <v>330.26947000000001</v>
      </c>
      <c r="C385" s="1">
        <v>44531</v>
      </c>
      <c r="D385">
        <v>4766.1801759999998</v>
      </c>
      <c r="E385">
        <v>5.9999999999999995E-4</v>
      </c>
      <c r="F385">
        <f t="shared" si="30"/>
        <v>-7.5345099260915593E-2</v>
      </c>
      <c r="G385">
        <f t="shared" si="31"/>
        <v>-5.258516500531063E-2</v>
      </c>
      <c r="H385">
        <f t="shared" si="32"/>
        <v>-7.5945099260915597E-2</v>
      </c>
      <c r="I385">
        <f t="shared" si="33"/>
        <v>-5.3185165005310633E-2</v>
      </c>
      <c r="J385">
        <f t="shared" si="34"/>
        <v>0</v>
      </c>
      <c r="K385">
        <f t="shared" si="35"/>
        <v>0</v>
      </c>
    </row>
    <row r="386" spans="1:11" x14ac:dyDescent="0.3">
      <c r="A386" s="1">
        <v>44562</v>
      </c>
      <c r="B386">
        <v>305.38528400000001</v>
      </c>
      <c r="C386" s="1">
        <v>44562</v>
      </c>
      <c r="D386">
        <v>4515.5498049999997</v>
      </c>
      <c r="E386">
        <v>1.4666666666666667E-3</v>
      </c>
      <c r="F386">
        <f t="shared" si="30"/>
        <v>-3.9198689744329718E-2</v>
      </c>
      <c r="G386">
        <f t="shared" si="31"/>
        <v>-3.1360492102910142E-2</v>
      </c>
      <c r="H386">
        <f t="shared" si="32"/>
        <v>-4.0665356410996382E-2</v>
      </c>
      <c r="I386">
        <f t="shared" si="33"/>
        <v>-3.2827158769576807E-2</v>
      </c>
      <c r="J386">
        <f t="shared" si="34"/>
        <v>0</v>
      </c>
      <c r="K386">
        <f t="shared" si="35"/>
        <v>0</v>
      </c>
    </row>
    <row r="387" spans="1:11" x14ac:dyDescent="0.3">
      <c r="A387" s="1">
        <v>44593</v>
      </c>
      <c r="B387">
        <v>293.414581</v>
      </c>
      <c r="C387" s="1">
        <v>44593</v>
      </c>
      <c r="D387">
        <v>4373.9399409999996</v>
      </c>
      <c r="E387">
        <v>1.6083333333333334E-3</v>
      </c>
      <c r="F387">
        <f t="shared" ref="F387:F409" si="36">(B388/B387)-1</f>
        <v>3.399545437041529E-2</v>
      </c>
      <c r="G387">
        <f t="shared" ref="G387:G409" si="37">(D388/D387)-1</f>
        <v>3.5773288410591908E-2</v>
      </c>
      <c r="H387">
        <f t="shared" ref="H387:H408" si="38">F387-E387</f>
        <v>3.2387121037081953E-2</v>
      </c>
      <c r="I387">
        <f t="shared" ref="I387:I408" si="39">G387-E387</f>
        <v>3.4164955077258571E-2</v>
      </c>
      <c r="J387">
        <f t="shared" ref="J387:J408" si="40">IF(H387=$P$3, 1, 0)</f>
        <v>0</v>
      </c>
      <c r="K387">
        <f t="shared" ref="K387:K408" si="41">I387*J387</f>
        <v>0</v>
      </c>
    </row>
    <row r="388" spans="1:11" x14ac:dyDescent="0.3">
      <c r="A388" s="1">
        <v>44621</v>
      </c>
      <c r="B388">
        <v>303.389343</v>
      </c>
      <c r="C388" s="1">
        <v>44621</v>
      </c>
      <c r="D388">
        <v>4530.4101559999999</v>
      </c>
      <c r="E388">
        <v>1.7749999999999999E-3</v>
      </c>
      <c r="F388">
        <f t="shared" si="36"/>
        <v>-9.9867001590757898E-2</v>
      </c>
      <c r="G388">
        <f t="shared" si="37"/>
        <v>-8.7956711705729274E-2</v>
      </c>
      <c r="H388">
        <f t="shared" si="38"/>
        <v>-0.1016420015907579</v>
      </c>
      <c r="I388">
        <f t="shared" si="39"/>
        <v>-8.9731711705729272E-2</v>
      </c>
      <c r="J388">
        <f t="shared" si="40"/>
        <v>0</v>
      </c>
      <c r="K388">
        <f t="shared" si="41"/>
        <v>0</v>
      </c>
    </row>
    <row r="389" spans="1:11" x14ac:dyDescent="0.3">
      <c r="A389" s="1">
        <v>44652</v>
      </c>
      <c r="B389">
        <v>273.09075899999999</v>
      </c>
      <c r="C389" s="1">
        <v>44652</v>
      </c>
      <c r="D389">
        <v>4131.9301759999998</v>
      </c>
      <c r="E389">
        <v>2.2916666666666667E-3</v>
      </c>
      <c r="F389">
        <f t="shared" si="36"/>
        <v>-2.0358850736505563E-2</v>
      </c>
      <c r="G389">
        <f t="shared" si="37"/>
        <v>5.3177568506868056E-5</v>
      </c>
      <c r="H389">
        <f t="shared" si="38"/>
        <v>-2.265051740317223E-2</v>
      </c>
      <c r="I389">
        <f t="shared" si="39"/>
        <v>-2.2384890981597986E-3</v>
      </c>
      <c r="J389">
        <f t="shared" si="40"/>
        <v>0</v>
      </c>
      <c r="K389">
        <f t="shared" si="41"/>
        <v>0</v>
      </c>
    </row>
    <row r="390" spans="1:11" x14ac:dyDescent="0.3">
      <c r="A390" s="1">
        <v>44682</v>
      </c>
      <c r="B390">
        <v>267.53094499999997</v>
      </c>
      <c r="C390" s="1">
        <v>44682</v>
      </c>
      <c r="D390">
        <v>4132.1499020000001</v>
      </c>
      <c r="E390">
        <v>2.4166666666666668E-3</v>
      </c>
      <c r="F390">
        <f t="shared" si="36"/>
        <v>-5.312028109495881E-2</v>
      </c>
      <c r="G390">
        <f t="shared" si="37"/>
        <v>-8.3919999812243073E-2</v>
      </c>
      <c r="H390">
        <f t="shared" si="38"/>
        <v>-5.5536947761625474E-2</v>
      </c>
      <c r="I390">
        <f t="shared" si="39"/>
        <v>-8.6336666478909738E-2</v>
      </c>
      <c r="J390">
        <f t="shared" si="40"/>
        <v>0</v>
      </c>
      <c r="K390">
        <f t="shared" si="41"/>
        <v>0</v>
      </c>
    </row>
    <row r="391" spans="1:11" x14ac:dyDescent="0.3">
      <c r="A391" s="1">
        <v>44713</v>
      </c>
      <c r="B391">
        <v>253.319626</v>
      </c>
      <c r="C391" s="1">
        <v>44713</v>
      </c>
      <c r="D391">
        <v>3785.3798830000001</v>
      </c>
      <c r="E391">
        <v>2.6166666666666664E-3</v>
      </c>
      <c r="F391">
        <f t="shared" si="36"/>
        <v>9.3096521467310289E-2</v>
      </c>
      <c r="G391">
        <f t="shared" si="37"/>
        <v>9.1116391659653351E-2</v>
      </c>
      <c r="H391">
        <f t="shared" si="38"/>
        <v>9.0479854800643619E-2</v>
      </c>
      <c r="I391">
        <f t="shared" si="39"/>
        <v>8.8499724992986681E-2</v>
      </c>
      <c r="J391">
        <f t="shared" si="40"/>
        <v>0</v>
      </c>
      <c r="K391">
        <f t="shared" si="41"/>
        <v>0</v>
      </c>
    </row>
    <row r="392" spans="1:11" x14ac:dyDescent="0.3">
      <c r="A392" s="1">
        <v>44743</v>
      </c>
      <c r="B392">
        <v>276.90280200000001</v>
      </c>
      <c r="C392" s="1">
        <v>44743</v>
      </c>
      <c r="D392">
        <v>4130.2900390000004</v>
      </c>
      <c r="E392">
        <v>2.4166666666666668E-3</v>
      </c>
      <c r="F392">
        <f t="shared" si="36"/>
        <v>-6.863994102883797E-2</v>
      </c>
      <c r="G392">
        <f t="shared" si="37"/>
        <v>-4.2440128258508625E-2</v>
      </c>
      <c r="H392">
        <f t="shared" si="38"/>
        <v>-7.1056607695504634E-2</v>
      </c>
      <c r="I392">
        <f t="shared" si="39"/>
        <v>-4.4856794925175289E-2</v>
      </c>
      <c r="J392">
        <f t="shared" si="40"/>
        <v>0</v>
      </c>
      <c r="K392">
        <f t="shared" si="41"/>
        <v>0</v>
      </c>
    </row>
    <row r="393" spans="1:11" x14ac:dyDescent="0.3">
      <c r="A393" s="1">
        <v>44774</v>
      </c>
      <c r="B393">
        <v>257.89621</v>
      </c>
      <c r="C393" s="1">
        <v>44774</v>
      </c>
      <c r="D393">
        <v>3955</v>
      </c>
      <c r="E393">
        <v>2.4166666666666668E-3</v>
      </c>
      <c r="F393">
        <f t="shared" si="36"/>
        <v>-0.10737630072190663</v>
      </c>
      <c r="G393">
        <f t="shared" si="37"/>
        <v>-9.3395672060682666E-2</v>
      </c>
      <c r="H393">
        <f t="shared" si="38"/>
        <v>-0.10979296738857329</v>
      </c>
      <c r="I393">
        <f t="shared" si="39"/>
        <v>-9.581233872734933E-2</v>
      </c>
      <c r="J393">
        <f t="shared" si="40"/>
        <v>0</v>
      </c>
      <c r="K393">
        <f t="shared" si="41"/>
        <v>0</v>
      </c>
    </row>
    <row r="394" spans="1:11" x14ac:dyDescent="0.3">
      <c r="A394" s="1">
        <v>44805</v>
      </c>
      <c r="B394">
        <v>230.20426900000001</v>
      </c>
      <c r="C394" s="1">
        <v>44805</v>
      </c>
      <c r="D394">
        <v>3585.6201169999999</v>
      </c>
      <c r="E394">
        <v>2.9333333333333334E-3</v>
      </c>
      <c r="F394">
        <f t="shared" si="36"/>
        <v>-3.3060942062720367E-3</v>
      </c>
      <c r="G394">
        <f t="shared" si="37"/>
        <v>7.9863413762746971E-2</v>
      </c>
      <c r="H394">
        <f t="shared" si="38"/>
        <v>-6.2394275396053696E-3</v>
      </c>
      <c r="I394">
        <f t="shared" si="39"/>
        <v>7.6930080429413641E-2</v>
      </c>
      <c r="J394">
        <f t="shared" si="40"/>
        <v>0</v>
      </c>
      <c r="K394">
        <f t="shared" si="41"/>
        <v>0</v>
      </c>
    </row>
    <row r="395" spans="1:11" x14ac:dyDescent="0.3">
      <c r="A395" s="1">
        <v>44835</v>
      </c>
      <c r="B395">
        <v>229.44319200000001</v>
      </c>
      <c r="C395" s="1">
        <v>44835</v>
      </c>
      <c r="D395">
        <v>3871.9799800000001</v>
      </c>
      <c r="E395">
        <v>3.316666666666667E-3</v>
      </c>
      <c r="F395">
        <f t="shared" si="36"/>
        <v>9.9125547381680335E-2</v>
      </c>
      <c r="G395">
        <f t="shared" si="37"/>
        <v>5.3752893371106669E-2</v>
      </c>
      <c r="H395">
        <f t="shared" si="38"/>
        <v>9.5808880715013672E-2</v>
      </c>
      <c r="I395">
        <f t="shared" si="39"/>
        <v>5.043622670444E-2</v>
      </c>
      <c r="J395">
        <f t="shared" si="40"/>
        <v>0</v>
      </c>
      <c r="K395">
        <f t="shared" si="41"/>
        <v>0</v>
      </c>
    </row>
    <row r="396" spans="1:11" x14ac:dyDescent="0.3">
      <c r="A396" s="1">
        <v>44866</v>
      </c>
      <c r="B396">
        <v>252.18687399999999</v>
      </c>
      <c r="C396" s="1">
        <v>44866</v>
      </c>
      <c r="D396">
        <v>4080.110107</v>
      </c>
      <c r="E396">
        <v>3.2416666666666666E-3</v>
      </c>
      <c r="F396">
        <f t="shared" si="36"/>
        <v>-5.7396421036568168E-2</v>
      </c>
      <c r="G396">
        <f t="shared" si="37"/>
        <v>-5.8971473977430078E-2</v>
      </c>
      <c r="H396">
        <f t="shared" si="38"/>
        <v>-6.0638087703234832E-2</v>
      </c>
      <c r="I396">
        <f t="shared" si="39"/>
        <v>-6.2213140644096741E-2</v>
      </c>
      <c r="J396">
        <f t="shared" si="40"/>
        <v>0</v>
      </c>
      <c r="K396">
        <f t="shared" si="41"/>
        <v>0</v>
      </c>
    </row>
    <row r="397" spans="1:11" x14ac:dyDescent="0.3">
      <c r="A397" s="1">
        <v>44896</v>
      </c>
      <c r="B397">
        <v>237.71225000000001</v>
      </c>
      <c r="C397" s="1">
        <v>44896</v>
      </c>
      <c r="D397">
        <v>3839.5</v>
      </c>
      <c r="E397">
        <v>3.0166666666666671E-3</v>
      </c>
      <c r="F397">
        <f t="shared" si="36"/>
        <v>3.3316495048109518E-2</v>
      </c>
      <c r="G397">
        <f t="shared" si="37"/>
        <v>6.1752857924208815E-2</v>
      </c>
      <c r="H397">
        <f t="shared" si="38"/>
        <v>3.029982838144285E-2</v>
      </c>
      <c r="I397">
        <f t="shared" si="39"/>
        <v>5.8736191257542147E-2</v>
      </c>
      <c r="J397">
        <f t="shared" si="40"/>
        <v>0</v>
      </c>
      <c r="K397">
        <f t="shared" si="41"/>
        <v>0</v>
      </c>
    </row>
    <row r="398" spans="1:11" x14ac:dyDescent="0.3">
      <c r="A398" s="1">
        <v>44927</v>
      </c>
      <c r="B398">
        <v>245.631989</v>
      </c>
      <c r="C398" s="1">
        <v>44927</v>
      </c>
      <c r="D398">
        <v>4076.6000979999999</v>
      </c>
      <c r="E398">
        <v>3.4749999999999998E-3</v>
      </c>
      <c r="F398">
        <f t="shared" si="36"/>
        <v>6.4969347294581148E-3</v>
      </c>
      <c r="G398">
        <f t="shared" si="37"/>
        <v>-2.6112494098262107E-2</v>
      </c>
      <c r="H398">
        <f t="shared" si="38"/>
        <v>3.021934729458115E-3</v>
      </c>
      <c r="I398">
        <f t="shared" si="39"/>
        <v>-2.9587494098262106E-2</v>
      </c>
      <c r="J398">
        <f t="shared" si="40"/>
        <v>0</v>
      </c>
      <c r="K398">
        <f t="shared" si="41"/>
        <v>0</v>
      </c>
    </row>
    <row r="399" spans="1:11" x14ac:dyDescent="0.3">
      <c r="A399" s="1">
        <v>44958</v>
      </c>
      <c r="B399">
        <v>247.227844</v>
      </c>
      <c r="C399" s="1">
        <v>44958</v>
      </c>
      <c r="D399">
        <v>3970.1499020000001</v>
      </c>
      <c r="E399">
        <v>3.8250000000000003E-3</v>
      </c>
      <c r="F399">
        <f t="shared" si="36"/>
        <v>0.15877673147527838</v>
      </c>
      <c r="G399">
        <f t="shared" si="37"/>
        <v>3.5051612769053664E-2</v>
      </c>
      <c r="H399">
        <f t="shared" si="38"/>
        <v>0.15495173147527838</v>
      </c>
      <c r="I399">
        <f t="shared" si="39"/>
        <v>3.1226612769053662E-2</v>
      </c>
      <c r="J399">
        <f t="shared" si="40"/>
        <v>0</v>
      </c>
      <c r="K399">
        <f t="shared" si="41"/>
        <v>0</v>
      </c>
    </row>
    <row r="400" spans="1:11" x14ac:dyDescent="0.3">
      <c r="A400" s="1">
        <v>44986</v>
      </c>
      <c r="B400">
        <v>286.48187300000001</v>
      </c>
      <c r="C400" s="1">
        <v>44986</v>
      </c>
      <c r="D400">
        <v>4109.3100590000004</v>
      </c>
      <c r="E400">
        <v>3.8916666666666665E-3</v>
      </c>
      <c r="F400">
        <f t="shared" si="36"/>
        <v>6.5765012643574927E-2</v>
      </c>
      <c r="G400">
        <f t="shared" si="37"/>
        <v>1.4642341448102281E-2</v>
      </c>
      <c r="H400">
        <f t="shared" si="38"/>
        <v>6.1873345976908259E-2</v>
      </c>
      <c r="I400">
        <f t="shared" si="39"/>
        <v>1.0750674781435614E-2</v>
      </c>
      <c r="J400">
        <f t="shared" si="40"/>
        <v>0</v>
      </c>
      <c r="K400">
        <f t="shared" si="41"/>
        <v>0</v>
      </c>
    </row>
    <row r="401" spans="1:11" x14ac:dyDescent="0.3">
      <c r="A401" s="1">
        <v>45017</v>
      </c>
      <c r="B401">
        <v>305.32235700000001</v>
      </c>
      <c r="C401" s="1">
        <v>45017</v>
      </c>
      <c r="D401">
        <v>4169.4799800000001</v>
      </c>
      <c r="E401">
        <v>3.9166666666666664E-3</v>
      </c>
      <c r="F401">
        <f t="shared" si="36"/>
        <v>6.8769071503008261E-2</v>
      </c>
      <c r="G401">
        <f t="shared" si="37"/>
        <v>2.4823474509163557E-3</v>
      </c>
      <c r="H401">
        <f t="shared" si="38"/>
        <v>6.4852404836341596E-2</v>
      </c>
      <c r="I401">
        <f t="shared" si="39"/>
        <v>-1.4343192157503107E-3</v>
      </c>
      <c r="J401">
        <f t="shared" si="40"/>
        <v>0</v>
      </c>
      <c r="K401">
        <f t="shared" si="41"/>
        <v>0</v>
      </c>
    </row>
    <row r="402" spans="1:11" x14ac:dyDescent="0.3">
      <c r="A402" s="1">
        <v>45047</v>
      </c>
      <c r="B402">
        <v>326.31909200000001</v>
      </c>
      <c r="C402" s="1">
        <v>45047</v>
      </c>
      <c r="D402">
        <v>4179.830078</v>
      </c>
      <c r="E402">
        <v>3.741666666666667E-3</v>
      </c>
      <c r="F402">
        <f t="shared" si="36"/>
        <v>3.926558486501297E-2</v>
      </c>
      <c r="G402">
        <f t="shared" si="37"/>
        <v>6.4727464980933958E-2</v>
      </c>
      <c r="H402">
        <f t="shared" si="38"/>
        <v>3.5523918198346306E-2</v>
      </c>
      <c r="I402">
        <f t="shared" si="39"/>
        <v>6.0985798314267294E-2</v>
      </c>
      <c r="J402">
        <f t="shared" si="40"/>
        <v>0</v>
      </c>
      <c r="K402">
        <f t="shared" si="41"/>
        <v>0</v>
      </c>
    </row>
    <row r="403" spans="1:11" x14ac:dyDescent="0.3">
      <c r="A403" s="1">
        <v>45078</v>
      </c>
      <c r="B403">
        <v>339.13220200000001</v>
      </c>
      <c r="C403" s="1">
        <v>45078</v>
      </c>
      <c r="D403">
        <v>4450.3798829999996</v>
      </c>
      <c r="E403">
        <v>4.4166666666666668E-3</v>
      </c>
      <c r="F403">
        <f t="shared" si="36"/>
        <v>-1.3566659175585971E-2</v>
      </c>
      <c r="G403">
        <f t="shared" si="37"/>
        <v>3.113893232561149E-2</v>
      </c>
      <c r="H403">
        <f t="shared" si="38"/>
        <v>-1.7983325842252637E-2</v>
      </c>
      <c r="I403">
        <f t="shared" si="39"/>
        <v>2.6722265658944824E-2</v>
      </c>
      <c r="J403">
        <f t="shared" si="40"/>
        <v>0</v>
      </c>
      <c r="K403">
        <f t="shared" si="41"/>
        <v>0</v>
      </c>
    </row>
    <row r="404" spans="1:11" x14ac:dyDescent="0.3">
      <c r="A404" s="1">
        <v>45108</v>
      </c>
      <c r="B404">
        <v>334.53131100000002</v>
      </c>
      <c r="C404" s="1">
        <v>45108</v>
      </c>
      <c r="D404">
        <v>4588.9599609999996</v>
      </c>
      <c r="E404">
        <v>4.3916666666666661E-3</v>
      </c>
      <c r="F404">
        <f t="shared" si="36"/>
        <v>-2.4291451152086752E-2</v>
      </c>
      <c r="G404">
        <f t="shared" si="37"/>
        <v>-1.7716390138710958E-2</v>
      </c>
      <c r="H404">
        <f t="shared" si="38"/>
        <v>-2.8683117818753417E-2</v>
      </c>
      <c r="I404">
        <f t="shared" si="39"/>
        <v>-2.2108056805377623E-2</v>
      </c>
      <c r="J404">
        <f t="shared" si="40"/>
        <v>0</v>
      </c>
      <c r="K404">
        <f t="shared" si="41"/>
        <v>0</v>
      </c>
    </row>
    <row r="405" spans="1:11" x14ac:dyDescent="0.3">
      <c r="A405" s="1">
        <v>45139</v>
      </c>
      <c r="B405">
        <v>326.40505999999999</v>
      </c>
      <c r="C405" s="1">
        <v>45139</v>
      </c>
      <c r="D405">
        <v>4507.6601559999999</v>
      </c>
      <c r="E405">
        <v>4.5750000000000001E-3</v>
      </c>
      <c r="F405">
        <f t="shared" si="36"/>
        <v>-3.4603069572512246E-2</v>
      </c>
      <c r="G405">
        <f t="shared" si="37"/>
        <v>-4.8719367343539433E-2</v>
      </c>
      <c r="H405">
        <f t="shared" si="38"/>
        <v>-3.9178069572512249E-2</v>
      </c>
      <c r="I405">
        <f t="shared" si="39"/>
        <v>-5.3294367343539435E-2</v>
      </c>
      <c r="J405">
        <f t="shared" si="40"/>
        <v>0</v>
      </c>
      <c r="K405">
        <f t="shared" si="41"/>
        <v>0</v>
      </c>
    </row>
    <row r="406" spans="1:11" x14ac:dyDescent="0.3">
      <c r="A406" s="1">
        <v>45170</v>
      </c>
      <c r="B406">
        <v>315.11044299999998</v>
      </c>
      <c r="C406" s="1">
        <v>45170</v>
      </c>
      <c r="D406">
        <v>4288.0498049999997</v>
      </c>
      <c r="E406">
        <v>4.5916666666666666E-3</v>
      </c>
      <c r="F406">
        <f t="shared" si="36"/>
        <v>7.0815479130280856E-2</v>
      </c>
      <c r="G406">
        <f t="shared" si="37"/>
        <v>-2.1979688736381231E-2</v>
      </c>
      <c r="H406">
        <f t="shared" si="38"/>
        <v>6.6223812463614196E-2</v>
      </c>
      <c r="I406">
        <f t="shared" si="39"/>
        <v>-2.6571355403047899E-2</v>
      </c>
      <c r="J406">
        <f t="shared" si="40"/>
        <v>0</v>
      </c>
      <c r="K406">
        <f t="shared" si="41"/>
        <v>0</v>
      </c>
    </row>
    <row r="407" spans="1:11" x14ac:dyDescent="0.3">
      <c r="A407" s="1">
        <v>45200</v>
      </c>
      <c r="B407">
        <v>337.42514</v>
      </c>
      <c r="C407" s="1">
        <v>45200</v>
      </c>
      <c r="D407">
        <v>4193.7998049999997</v>
      </c>
      <c r="E407">
        <v>4.6333333333333331E-3</v>
      </c>
      <c r="F407">
        <f t="shared" si="36"/>
        <v>0.12067084568743169</v>
      </c>
      <c r="G407">
        <f t="shared" si="37"/>
        <v>8.9179268775324783E-2</v>
      </c>
      <c r="H407">
        <f t="shared" si="38"/>
        <v>0.11603751235409836</v>
      </c>
      <c r="I407">
        <f t="shared" si="39"/>
        <v>8.4545935441991446E-2</v>
      </c>
      <c r="J407">
        <f t="shared" si="40"/>
        <v>0</v>
      </c>
      <c r="K407">
        <f t="shared" si="41"/>
        <v>0</v>
      </c>
    </row>
    <row r="408" spans="1:11" x14ac:dyDescent="0.3">
      <c r="A408" s="1">
        <v>45231</v>
      </c>
      <c r="B408">
        <v>378.142517</v>
      </c>
      <c r="C408" s="1">
        <v>45231</v>
      </c>
      <c r="D408">
        <v>4567.7998049999997</v>
      </c>
      <c r="E408">
        <v>4.6333333333333331E-3</v>
      </c>
      <c r="F408">
        <f t="shared" si="36"/>
        <v>-5.5600941588909158E-3</v>
      </c>
      <c r="G408">
        <f t="shared" si="37"/>
        <v>4.4229231057555163E-2</v>
      </c>
      <c r="H408">
        <f t="shared" si="38"/>
        <v>-1.0193427492224249E-2</v>
      </c>
      <c r="I408">
        <f t="shared" si="39"/>
        <v>3.9595897724221826E-2</v>
      </c>
      <c r="J408">
        <f t="shared" si="40"/>
        <v>0</v>
      </c>
      <c r="K408">
        <f t="shared" si="41"/>
        <v>0</v>
      </c>
    </row>
    <row r="409" spans="1:11" x14ac:dyDescent="0.3">
      <c r="A409" s="1">
        <v>45261</v>
      </c>
      <c r="B409">
        <v>376.040009</v>
      </c>
      <c r="C409" s="1">
        <v>45261</v>
      </c>
      <c r="D409">
        <v>4769.830078</v>
      </c>
      <c r="E409">
        <v>4.6249999999999998E-3</v>
      </c>
      <c r="F409">
        <f t="shared" si="36"/>
        <v>-1</v>
      </c>
      <c r="G409">
        <f t="shared" si="3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63A1-B3C8-4802-B325-C34F4EB05E86}">
  <dimension ref="A1:I20"/>
  <sheetViews>
    <sheetView workbookViewId="0">
      <selection activeCell="E24" sqref="E24"/>
    </sheetView>
  </sheetViews>
  <sheetFormatPr defaultRowHeight="14.4" x14ac:dyDescent="0.3"/>
  <cols>
    <col min="1" max="1" width="23" bestFit="1" customWidth="1"/>
    <col min="2" max="2" width="12" bestFit="1" customWidth="1"/>
    <col min="3" max="3" width="13.44140625" bestFit="1" customWidth="1"/>
    <col min="4" max="5" width="12" bestFit="1" customWidth="1"/>
    <col min="6" max="6" width="12.44140625" bestFit="1" customWidth="1"/>
    <col min="7" max="7" width="12" bestFit="1" customWidth="1"/>
    <col min="8" max="9" width="12.109375" bestFit="1" customWidth="1"/>
  </cols>
  <sheetData>
    <row r="1" spans="1:9" x14ac:dyDescent="0.3">
      <c r="A1" t="s">
        <v>76</v>
      </c>
    </row>
    <row r="2" spans="1:9" ht="15" thickBot="1" x14ac:dyDescent="0.35"/>
    <row r="3" spans="1:9" x14ac:dyDescent="0.3">
      <c r="A3" s="13" t="s">
        <v>77</v>
      </c>
      <c r="B3" s="13"/>
    </row>
    <row r="4" spans="1:9" x14ac:dyDescent="0.3">
      <c r="A4" t="s">
        <v>78</v>
      </c>
      <c r="B4">
        <v>0.6224796935282717</v>
      </c>
    </row>
    <row r="5" spans="1:9" x14ac:dyDescent="0.3">
      <c r="A5" t="s">
        <v>79</v>
      </c>
      <c r="B5">
        <v>0.38748096885505101</v>
      </c>
    </row>
    <row r="6" spans="1:9" x14ac:dyDescent="0.3">
      <c r="A6" t="s">
        <v>80</v>
      </c>
      <c r="B6">
        <v>0.3819734488988879</v>
      </c>
    </row>
    <row r="7" spans="1:9" x14ac:dyDescent="0.3">
      <c r="A7" t="s">
        <v>81</v>
      </c>
      <c r="B7">
        <v>6.8159815954178346E-2</v>
      </c>
    </row>
    <row r="8" spans="1:9" ht="15" thickBot="1" x14ac:dyDescent="0.35">
      <c r="A8" s="14" t="s">
        <v>82</v>
      </c>
      <c r="B8" s="14">
        <v>407</v>
      </c>
    </row>
    <row r="10" spans="1:9" ht="15" thickBot="1" x14ac:dyDescent="0.35">
      <c r="A10" t="s">
        <v>83</v>
      </c>
    </row>
    <row r="11" spans="1:9" x14ac:dyDescent="0.3">
      <c r="A11" s="15"/>
      <c r="B11" s="15" t="s">
        <v>84</v>
      </c>
      <c r="C11" s="15" t="s">
        <v>85</v>
      </c>
      <c r="D11" s="15" t="s">
        <v>86</v>
      </c>
      <c r="E11" s="15" t="s">
        <v>87</v>
      </c>
      <c r="F11" s="15" t="s">
        <v>88</v>
      </c>
    </row>
    <row r="12" spans="1:9" x14ac:dyDescent="0.3">
      <c r="A12" t="s">
        <v>89</v>
      </c>
      <c r="B12">
        <v>3</v>
      </c>
      <c r="C12">
        <v>1.1873232531402327</v>
      </c>
      <c r="D12">
        <v>0.39577441771341088</v>
      </c>
      <c r="E12">
        <v>127.78567151197284</v>
      </c>
      <c r="F12">
        <v>3.5653187636317149E-58</v>
      </c>
    </row>
    <row r="13" spans="1:9" x14ac:dyDescent="0.3">
      <c r="A13" t="s">
        <v>90</v>
      </c>
      <c r="B13">
        <v>404</v>
      </c>
      <c r="C13">
        <v>1.8768872464066158</v>
      </c>
      <c r="D13">
        <v>4.6457605109074644E-3</v>
      </c>
    </row>
    <row r="14" spans="1:9" ht="15" thickBot="1" x14ac:dyDescent="0.35">
      <c r="A14" s="14" t="s">
        <v>91</v>
      </c>
      <c r="B14" s="14">
        <v>407</v>
      </c>
      <c r="C14" s="14">
        <v>3.0642104995468484</v>
      </c>
      <c r="D14" s="14"/>
      <c r="E14" s="14"/>
      <c r="F14" s="14"/>
    </row>
    <row r="15" spans="1:9" ht="15" thickBot="1" x14ac:dyDescent="0.35"/>
    <row r="16" spans="1:9" x14ac:dyDescent="0.3">
      <c r="A16" s="15"/>
      <c r="B16" s="15" t="s">
        <v>92</v>
      </c>
      <c r="C16" s="15" t="s">
        <v>81</v>
      </c>
      <c r="D16" s="15" t="s">
        <v>93</v>
      </c>
      <c r="E16" s="15" t="s">
        <v>94</v>
      </c>
      <c r="F16" s="15" t="s">
        <v>95</v>
      </c>
      <c r="G16" s="15" t="s">
        <v>96</v>
      </c>
      <c r="H16" s="15" t="s">
        <v>97</v>
      </c>
      <c r="I16" s="15" t="s">
        <v>98</v>
      </c>
    </row>
    <row r="17" spans="1:9" x14ac:dyDescent="0.3">
      <c r="A17" t="s">
        <v>99</v>
      </c>
      <c r="B17">
        <v>1.1533869225661337E-2</v>
      </c>
      <c r="C17">
        <v>3.3972597220263555E-3</v>
      </c>
      <c r="D17">
        <v>3.3950507672053281</v>
      </c>
      <c r="E17">
        <v>7.5408142388269303E-4</v>
      </c>
      <c r="F17">
        <v>4.8553550755053611E-3</v>
      </c>
      <c r="G17">
        <v>1.8212383375817313E-2</v>
      </c>
      <c r="H17">
        <v>4.8553550755053611E-3</v>
      </c>
      <c r="I17">
        <v>1.8212383375817313E-2</v>
      </c>
    </row>
    <row r="18" spans="1:9" x14ac:dyDescent="0.3">
      <c r="A18" t="s">
        <v>72</v>
      </c>
      <c r="B18">
        <v>1.1761178508839158</v>
      </c>
      <c r="C18">
        <v>7.8694340842469943E-2</v>
      </c>
      <c r="D18">
        <v>14.945393001489961</v>
      </c>
      <c r="E18">
        <v>1.6247606676139289E-40</v>
      </c>
      <c r="F18">
        <v>1.021416323224396</v>
      </c>
      <c r="G18">
        <v>1.3308193785434357</v>
      </c>
      <c r="H18">
        <v>1.021416323224396</v>
      </c>
      <c r="I18">
        <v>1.3308193785434357</v>
      </c>
    </row>
    <row r="19" spans="1:9" x14ac:dyDescent="0.3">
      <c r="A19" t="s">
        <v>73</v>
      </c>
      <c r="B19">
        <v>0.35626164259231818</v>
      </c>
      <c r="C19">
        <v>6.8275274937623975E-2</v>
      </c>
      <c r="D19">
        <v>5.2180184249392978</v>
      </c>
      <c r="E19">
        <v>2.8972131712098345E-7</v>
      </c>
      <c r="F19">
        <v>0.22204246976300748</v>
      </c>
      <c r="G19">
        <v>0.49048081542162891</v>
      </c>
      <c r="H19">
        <v>0.22204246976300748</v>
      </c>
      <c r="I19">
        <v>0.49048081542162891</v>
      </c>
    </row>
    <row r="20" spans="1:9" ht="15" thickBot="1" x14ac:dyDescent="0.35">
      <c r="A20" s="14" t="s">
        <v>74</v>
      </c>
      <c r="B20" s="14">
        <v>0</v>
      </c>
      <c r="C20" s="14">
        <v>0</v>
      </c>
      <c r="D20" s="14">
        <v>65535</v>
      </c>
      <c r="E20" s="14" t="e">
        <v>#NUM!</v>
      </c>
      <c r="F20" s="14">
        <v>0</v>
      </c>
      <c r="G20" s="14">
        <v>0</v>
      </c>
      <c r="H20" s="14">
        <v>0</v>
      </c>
      <c r="I20" s="1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S&amp;P500</vt:lpstr>
      <vt:lpstr>Task 1 </vt:lpstr>
      <vt:lpstr>Task 2 </vt:lpstr>
      <vt:lpstr>Task 3</vt:lpstr>
      <vt:lpstr>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Nikitha Reddy Chennuru</dc:creator>
  <cp:lastModifiedBy>Nikitha Reddy Chennuru</cp:lastModifiedBy>
  <dcterms:created xsi:type="dcterms:W3CDTF">2024-09-22T16:44:11Z</dcterms:created>
  <dcterms:modified xsi:type="dcterms:W3CDTF">2024-09-22T19:12:54Z</dcterms:modified>
</cp:coreProperties>
</file>