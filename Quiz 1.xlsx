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96f827c0131ede2/Documents/Mercer/BDA 632/Fall 1 2024/Quiz/"/>
    </mc:Choice>
  </mc:AlternateContent>
  <xr:revisionPtr revIDLastSave="165" documentId="8_{47F55634-C632-4CC7-867B-C7B97D26454B}" xr6:coauthVersionLast="47" xr6:coauthVersionMax="47" xr10:uidLastSave="{83CD414C-2416-4A08-8237-FE23E5CE5231}"/>
  <bookViews>
    <workbookView xWindow="-110" yWindow="-110" windowWidth="25820" windowHeight="15500" xr2:uid="{00000000-000D-0000-FFFF-FFFF00000000}"/>
  </bookViews>
  <sheets>
    <sheet name="Stock Price" sheetId="2" r:id="rId1"/>
    <sheet name="Income Statement" sheetId="1" r:id="rId2"/>
    <sheet name="Common Size IS" sheetId="4" r:id="rId3"/>
    <sheet name="Balance Sheet" sheetId="5" r:id="rId4"/>
    <sheet name="Ratios" sheetId="6" r:id="rId5"/>
    <sheet name="Valuation" sheetId="7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2" i="2"/>
  <c r="K8" i="6"/>
  <c r="J8" i="6"/>
  <c r="I8" i="6"/>
  <c r="H8" i="6"/>
  <c r="G8" i="6"/>
  <c r="F8" i="6"/>
  <c r="E8" i="6"/>
  <c r="D8" i="6"/>
  <c r="C8" i="6"/>
  <c r="B8" i="6"/>
  <c r="C10" i="4"/>
  <c r="D10" i="4"/>
  <c r="E10" i="4"/>
  <c r="F10" i="4"/>
  <c r="G10" i="4"/>
  <c r="H10" i="4"/>
  <c r="I10" i="4"/>
  <c r="J10" i="4"/>
  <c r="K10" i="4"/>
  <c r="B10" i="4"/>
</calcChain>
</file>

<file path=xl/sharedStrings.xml><?xml version="1.0" encoding="utf-8"?>
<sst xmlns="http://schemas.openxmlformats.org/spreadsheetml/2006/main" count="254" uniqueCount="109">
  <si>
    <t>Powered by Clearbit</t>
  </si>
  <si>
    <t>NIKE Inc (NYS: NKE)</t>
  </si>
  <si>
    <t xml:space="preserve">Exchange rate used is that of the Year End reported date </t>
  </si>
  <si>
    <t xml:space="preserve">Standardized Annual Income Statement </t>
  </si>
  <si>
    <t>Report Date</t>
  </si>
  <si>
    <t>05/31/2024</t>
  </si>
  <si>
    <t>05/31/2023</t>
  </si>
  <si>
    <t>05/31/2022</t>
  </si>
  <si>
    <t>05/31/2021</t>
  </si>
  <si>
    <t>05/31/2020</t>
  </si>
  <si>
    <t>05/31/2019</t>
  </si>
  <si>
    <t>05/31/2018</t>
  </si>
  <si>
    <t>05/31/2017</t>
  </si>
  <si>
    <t>05/31/2016</t>
  </si>
  <si>
    <t>05/31/2015</t>
  </si>
  <si>
    <t>Currency</t>
  </si>
  <si>
    <t>USD</t>
  </si>
  <si>
    <t>Audit Status</t>
  </si>
  <si>
    <t>Not Qualified</t>
  </si>
  <si>
    <t>Consolidated</t>
  </si>
  <si>
    <t>Yes</t>
  </si>
  <si>
    <t>Scale</t>
  </si>
  <si>
    <t>Thousands</t>
  </si>
  <si>
    <t>-</t>
  </si>
  <si>
    <t>Total Revenue</t>
  </si>
  <si>
    <t>Direct Costs</t>
  </si>
  <si>
    <t>Gross Profit</t>
  </si>
  <si>
    <t>Selling General &amp; Admin</t>
  </si>
  <si>
    <t>Other Operating Expense</t>
  </si>
  <si>
    <t>Total Indirect Operating Costs</t>
  </si>
  <si>
    <t>Operating Income</t>
  </si>
  <si>
    <t>Interest Income</t>
  </si>
  <si>
    <t>Other Non-Operating Income</t>
  </si>
  <si>
    <t>Total Non-Operating Income</t>
  </si>
  <si>
    <t>Earnings Before Tax</t>
  </si>
  <si>
    <t>Taxation</t>
  </si>
  <si>
    <t>Net Income</t>
  </si>
  <si>
    <t>Shares Outstanding</t>
  </si>
  <si>
    <t>Max Points:</t>
  </si>
  <si>
    <t>Total Max Quiz Points</t>
  </si>
  <si>
    <t>Points</t>
  </si>
  <si>
    <t>Total Points</t>
  </si>
  <si>
    <t>Date</t>
  </si>
  <si>
    <t>Price</t>
  </si>
  <si>
    <t xml:space="preserve">Please compute the following: </t>
  </si>
  <si>
    <t>Max Points</t>
  </si>
  <si>
    <t>Average Stock Price (for the year - June to May for each year)</t>
  </si>
  <si>
    <t>Year over Year return based on above average prices for the year</t>
  </si>
  <si>
    <t>Earnings Per Share</t>
  </si>
  <si>
    <t>Price to Earnings (Year Avg.)</t>
  </si>
  <si>
    <t>Please graph the level of sales and net income using a bar chart, make sure to proparly label the axis. Provide a comment regarding your obeservations. Feel free to provide additional visuals if needed.</t>
  </si>
  <si>
    <t>Please create a common size Income Statement</t>
  </si>
  <si>
    <t>Please Comment as to the historic dynamics of the direct cost and selling general and administrative expenses of Nike. Feel free to inlcude visuals.</t>
  </si>
  <si>
    <t xml:space="preserve">Standardized Annual Balance Sheet </t>
  </si>
  <si>
    <t>Cash &amp; Equivalents</t>
  </si>
  <si>
    <t>Short Term Investments</t>
  </si>
  <si>
    <t>Cash &amp; Equivs &amp; ST Investments</t>
  </si>
  <si>
    <t>Receivables (ST)</t>
  </si>
  <si>
    <t>Inventories</t>
  </si>
  <si>
    <t>Current Tax Assets</t>
  </si>
  <si>
    <t>Prepayments (ST)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</si>
  <si>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</si>
  <si>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</si>
  <si>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</si>
  <si>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</si>
  <si>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</si>
  <si>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Intangible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</si>
  <si>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</si>
  <si>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</si>
  <si>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</si>
  <si>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</si>
  <si>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</si>
  <si>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</si>
  <si>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Other Current Liabilities</t>
  </si>
  <si>
    <t>Total Current Liabilities</t>
  </si>
  <si>
    <t>LT Debt &amp; Leases</t>
  </si>
  <si>
    <t>Deferred LT Liabilities</t>
  </si>
  <si>
    <t>Other Liabilities</t>
  </si>
  <si>
    <t>Total Liabilities</t>
  </si>
  <si>
    <t>Common Share Capital</t>
  </si>
  <si>
    <t>Additional Paid-In Capital</t>
  </si>
  <si>
    <t>Retained Earnings</t>
  </si>
  <si>
    <t>Accum Other Comprehensive Income</t>
  </si>
  <si>
    <t>For Curr Trans (BS)</t>
  </si>
  <si>
    <t>Other Equity</t>
  </si>
  <si>
    <t>Total Equity</t>
  </si>
  <si>
    <t>Total Liabilities &amp; Equity</t>
  </si>
  <si>
    <t>Please compute the Total Asset Turnover ratio and 
comment on what this ratio represents and what your results indicate</t>
  </si>
  <si>
    <t>Please compute the Inventory Turnover and the Days in Inventory ratios and comment on what these ratios represent and what your results indicate.</t>
  </si>
  <si>
    <t>Feel free to use visuals if/where appropriate</t>
  </si>
  <si>
    <t>Please compute at least two long-term solvency 
ratios and comment on the long-term financial position of Nike's duringthe period</t>
  </si>
  <si>
    <t>Please compute at least two short-term solvency 
ratios and comment on the short-term financial position of Nike during the period.</t>
  </si>
  <si>
    <t>Please compute at least two profitability 
ratios and comment on the profitability of Nike during the period</t>
  </si>
  <si>
    <t>Please look up today's stock price:</t>
  </si>
  <si>
    <t>Bonus Question - 1 extra point</t>
  </si>
  <si>
    <t>3. Assume that the net income (dividend) of Nike will grow at a rate 
of 5% in 2026, at a rate of 7% in 2027, at a rate of 8% in 2028, at a rate of 5% in 2029, and at a rate of 4% thereafter and forever into the future</t>
  </si>
  <si>
    <t>At what rate of return (approximatelly) would you be indifferent about buying or not buying the stock of Nike under above assumptions?</t>
  </si>
  <si>
    <t>4. Assume that you are considering investing in Nike and 
that you want to make a 13% annual return on your investment. Based on your analysis, would you be willing to invest in Nike? Why? Please provide both a mathematical solution and a written explanation.</t>
  </si>
  <si>
    <t>Average Market Cap (for the year June to May)</t>
  </si>
  <si>
    <t>Please compute the annual sales growth of Nike
for 2015-2024</t>
  </si>
  <si>
    <t>Please graph the historic stock price of Nike stock and provide a brief comment on the general stock performance of Nike</t>
  </si>
  <si>
    <t>Please compute monthly returns of the stock of Nike for the period of June 2014 to July 2024</t>
  </si>
  <si>
    <t>Below are historic monthly stock prices for Nike stock for 6-1-2014 to 7-1-2024</t>
  </si>
  <si>
    <t>Throughout the test, where appropriate, please provide your commentary and visuals</t>
  </si>
  <si>
    <t>Assume that the Net Income of Nike represents the dividends that 
Nike pays. In other words, assume that Net Income = Dividend</t>
  </si>
  <si>
    <t>1. Assume that Nike's 2025 net income (dividend) 
will be 4% higher than its 2024 net income. For the purposes of this question, assume that the year ending May 31, 2024 is the full year 2024 of Nike.</t>
  </si>
  <si>
    <t>2. Assume that you are conducting this analysis on 
June 1, 2024 and that the dividends are paid on May 31 of each year;</t>
  </si>
  <si>
    <t>Please use the Number of Shares Outstanding from the 2024 statements provided in this file for the calculations:</t>
  </si>
  <si>
    <t xml:space="preserve">note that this is an assumption for the purposes of this question only, it is not actualy true for Nike.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</si>
</sst>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</numFmts>
  <fonts count="11" x14ac:knownFonts="1">
    <font>
      <sz val="10"/>
      <color rgb="FF000000"/>
      <name val="Arial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32A31"/>
      <name val="Arial"/>
      <family val="2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0" fontId="6" fillId="2" borderId="0" xfId="0" applyFont="1" applyFill="1"/>
    <xf numFmtId="0" fontId="6" fillId="0" borderId="0" xfId="0" applyFont="1"/>
    <xf numFmtId="0" fontId="5" fillId="0" borderId="1" xfId="0" applyFont="1" applyBorder="1"/>
    <xf numFmtId="0" fontId="0" fillId="0" borderId="1" xfId="0" applyBorder="1"/>
    <xf numFmtId="15" fontId="7" fillId="3" borderId="2" xfId="0" applyNumberFormat="1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right" vertical="center"/>
    </xf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" fontId="5" fillId="0" borderId="0" xfId="0" applyNumberFormat="1" applyFont="1"/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 wrapText="1"/>
    </xf>
    <xf numFmtId="0" fontId="10" fillId="0" borderId="0" xfId="0" applyFont="1"/>
    <xf numFmtId="0" fontId="6" fillId="0" borderId="0" xfId="0" applyFont="1" applyAlignment="1">
      <alignment wrapText="1"/>
    </xf>
    <xf numFmtId="9" fontId="0" fillId="0" borderId="0" xfId="0" applyNumberFormat="1"/>
    <xf numFmtId="10" fontId="0" fillId="0" borderId="0" xfId="0" applyNumberFormat="1"/>
    <xf numFmtId="1" fontId="6" fillId="0" borderId="0" xfId="0" applyNumberFormat="1" applyFont="1"/>
    <xf numFmtId="164" fontId="5" fillId="0" borderId="0" xfId="0" applyNumberFormat="1" applyFont="1"/>
    <xf numFmtId="9" fontId="0" fillId="0" borderId="0" xfId="2" applyFont="1"/>
    <xf numFmtId="166" fontId="0" fillId="0" borderId="0" xfId="1" applyNumberFormat="1" applyFont="1"/>
    <xf numFmtId="166" fontId="0" fillId="0" borderId="0" xfId="0" applyNumberFormat="1"/>
    <xf numFmtId="44" fontId="0" fillId="0" borderId="0" xfId="0" applyNumberFormat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3" fillId="0" borderId="0" xfId="0" applyFont="1"/>
    <xf numFmtId="0" fontId="4" fillId="4" borderId="0" xfId="0" applyFont="1" applyFill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80E37B03-D102-4146-A6C9-3612036D7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3EF162-2CF6-4443-9185-FE7E25DD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187FFC00-9D5B-40F4-A8B9-B61CB81F1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0F5DF8-96D1-4717-ADE3-D0A748F72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4" name="Logo" descr="Logo">
          <a:extLst>
            <a:ext uri="{FF2B5EF4-FFF2-40B4-BE49-F238E27FC236}">
              <a16:creationId xmlns:a16="http://schemas.microsoft.com/office/drawing/2014/main" id="{325918D0-8ABC-4BB7-859E-5BB7E3B67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96f827c0131ede2/Documents/Mercer/BDA%20632/Fall%201%202023/Fall%201%20Quiz.xlsx" TargetMode="External"/><Relationship Id="rId1" Type="http://schemas.openxmlformats.org/officeDocument/2006/relationships/externalLinkPath" Target="/e96f827c0131ede2/Documents/Mercer/BDA%20632/Fall%201%202023/Fall%201%20Qui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Price"/>
      <sheetName val="Income Statement"/>
      <sheetName val="Common Size IS"/>
      <sheetName val="Balance Sheet"/>
      <sheetName val="Ratios"/>
      <sheetName val="Valuatio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646B-B80B-400E-BA1C-B56EC09C2775}">
  <sheetPr>
    <tabColor rgb="FF92D050"/>
  </sheetPr>
  <dimension ref="A1:K132"/>
  <sheetViews>
    <sheetView tabSelected="1" workbookViewId="0">
      <selection activeCell="K27" sqref="K27"/>
    </sheetView>
  </sheetViews>
  <sheetFormatPr defaultRowHeight="12.5" x14ac:dyDescent="0.25"/>
  <cols>
    <col min="3" max="3" width="13.90625" customWidth="1"/>
    <col min="6" max="6" width="11.90625" customWidth="1"/>
  </cols>
  <sheetData>
    <row r="1" spans="1:11" ht="13" thickBot="1" x14ac:dyDescent="0.3"/>
    <row r="2" spans="1:11" ht="13.5" thickBot="1" x14ac:dyDescent="0.35">
      <c r="C2" s="10" t="s">
        <v>38</v>
      </c>
      <c r="D2" s="10">
        <v>2</v>
      </c>
      <c r="F2" s="12" t="s">
        <v>39</v>
      </c>
      <c r="H2" s="13">
        <f>D2+'Income Statement'!C2+'Common Size IS'!C2+Ratios!C2+Valuation!D2</f>
        <v>15</v>
      </c>
    </row>
    <row r="3" spans="1:11" ht="13.5" thickBot="1" x14ac:dyDescent="0.35">
      <c r="C3" s="10" t="s">
        <v>40</v>
      </c>
      <c r="D3" s="10"/>
      <c r="F3" s="12" t="s">
        <v>41</v>
      </c>
      <c r="H3" s="14">
        <f>D3+'[1]Income Statement'!C3+'[1]Common Size IS'!D3+[1]Ratios!C3+[1]Valuation!D3</f>
        <v>0</v>
      </c>
    </row>
    <row r="5" spans="1:11" ht="13" x14ac:dyDescent="0.3">
      <c r="A5" s="43" t="s">
        <v>102</v>
      </c>
    </row>
    <row r="7" spans="1:11" x14ac:dyDescent="0.25">
      <c r="A7" s="41" t="s">
        <v>100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25">
      <c r="A8" s="41" t="s">
        <v>101</v>
      </c>
      <c r="B8" s="17"/>
      <c r="C8" s="17"/>
      <c r="D8" s="17"/>
      <c r="E8" s="17"/>
      <c r="F8" s="17"/>
      <c r="G8" s="17"/>
      <c r="H8" s="17"/>
      <c r="I8" s="17"/>
      <c r="J8" s="17"/>
      <c r="K8" s="17"/>
    </row>
    <row r="10" spans="1:11" ht="13" thickBot="1" x14ac:dyDescent="0.3">
      <c r="A10" s="12" t="s">
        <v>42</v>
      </c>
      <c r="B10" s="12" t="s">
        <v>43</v>
      </c>
    </row>
    <row r="11" spans="1:11" ht="13" thickBot="1" x14ac:dyDescent="0.3">
      <c r="A11" s="15">
        <v>41791</v>
      </c>
      <c r="B11" s="16">
        <v>34.54</v>
      </c>
    </row>
    <row r="12" spans="1:11" ht="13" thickBot="1" x14ac:dyDescent="0.3">
      <c r="A12" s="15">
        <v>41821</v>
      </c>
      <c r="B12" s="16">
        <v>34.35</v>
      </c>
    </row>
    <row r="13" spans="1:11" ht="13" thickBot="1" x14ac:dyDescent="0.3">
      <c r="A13" s="15">
        <v>41852</v>
      </c>
      <c r="B13" s="16">
        <v>34.979999999999997</v>
      </c>
    </row>
    <row r="14" spans="1:11" ht="13" thickBot="1" x14ac:dyDescent="0.3">
      <c r="A14" s="15">
        <v>41883</v>
      </c>
      <c r="B14" s="16">
        <v>39.840000000000003</v>
      </c>
    </row>
    <row r="15" spans="1:11" ht="13" thickBot="1" x14ac:dyDescent="0.3">
      <c r="A15" s="15">
        <v>41913</v>
      </c>
      <c r="B15" s="16">
        <v>41.53</v>
      </c>
    </row>
    <row r="16" spans="1:11" ht="13" thickBot="1" x14ac:dyDescent="0.3">
      <c r="A16" s="15">
        <v>41944</v>
      </c>
      <c r="B16" s="16">
        <v>44.35</v>
      </c>
    </row>
    <row r="17" spans="1:2" ht="13" thickBot="1" x14ac:dyDescent="0.3">
      <c r="A17" s="15">
        <v>41974</v>
      </c>
      <c r="B17" s="16">
        <v>42.95</v>
      </c>
    </row>
    <row r="18" spans="1:2" ht="13" thickBot="1" x14ac:dyDescent="0.3">
      <c r="A18" s="15">
        <v>42005</v>
      </c>
      <c r="B18" s="16">
        <v>41.32</v>
      </c>
    </row>
    <row r="19" spans="1:2" ht="13" thickBot="1" x14ac:dyDescent="0.3">
      <c r="A19" s="15">
        <v>42036</v>
      </c>
      <c r="B19" s="16">
        <v>43.51</v>
      </c>
    </row>
    <row r="20" spans="1:2" ht="13" thickBot="1" x14ac:dyDescent="0.3">
      <c r="A20" s="15">
        <v>42064</v>
      </c>
      <c r="B20" s="16">
        <v>45.07</v>
      </c>
    </row>
    <row r="21" spans="1:2" ht="13" thickBot="1" x14ac:dyDescent="0.3">
      <c r="A21" s="15">
        <v>42095</v>
      </c>
      <c r="B21" s="16">
        <v>44.4</v>
      </c>
    </row>
    <row r="22" spans="1:2" ht="13" thickBot="1" x14ac:dyDescent="0.3">
      <c r="A22" s="15">
        <v>42125</v>
      </c>
      <c r="B22" s="16">
        <v>45.68</v>
      </c>
    </row>
    <row r="23" spans="1:2" ht="13" thickBot="1" x14ac:dyDescent="0.3">
      <c r="A23" s="15">
        <v>42156</v>
      </c>
      <c r="B23" s="16">
        <v>48.66</v>
      </c>
    </row>
    <row r="24" spans="1:2" ht="13" thickBot="1" x14ac:dyDescent="0.3">
      <c r="A24" s="15">
        <v>42186</v>
      </c>
      <c r="B24" s="16">
        <v>51.91</v>
      </c>
    </row>
    <row r="25" spans="1:2" ht="13" thickBot="1" x14ac:dyDescent="0.3">
      <c r="A25" s="15">
        <v>42217</v>
      </c>
      <c r="B25" s="16">
        <v>50.34</v>
      </c>
    </row>
    <row r="26" spans="1:2" ht="13" thickBot="1" x14ac:dyDescent="0.3">
      <c r="A26" s="15">
        <v>42248</v>
      </c>
      <c r="B26" s="16">
        <v>55.4</v>
      </c>
    </row>
    <row r="27" spans="1:2" ht="13" thickBot="1" x14ac:dyDescent="0.3">
      <c r="A27" s="15">
        <v>42278</v>
      </c>
      <c r="B27" s="16">
        <v>59.18</v>
      </c>
    </row>
    <row r="28" spans="1:2" ht="13" thickBot="1" x14ac:dyDescent="0.3">
      <c r="A28" s="15">
        <v>42309</v>
      </c>
      <c r="B28" s="16">
        <v>59.74</v>
      </c>
    </row>
    <row r="29" spans="1:2" ht="13" thickBot="1" x14ac:dyDescent="0.3">
      <c r="A29" s="15">
        <v>42339</v>
      </c>
      <c r="B29" s="16">
        <v>56.45</v>
      </c>
    </row>
    <row r="30" spans="1:2" ht="13" thickBot="1" x14ac:dyDescent="0.3">
      <c r="A30" s="15">
        <v>42370</v>
      </c>
      <c r="B30" s="16">
        <v>56.15</v>
      </c>
    </row>
    <row r="31" spans="1:2" ht="13" thickBot="1" x14ac:dyDescent="0.3">
      <c r="A31" s="15">
        <v>42401</v>
      </c>
      <c r="B31" s="16">
        <v>55.77</v>
      </c>
    </row>
    <row r="32" spans="1:2" ht="13" thickBot="1" x14ac:dyDescent="0.3">
      <c r="A32" s="15">
        <v>42430</v>
      </c>
      <c r="B32" s="16">
        <v>55.66</v>
      </c>
    </row>
    <row r="33" spans="1:2" ht="13" thickBot="1" x14ac:dyDescent="0.3">
      <c r="A33" s="15">
        <v>42461</v>
      </c>
      <c r="B33" s="16">
        <v>53.5</v>
      </c>
    </row>
    <row r="34" spans="1:2" ht="13" thickBot="1" x14ac:dyDescent="0.3">
      <c r="A34" s="15">
        <v>42491</v>
      </c>
      <c r="B34" s="16">
        <v>50.13</v>
      </c>
    </row>
    <row r="35" spans="1:2" ht="13" thickBot="1" x14ac:dyDescent="0.3">
      <c r="A35" s="15">
        <v>42522</v>
      </c>
      <c r="B35" s="16">
        <v>50.11</v>
      </c>
    </row>
    <row r="36" spans="1:2" ht="13" thickBot="1" x14ac:dyDescent="0.3">
      <c r="A36" s="15">
        <v>42552</v>
      </c>
      <c r="B36" s="16">
        <v>50.53</v>
      </c>
    </row>
    <row r="37" spans="1:2" ht="13" thickBot="1" x14ac:dyDescent="0.3">
      <c r="A37" s="15">
        <v>42583</v>
      </c>
      <c r="B37" s="16">
        <v>52.48</v>
      </c>
    </row>
    <row r="38" spans="1:2" ht="13" thickBot="1" x14ac:dyDescent="0.3">
      <c r="A38" s="15">
        <v>42614</v>
      </c>
      <c r="B38" s="16">
        <v>47.93</v>
      </c>
    </row>
    <row r="39" spans="1:2" ht="13" thickBot="1" x14ac:dyDescent="0.3">
      <c r="A39" s="15">
        <v>42644</v>
      </c>
      <c r="B39" s="16">
        <v>45.81</v>
      </c>
    </row>
    <row r="40" spans="1:2" ht="13" thickBot="1" x14ac:dyDescent="0.3">
      <c r="A40" s="15">
        <v>42675</v>
      </c>
      <c r="B40" s="16">
        <v>45.71</v>
      </c>
    </row>
    <row r="41" spans="1:2" ht="13" thickBot="1" x14ac:dyDescent="0.3">
      <c r="A41" s="15">
        <v>42705</v>
      </c>
      <c r="B41" s="16">
        <v>46.41</v>
      </c>
    </row>
    <row r="42" spans="1:2" ht="13" thickBot="1" x14ac:dyDescent="0.3">
      <c r="A42" s="15">
        <v>42736</v>
      </c>
      <c r="B42" s="16">
        <v>48.47</v>
      </c>
    </row>
    <row r="43" spans="1:2" ht="13" thickBot="1" x14ac:dyDescent="0.3">
      <c r="A43" s="15">
        <v>42767</v>
      </c>
      <c r="B43" s="16">
        <v>52.37</v>
      </c>
    </row>
    <row r="44" spans="1:2" ht="13" thickBot="1" x14ac:dyDescent="0.3">
      <c r="A44" s="15">
        <v>42795</v>
      </c>
      <c r="B44" s="16">
        <v>51.06</v>
      </c>
    </row>
    <row r="45" spans="1:2" ht="13" thickBot="1" x14ac:dyDescent="0.3">
      <c r="A45" s="15">
        <v>42826</v>
      </c>
      <c r="B45" s="16">
        <v>50.93</v>
      </c>
    </row>
    <row r="46" spans="1:2" ht="13" thickBot="1" x14ac:dyDescent="0.3">
      <c r="A46" s="15">
        <v>42856</v>
      </c>
      <c r="B46" s="16">
        <v>48.7</v>
      </c>
    </row>
    <row r="47" spans="1:2" ht="13" thickBot="1" x14ac:dyDescent="0.3">
      <c r="A47" s="15">
        <v>42887</v>
      </c>
      <c r="B47" s="16">
        <v>54.23</v>
      </c>
    </row>
    <row r="48" spans="1:2" ht="13" thickBot="1" x14ac:dyDescent="0.3">
      <c r="A48" s="15">
        <v>42917</v>
      </c>
      <c r="B48" s="16">
        <v>54.46</v>
      </c>
    </row>
    <row r="49" spans="1:2" ht="13" thickBot="1" x14ac:dyDescent="0.3">
      <c r="A49" s="15">
        <v>42948</v>
      </c>
      <c r="B49" s="16">
        <v>48.7</v>
      </c>
    </row>
    <row r="50" spans="1:2" ht="13" thickBot="1" x14ac:dyDescent="0.3">
      <c r="A50" s="15">
        <v>42979</v>
      </c>
      <c r="B50" s="16">
        <v>47.98</v>
      </c>
    </row>
    <row r="51" spans="1:2" ht="13" thickBot="1" x14ac:dyDescent="0.3">
      <c r="A51" s="15">
        <v>43009</v>
      </c>
      <c r="B51" s="16">
        <v>50.89</v>
      </c>
    </row>
    <row r="52" spans="1:2" ht="13" thickBot="1" x14ac:dyDescent="0.3">
      <c r="A52" s="15">
        <v>43040</v>
      </c>
      <c r="B52" s="16">
        <v>55.91</v>
      </c>
    </row>
    <row r="53" spans="1:2" ht="13" thickBot="1" x14ac:dyDescent="0.3">
      <c r="A53" s="15">
        <v>43070</v>
      </c>
      <c r="B53" s="16">
        <v>57.89</v>
      </c>
    </row>
    <row r="54" spans="1:2" ht="13" thickBot="1" x14ac:dyDescent="0.3">
      <c r="A54" s="15">
        <v>43101</v>
      </c>
      <c r="B54" s="16">
        <v>63.34</v>
      </c>
    </row>
    <row r="55" spans="1:2" ht="13" thickBot="1" x14ac:dyDescent="0.3">
      <c r="A55" s="15">
        <v>43132</v>
      </c>
      <c r="B55" s="16">
        <v>62.24</v>
      </c>
    </row>
    <row r="56" spans="1:2" ht="13" thickBot="1" x14ac:dyDescent="0.3">
      <c r="A56" s="15">
        <v>43160</v>
      </c>
      <c r="B56" s="16">
        <v>61.69</v>
      </c>
    </row>
    <row r="57" spans="1:2" ht="13" thickBot="1" x14ac:dyDescent="0.3">
      <c r="A57" s="15">
        <v>43191</v>
      </c>
      <c r="B57" s="16">
        <v>63.69</v>
      </c>
    </row>
    <row r="58" spans="1:2" ht="13" thickBot="1" x14ac:dyDescent="0.3">
      <c r="A58" s="15">
        <v>43221</v>
      </c>
      <c r="B58" s="16">
        <v>66.87</v>
      </c>
    </row>
    <row r="59" spans="1:2" ht="13" thickBot="1" x14ac:dyDescent="0.3">
      <c r="A59" s="15">
        <v>43252</v>
      </c>
      <c r="B59" s="16">
        <v>74.209999999999994</v>
      </c>
    </row>
    <row r="60" spans="1:2" ht="13" thickBot="1" x14ac:dyDescent="0.3">
      <c r="A60" s="15">
        <v>43282</v>
      </c>
      <c r="B60" s="16">
        <v>71.83</v>
      </c>
    </row>
    <row r="61" spans="1:2" ht="13" thickBot="1" x14ac:dyDescent="0.3">
      <c r="A61" s="15">
        <v>43313</v>
      </c>
      <c r="B61" s="16">
        <v>76.77</v>
      </c>
    </row>
    <row r="62" spans="1:2" ht="13" thickBot="1" x14ac:dyDescent="0.3">
      <c r="A62" s="15">
        <v>43344</v>
      </c>
      <c r="B62" s="16">
        <v>79.319999999999993</v>
      </c>
    </row>
    <row r="63" spans="1:2" ht="13" thickBot="1" x14ac:dyDescent="0.3">
      <c r="A63" s="15">
        <v>43374</v>
      </c>
      <c r="B63" s="16">
        <v>70.25</v>
      </c>
    </row>
    <row r="64" spans="1:2" ht="13" thickBot="1" x14ac:dyDescent="0.3">
      <c r="A64" s="15">
        <v>43405</v>
      </c>
      <c r="B64" s="16">
        <v>70.33</v>
      </c>
    </row>
    <row r="65" spans="1:2" ht="13" thickBot="1" x14ac:dyDescent="0.3">
      <c r="A65" s="15">
        <v>43435</v>
      </c>
      <c r="B65" s="16">
        <v>69.62</v>
      </c>
    </row>
    <row r="66" spans="1:2" ht="13" thickBot="1" x14ac:dyDescent="0.3">
      <c r="A66" s="15">
        <v>43466</v>
      </c>
      <c r="B66" s="16">
        <v>76.88</v>
      </c>
    </row>
    <row r="67" spans="1:2" ht="13" thickBot="1" x14ac:dyDescent="0.3">
      <c r="A67" s="15">
        <v>43497</v>
      </c>
      <c r="B67" s="16">
        <v>80.5</v>
      </c>
    </row>
    <row r="68" spans="1:2" ht="13" thickBot="1" x14ac:dyDescent="0.3">
      <c r="A68" s="15">
        <v>43525</v>
      </c>
      <c r="B68" s="16">
        <v>79.069999999999993</v>
      </c>
    </row>
    <row r="69" spans="1:2" ht="13" thickBot="1" x14ac:dyDescent="0.3">
      <c r="A69" s="15">
        <v>43556</v>
      </c>
      <c r="B69" s="16">
        <v>82.68</v>
      </c>
    </row>
    <row r="70" spans="1:2" ht="13" thickBot="1" x14ac:dyDescent="0.3">
      <c r="A70" s="15">
        <v>43586</v>
      </c>
      <c r="B70" s="16">
        <v>72.62</v>
      </c>
    </row>
    <row r="71" spans="1:2" ht="13" thickBot="1" x14ac:dyDescent="0.3">
      <c r="A71" s="15">
        <v>43617</v>
      </c>
      <c r="B71" s="16">
        <v>79.25</v>
      </c>
    </row>
    <row r="72" spans="1:2" ht="13" thickBot="1" x14ac:dyDescent="0.3">
      <c r="A72" s="15">
        <v>43647</v>
      </c>
      <c r="B72" s="16">
        <v>81.209999999999994</v>
      </c>
    </row>
    <row r="73" spans="1:2" ht="13" thickBot="1" x14ac:dyDescent="0.3">
      <c r="A73" s="15">
        <v>43678</v>
      </c>
      <c r="B73" s="16">
        <v>79.77</v>
      </c>
    </row>
    <row r="74" spans="1:2" ht="13" thickBot="1" x14ac:dyDescent="0.3">
      <c r="A74" s="15">
        <v>43709</v>
      </c>
      <c r="B74" s="16">
        <v>88.89</v>
      </c>
    </row>
    <row r="75" spans="1:2" ht="13" thickBot="1" x14ac:dyDescent="0.3">
      <c r="A75" s="15">
        <v>43739</v>
      </c>
      <c r="B75" s="16">
        <v>84.76</v>
      </c>
    </row>
    <row r="76" spans="1:2" ht="13" thickBot="1" x14ac:dyDescent="0.3">
      <c r="A76" s="15">
        <v>43770</v>
      </c>
      <c r="B76" s="16">
        <v>88.48</v>
      </c>
    </row>
    <row r="77" spans="1:2" ht="13" thickBot="1" x14ac:dyDescent="0.3">
      <c r="A77" s="15">
        <v>43800</v>
      </c>
      <c r="B77" s="16">
        <v>96.14</v>
      </c>
    </row>
    <row r="78" spans="1:2" ht="13" thickBot="1" x14ac:dyDescent="0.3">
      <c r="A78" s="15">
        <v>43831</v>
      </c>
      <c r="B78" s="16">
        <v>91.38</v>
      </c>
    </row>
    <row r="79" spans="1:2" ht="13" thickBot="1" x14ac:dyDescent="0.3">
      <c r="A79" s="15">
        <v>43862</v>
      </c>
      <c r="B79" s="16">
        <v>84.82</v>
      </c>
    </row>
    <row r="80" spans="1:2" ht="13" thickBot="1" x14ac:dyDescent="0.3">
      <c r="A80" s="15">
        <v>43891</v>
      </c>
      <c r="B80" s="16">
        <v>78.73</v>
      </c>
    </row>
    <row r="81" spans="1:2" ht="13" thickBot="1" x14ac:dyDescent="0.3">
      <c r="A81" s="15">
        <v>43922</v>
      </c>
      <c r="B81" s="16">
        <v>82.96</v>
      </c>
    </row>
    <row r="82" spans="1:2" ht="13" thickBot="1" x14ac:dyDescent="0.3">
      <c r="A82" s="15">
        <v>43952</v>
      </c>
      <c r="B82" s="16">
        <v>93.8</v>
      </c>
    </row>
    <row r="83" spans="1:2" ht="13" thickBot="1" x14ac:dyDescent="0.3">
      <c r="A83" s="15">
        <v>43983</v>
      </c>
      <c r="B83" s="16">
        <v>93.53</v>
      </c>
    </row>
    <row r="84" spans="1:2" ht="13" thickBot="1" x14ac:dyDescent="0.3">
      <c r="A84" s="15">
        <v>44013</v>
      </c>
      <c r="B84" s="16">
        <v>93.11</v>
      </c>
    </row>
    <row r="85" spans="1:2" ht="13" thickBot="1" x14ac:dyDescent="0.3">
      <c r="A85" s="15">
        <v>44044</v>
      </c>
      <c r="B85" s="16">
        <v>106.74</v>
      </c>
    </row>
    <row r="86" spans="1:2" ht="13" thickBot="1" x14ac:dyDescent="0.3">
      <c r="A86" s="15">
        <v>44075</v>
      </c>
      <c r="B86" s="16">
        <v>120.02</v>
      </c>
    </row>
    <row r="87" spans="1:2" ht="13" thickBot="1" x14ac:dyDescent="0.3">
      <c r="A87" s="15">
        <v>44105</v>
      </c>
      <c r="B87" s="16">
        <v>114.8</v>
      </c>
    </row>
    <row r="88" spans="1:2" ht="13" thickBot="1" x14ac:dyDescent="0.3">
      <c r="A88" s="15">
        <v>44136</v>
      </c>
      <c r="B88" s="16">
        <v>128.78</v>
      </c>
    </row>
    <row r="89" spans="1:2" ht="13" thickBot="1" x14ac:dyDescent="0.3">
      <c r="A89" s="15">
        <v>44166</v>
      </c>
      <c r="B89" s="16">
        <v>135.25</v>
      </c>
    </row>
    <row r="90" spans="1:2" ht="13" thickBot="1" x14ac:dyDescent="0.3">
      <c r="A90" s="15">
        <v>44197</v>
      </c>
      <c r="B90" s="16">
        <v>127.98</v>
      </c>
    </row>
    <row r="91" spans="1:2" ht="13" thickBot="1" x14ac:dyDescent="0.3">
      <c r="A91" s="15">
        <v>44228</v>
      </c>
      <c r="B91" s="16">
        <v>129.12</v>
      </c>
    </row>
    <row r="92" spans="1:2" ht="13" thickBot="1" x14ac:dyDescent="0.3">
      <c r="A92" s="15">
        <v>44256</v>
      </c>
      <c r="B92" s="16">
        <v>127.56</v>
      </c>
    </row>
    <row r="93" spans="1:2" ht="13" thickBot="1" x14ac:dyDescent="0.3">
      <c r="A93" s="15">
        <v>44287</v>
      </c>
      <c r="B93" s="16">
        <v>127.3</v>
      </c>
    </row>
    <row r="94" spans="1:2" ht="13" thickBot="1" x14ac:dyDescent="0.3">
      <c r="A94" s="15">
        <v>44317</v>
      </c>
      <c r="B94" s="16">
        <v>130.99</v>
      </c>
    </row>
    <row r="95" spans="1:2" ht="13" thickBot="1" x14ac:dyDescent="0.3">
      <c r="A95" s="15">
        <v>44348</v>
      </c>
      <c r="B95" s="16">
        <v>148.6</v>
      </c>
    </row>
    <row r="96" spans="1:2" ht="13" thickBot="1" x14ac:dyDescent="0.3">
      <c r="A96" s="15">
        <v>44378</v>
      </c>
      <c r="B96" s="16">
        <v>161.12</v>
      </c>
    </row>
    <row r="97" spans="1:2" ht="13" thickBot="1" x14ac:dyDescent="0.3">
      <c r="A97" s="15">
        <v>44409</v>
      </c>
      <c r="B97" s="16">
        <v>158.46</v>
      </c>
    </row>
    <row r="98" spans="1:2" ht="13" thickBot="1" x14ac:dyDescent="0.3">
      <c r="A98" s="15">
        <v>44440</v>
      </c>
      <c r="B98" s="16">
        <v>139.91999999999999</v>
      </c>
    </row>
    <row r="99" spans="1:2" ht="13" thickBot="1" x14ac:dyDescent="0.3">
      <c r="A99" s="15">
        <v>44470</v>
      </c>
      <c r="B99" s="16">
        <v>161.16999999999999</v>
      </c>
    </row>
    <row r="100" spans="1:2" ht="13" thickBot="1" x14ac:dyDescent="0.3">
      <c r="A100" s="15">
        <v>44501</v>
      </c>
      <c r="B100" s="16">
        <v>163.05000000000001</v>
      </c>
    </row>
    <row r="101" spans="1:2" ht="13" thickBot="1" x14ac:dyDescent="0.3">
      <c r="A101" s="15">
        <v>44531</v>
      </c>
      <c r="B101" s="16">
        <v>160.58000000000001</v>
      </c>
    </row>
    <row r="102" spans="1:2" ht="13" thickBot="1" x14ac:dyDescent="0.3">
      <c r="A102" s="15">
        <v>44562</v>
      </c>
      <c r="B102" s="16">
        <v>142.91</v>
      </c>
    </row>
    <row r="103" spans="1:2" ht="13" thickBot="1" x14ac:dyDescent="0.3">
      <c r="A103" s="15">
        <v>44593</v>
      </c>
      <c r="B103" s="16">
        <v>131.79</v>
      </c>
    </row>
    <row r="104" spans="1:2" ht="13" thickBot="1" x14ac:dyDescent="0.3">
      <c r="A104" s="15">
        <v>44621</v>
      </c>
      <c r="B104" s="16">
        <v>129.87</v>
      </c>
    </row>
    <row r="105" spans="1:2" ht="13" thickBot="1" x14ac:dyDescent="0.3">
      <c r="A105" s="15">
        <v>44652</v>
      </c>
      <c r="B105" s="16">
        <v>120.63</v>
      </c>
    </row>
    <row r="106" spans="1:2" ht="13" thickBot="1" x14ac:dyDescent="0.3">
      <c r="A106" s="15">
        <v>44682</v>
      </c>
      <c r="B106" s="16">
        <v>114.97</v>
      </c>
    </row>
    <row r="107" spans="1:2" ht="13" thickBot="1" x14ac:dyDescent="0.3">
      <c r="A107" s="15">
        <v>44713</v>
      </c>
      <c r="B107" s="16">
        <v>98.87</v>
      </c>
    </row>
    <row r="108" spans="1:2" ht="13" thickBot="1" x14ac:dyDescent="0.3">
      <c r="A108" s="15">
        <v>44743</v>
      </c>
      <c r="B108" s="16">
        <v>111.45</v>
      </c>
    </row>
    <row r="109" spans="1:2" ht="13" thickBot="1" x14ac:dyDescent="0.3">
      <c r="A109" s="15">
        <v>44774</v>
      </c>
      <c r="B109" s="16">
        <v>103.23</v>
      </c>
    </row>
    <row r="110" spans="1:2" ht="13" thickBot="1" x14ac:dyDescent="0.3">
      <c r="A110" s="15">
        <v>44805</v>
      </c>
      <c r="B110" s="16">
        <v>80.61</v>
      </c>
    </row>
    <row r="111" spans="1:2" ht="13" thickBot="1" x14ac:dyDescent="0.3">
      <c r="A111" s="15">
        <v>44835</v>
      </c>
      <c r="B111" s="16">
        <v>90.14</v>
      </c>
    </row>
    <row r="112" spans="1:2" ht="13" thickBot="1" x14ac:dyDescent="0.3">
      <c r="A112" s="15">
        <v>44866</v>
      </c>
      <c r="B112" s="16">
        <v>106.68</v>
      </c>
    </row>
    <row r="113" spans="1:2" ht="13" thickBot="1" x14ac:dyDescent="0.3">
      <c r="A113" s="15">
        <v>44896</v>
      </c>
      <c r="B113" s="16">
        <v>113.8</v>
      </c>
    </row>
    <row r="114" spans="1:2" ht="13" thickBot="1" x14ac:dyDescent="0.3">
      <c r="A114" s="15">
        <v>44927</v>
      </c>
      <c r="B114" s="16">
        <v>124.22</v>
      </c>
    </row>
    <row r="115" spans="1:2" ht="13" thickBot="1" x14ac:dyDescent="0.3">
      <c r="A115" s="15">
        <v>44958</v>
      </c>
      <c r="B115" s="16">
        <v>115.88</v>
      </c>
    </row>
    <row r="116" spans="1:2" ht="13" thickBot="1" x14ac:dyDescent="0.3">
      <c r="A116" s="15">
        <v>44986</v>
      </c>
      <c r="B116" s="16">
        <v>119.64</v>
      </c>
    </row>
    <row r="117" spans="1:2" ht="13" thickBot="1" x14ac:dyDescent="0.3">
      <c r="A117" s="15">
        <v>45017</v>
      </c>
      <c r="B117" s="16">
        <v>123.97</v>
      </c>
    </row>
    <row r="118" spans="1:2" ht="13" thickBot="1" x14ac:dyDescent="0.3">
      <c r="A118" s="15">
        <v>45047</v>
      </c>
      <c r="B118" s="16">
        <v>102.98</v>
      </c>
    </row>
    <row r="119" spans="1:2" ht="13" thickBot="1" x14ac:dyDescent="0.3">
      <c r="A119" s="15">
        <v>45078</v>
      </c>
      <c r="B119" s="16">
        <v>107.98</v>
      </c>
    </row>
    <row r="120" spans="1:2" ht="13" thickBot="1" x14ac:dyDescent="0.3">
      <c r="A120" s="15">
        <v>45108</v>
      </c>
      <c r="B120" s="16">
        <v>108.35</v>
      </c>
    </row>
    <row r="121" spans="1:2" ht="13" thickBot="1" x14ac:dyDescent="0.3">
      <c r="A121" s="15">
        <v>45139</v>
      </c>
      <c r="B121" s="16">
        <v>99.83</v>
      </c>
    </row>
    <row r="122" spans="1:2" ht="13" thickBot="1" x14ac:dyDescent="0.3">
      <c r="A122" s="15">
        <v>45170</v>
      </c>
      <c r="B122" s="16">
        <v>93.86</v>
      </c>
    </row>
    <row r="123" spans="1:2" ht="13" thickBot="1" x14ac:dyDescent="0.3">
      <c r="A123" s="15">
        <v>45200</v>
      </c>
      <c r="B123" s="16">
        <v>101.21</v>
      </c>
    </row>
    <row r="124" spans="1:2" ht="13" thickBot="1" x14ac:dyDescent="0.3">
      <c r="A124" s="15">
        <v>45231</v>
      </c>
      <c r="B124" s="16">
        <v>108.6</v>
      </c>
    </row>
    <row r="125" spans="1:2" ht="13" thickBot="1" x14ac:dyDescent="0.3">
      <c r="A125" s="15">
        <v>45261</v>
      </c>
      <c r="B125" s="16">
        <v>106.92</v>
      </c>
    </row>
    <row r="126" spans="1:2" ht="13" thickBot="1" x14ac:dyDescent="0.3">
      <c r="A126" s="15">
        <v>45292</v>
      </c>
      <c r="B126" s="16">
        <v>100.33</v>
      </c>
    </row>
    <row r="127" spans="1:2" ht="13" thickBot="1" x14ac:dyDescent="0.3">
      <c r="A127" s="15">
        <v>45323</v>
      </c>
      <c r="B127" s="16">
        <v>102.7</v>
      </c>
    </row>
    <row r="128" spans="1:2" ht="13" thickBot="1" x14ac:dyDescent="0.3">
      <c r="A128" s="15">
        <v>45352</v>
      </c>
      <c r="B128" s="16">
        <v>92.87</v>
      </c>
    </row>
    <row r="129" spans="1:2" ht="13" thickBot="1" x14ac:dyDescent="0.3">
      <c r="A129" s="15">
        <v>45383</v>
      </c>
      <c r="B129" s="16">
        <v>91.49</v>
      </c>
    </row>
    <row r="130" spans="1:2" ht="13" thickBot="1" x14ac:dyDescent="0.3">
      <c r="A130" s="15">
        <v>45413</v>
      </c>
      <c r="B130" s="16">
        <v>94.26</v>
      </c>
    </row>
    <row r="131" spans="1:2" ht="13" thickBot="1" x14ac:dyDescent="0.3">
      <c r="A131" s="15">
        <v>45444</v>
      </c>
      <c r="B131" s="16">
        <v>74.739999999999995</v>
      </c>
    </row>
    <row r="132" spans="1:2" x14ac:dyDescent="0.25">
      <c r="A132" s="15">
        <v>45474</v>
      </c>
      <c r="B132" s="16">
        <v>74.53</v>
      </c>
    </row>
  </sheetData>
  <sortState xmlns:xlrd2="http://schemas.microsoft.com/office/spreadsheetml/2017/richdata2" ref="A11:B132">
    <sortCondition ref="A10:A13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U46"/>
  <sheetViews>
    <sheetView workbookViewId="0">
      <selection activeCell="A8" sqref="A8"/>
    </sheetView>
  </sheetViews>
  <sheetFormatPr defaultRowHeight="12.5" x14ac:dyDescent="0.25"/>
  <cols>
    <col min="1" max="1" width="52.6328125" customWidth="1"/>
    <col min="2" max="200" width="12" customWidth="1"/>
  </cols>
  <sheetData>
    <row r="2" spans="1:21" ht="13" x14ac:dyDescent="0.3">
      <c r="B2" s="10" t="s">
        <v>45</v>
      </c>
      <c r="C2" s="10">
        <v>3</v>
      </c>
    </row>
    <row r="3" spans="1:21" x14ac:dyDescent="0.25">
      <c r="B3" s="12" t="s">
        <v>40</v>
      </c>
    </row>
    <row r="4" spans="1:21" x14ac:dyDescent="0.25">
      <c r="A4" s="1" t="s">
        <v>0</v>
      </c>
    </row>
    <row r="5" spans="1:21" ht="20" x14ac:dyDescent="0.4">
      <c r="A5" s="2" t="s">
        <v>1</v>
      </c>
    </row>
    <row r="7" spans="1:21" ht="25" x14ac:dyDescent="0.25">
      <c r="A7" s="44" t="s">
        <v>103</v>
      </c>
    </row>
    <row r="10" spans="1:21" ht="13" x14ac:dyDescent="0.25">
      <c r="A10" s="4" t="s">
        <v>3</v>
      </c>
    </row>
    <row r="11" spans="1:21" ht="13" x14ac:dyDescent="0.25">
      <c r="A11" s="5" t="s">
        <v>4</v>
      </c>
      <c r="B11" s="6" t="s">
        <v>14</v>
      </c>
      <c r="C11" s="6" t="s">
        <v>13</v>
      </c>
      <c r="D11" s="6" t="s">
        <v>12</v>
      </c>
      <c r="E11" s="6" t="s">
        <v>11</v>
      </c>
      <c r="F11" s="6" t="s">
        <v>10</v>
      </c>
      <c r="G11" s="6" t="s">
        <v>9</v>
      </c>
      <c r="H11" s="6" t="s">
        <v>8</v>
      </c>
      <c r="I11" s="6" t="s">
        <v>7</v>
      </c>
      <c r="J11" s="6" t="s">
        <v>6</v>
      </c>
      <c r="K11" s="6" t="s">
        <v>5</v>
      </c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3" x14ac:dyDescent="0.25">
      <c r="A12" s="5" t="s">
        <v>15</v>
      </c>
      <c r="B12" s="6" t="s">
        <v>16</v>
      </c>
      <c r="C12" s="6" t="s">
        <v>16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16</v>
      </c>
      <c r="J12" s="6" t="s">
        <v>16</v>
      </c>
      <c r="K12" s="6" t="s">
        <v>16</v>
      </c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3" x14ac:dyDescent="0.25">
      <c r="A13" s="5" t="s">
        <v>17</v>
      </c>
      <c r="B13" s="6" t="s">
        <v>18</v>
      </c>
      <c r="C13" s="6" t="s">
        <v>18</v>
      </c>
      <c r="D13" s="6" t="s">
        <v>18</v>
      </c>
      <c r="E13" s="6" t="s">
        <v>18</v>
      </c>
      <c r="F13" s="6" t="s">
        <v>18</v>
      </c>
      <c r="G13" s="6" t="s">
        <v>18</v>
      </c>
      <c r="H13" s="6" t="s">
        <v>18</v>
      </c>
      <c r="I13" s="6" t="s">
        <v>18</v>
      </c>
      <c r="J13" s="6" t="s">
        <v>18</v>
      </c>
      <c r="K13" s="6" t="s">
        <v>18</v>
      </c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3" x14ac:dyDescent="0.25">
      <c r="A14" s="5" t="s">
        <v>19</v>
      </c>
      <c r="B14" s="6" t="s">
        <v>20</v>
      </c>
      <c r="C14" s="6" t="s">
        <v>20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6" t="s">
        <v>20</v>
      </c>
      <c r="K14" s="6" t="s">
        <v>20</v>
      </c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3" x14ac:dyDescent="0.25">
      <c r="A15" s="5" t="s">
        <v>21</v>
      </c>
      <c r="B15" s="6" t="s">
        <v>22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K15" s="6" t="s">
        <v>22</v>
      </c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25">
      <c r="A16" s="7" t="s">
        <v>24</v>
      </c>
      <c r="B16" s="19">
        <v>30601000</v>
      </c>
      <c r="C16" s="19">
        <v>32376000</v>
      </c>
      <c r="D16" s="19">
        <v>34350000</v>
      </c>
      <c r="E16" s="19">
        <v>36397000</v>
      </c>
      <c r="F16" s="19">
        <v>39117000</v>
      </c>
      <c r="G16" s="19">
        <v>37403000</v>
      </c>
      <c r="H16" s="19">
        <v>44538000</v>
      </c>
      <c r="I16" s="19">
        <v>46710000</v>
      </c>
      <c r="J16" s="19">
        <v>51217000</v>
      </c>
      <c r="K16" s="19">
        <v>51362000</v>
      </c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7" t="s">
        <v>25</v>
      </c>
      <c r="B17" s="19">
        <v>16534000</v>
      </c>
      <c r="C17" s="19">
        <v>17405000</v>
      </c>
      <c r="D17" s="19">
        <v>19038000</v>
      </c>
      <c r="E17" s="19">
        <v>20441000</v>
      </c>
      <c r="F17" s="19">
        <v>21643000</v>
      </c>
      <c r="G17" s="19">
        <v>21162000</v>
      </c>
      <c r="H17" s="19">
        <v>24576000</v>
      </c>
      <c r="I17" s="19">
        <v>25231000</v>
      </c>
      <c r="J17" s="19">
        <v>28925000</v>
      </c>
      <c r="K17" s="19">
        <v>28475000</v>
      </c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7" t="s">
        <v>26</v>
      </c>
      <c r="B18" s="19">
        <v>14067000</v>
      </c>
      <c r="C18" s="19">
        <v>14971000</v>
      </c>
      <c r="D18" s="19">
        <v>15312000</v>
      </c>
      <c r="E18" s="19">
        <v>15956000</v>
      </c>
      <c r="F18" s="19">
        <v>17474000</v>
      </c>
      <c r="G18" s="19">
        <v>16241000</v>
      </c>
      <c r="H18" s="19">
        <v>19962000</v>
      </c>
      <c r="I18" s="19">
        <v>21479000</v>
      </c>
      <c r="J18" s="19">
        <v>22292000</v>
      </c>
      <c r="K18" s="19">
        <v>22887000</v>
      </c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7" t="s">
        <v>27</v>
      </c>
      <c r="B19" s="19">
        <v>9892000</v>
      </c>
      <c r="C19" s="19">
        <v>10469000</v>
      </c>
      <c r="D19" s="19">
        <v>10563000</v>
      </c>
      <c r="E19" s="19">
        <v>11511000</v>
      </c>
      <c r="F19" s="19">
        <v>12702000</v>
      </c>
      <c r="G19" s="19">
        <v>13126000</v>
      </c>
      <c r="H19" s="19">
        <v>13025000</v>
      </c>
      <c r="I19" s="19">
        <v>14804000</v>
      </c>
      <c r="J19" s="19">
        <v>16377000</v>
      </c>
      <c r="K19" s="19">
        <v>16576000</v>
      </c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7" t="s">
        <v>28</v>
      </c>
      <c r="B20" s="19">
        <v>-58000</v>
      </c>
      <c r="C20" s="19">
        <v>-140000</v>
      </c>
      <c r="D20" s="19">
        <v>-196000</v>
      </c>
      <c r="E20" s="19">
        <v>66000</v>
      </c>
      <c r="F20" s="19">
        <v>-78000</v>
      </c>
      <c r="G20" s="19">
        <v>139000</v>
      </c>
      <c r="H20" s="19">
        <v>14000</v>
      </c>
      <c r="I20" s="19">
        <v>-181000</v>
      </c>
      <c r="J20" s="19">
        <v>-280000</v>
      </c>
      <c r="K20" s="19">
        <v>0</v>
      </c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7" t="s">
        <v>29</v>
      </c>
      <c r="B21" s="19">
        <v>9834000</v>
      </c>
      <c r="C21" s="19">
        <v>10329000</v>
      </c>
      <c r="D21" s="19">
        <v>10367000</v>
      </c>
      <c r="E21" s="19">
        <v>11577000</v>
      </c>
      <c r="F21" s="19">
        <v>12624000</v>
      </c>
      <c r="G21" s="19">
        <v>13265000</v>
      </c>
      <c r="H21" s="19">
        <v>13039000</v>
      </c>
      <c r="I21" s="19">
        <v>14623000</v>
      </c>
      <c r="J21" s="19">
        <v>16097000</v>
      </c>
      <c r="K21" s="19">
        <v>16576000</v>
      </c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 s="7" t="s">
        <v>30</v>
      </c>
      <c r="B22" s="19">
        <v>4233000</v>
      </c>
      <c r="C22" s="19">
        <v>4642000</v>
      </c>
      <c r="D22" s="19">
        <v>4945000</v>
      </c>
      <c r="E22" s="19">
        <v>4379000</v>
      </c>
      <c r="F22" s="19">
        <v>4850000</v>
      </c>
      <c r="G22" s="19">
        <v>2976000</v>
      </c>
      <c r="H22" s="19">
        <v>6923000</v>
      </c>
      <c r="I22" s="19">
        <v>6856000</v>
      </c>
      <c r="J22" s="19">
        <v>6195000</v>
      </c>
      <c r="K22" s="19">
        <v>6311000</v>
      </c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7" t="s">
        <v>31</v>
      </c>
      <c r="B23" s="19">
        <v>-28000</v>
      </c>
      <c r="C23" s="19">
        <v>-19000</v>
      </c>
      <c r="D23" s="19">
        <v>-59000</v>
      </c>
      <c r="E23" s="19">
        <v>-54000</v>
      </c>
      <c r="F23" s="19">
        <v>-49000</v>
      </c>
      <c r="G23" s="19">
        <v>-89000</v>
      </c>
      <c r="H23" s="19">
        <v>-262000</v>
      </c>
      <c r="I23" s="19">
        <v>-205000</v>
      </c>
      <c r="J23" s="19">
        <v>6000</v>
      </c>
      <c r="K23" s="19">
        <v>161000</v>
      </c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7" t="s">
        <v>32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228000</v>
      </c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7" t="s">
        <v>33</v>
      </c>
      <c r="B25" s="19">
        <v>-28000</v>
      </c>
      <c r="C25" s="19">
        <v>-19000</v>
      </c>
      <c r="D25" s="19">
        <v>-59000</v>
      </c>
      <c r="E25" s="19">
        <v>-54000</v>
      </c>
      <c r="F25" s="19">
        <v>-49000</v>
      </c>
      <c r="G25" s="19">
        <v>-89000</v>
      </c>
      <c r="H25" s="19">
        <v>-262000</v>
      </c>
      <c r="I25" s="19">
        <v>-205000</v>
      </c>
      <c r="J25" s="19">
        <v>6000</v>
      </c>
      <c r="K25" s="19">
        <v>389000</v>
      </c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 t="s">
        <v>34</v>
      </c>
      <c r="B26" s="19">
        <v>4205000</v>
      </c>
      <c r="C26" s="19">
        <v>4623000</v>
      </c>
      <c r="D26" s="19">
        <v>4886000</v>
      </c>
      <c r="E26" s="19">
        <v>4325000</v>
      </c>
      <c r="F26" s="19">
        <v>4801000</v>
      </c>
      <c r="G26" s="19">
        <v>2887000</v>
      </c>
      <c r="H26" s="19">
        <v>6661000</v>
      </c>
      <c r="I26" s="19">
        <v>6651000</v>
      </c>
      <c r="J26" s="19">
        <v>6201000</v>
      </c>
      <c r="K26" s="19">
        <v>6700000</v>
      </c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5">
      <c r="A27" s="7" t="s">
        <v>35</v>
      </c>
      <c r="B27" s="19">
        <v>932000</v>
      </c>
      <c r="C27" s="19">
        <v>863000</v>
      </c>
      <c r="D27" s="19">
        <v>646000</v>
      </c>
      <c r="E27" s="19">
        <v>2392000</v>
      </c>
      <c r="F27" s="19">
        <v>772000</v>
      </c>
      <c r="G27" s="19">
        <v>348000</v>
      </c>
      <c r="H27" s="19">
        <v>934000</v>
      </c>
      <c r="I27" s="19">
        <v>605000</v>
      </c>
      <c r="J27" s="19">
        <v>1131000</v>
      </c>
      <c r="K27" s="19">
        <v>1000000</v>
      </c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25">
      <c r="A28" s="7" t="s">
        <v>36</v>
      </c>
      <c r="B28" s="19">
        <v>3273000</v>
      </c>
      <c r="C28" s="19">
        <v>3760000</v>
      </c>
      <c r="D28" s="19">
        <v>4240000</v>
      </c>
      <c r="E28" s="19">
        <v>1933000</v>
      </c>
      <c r="F28" s="19">
        <v>4029000</v>
      </c>
      <c r="G28" s="19">
        <v>2539000</v>
      </c>
      <c r="H28" s="19">
        <v>5727000</v>
      </c>
      <c r="I28" s="19">
        <v>6046000</v>
      </c>
      <c r="J28" s="19">
        <v>5070000</v>
      </c>
      <c r="K28" s="19">
        <v>5700000</v>
      </c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5">
      <c r="A31" s="7" t="s">
        <v>37</v>
      </c>
      <c r="B31" s="8">
        <v>1714000</v>
      </c>
      <c r="C31" s="8">
        <v>1682000</v>
      </c>
      <c r="D31" s="8">
        <v>1643000</v>
      </c>
      <c r="E31" s="8">
        <v>1601000</v>
      </c>
      <c r="F31" s="8">
        <v>1568000</v>
      </c>
      <c r="G31" s="8">
        <v>1558000</v>
      </c>
      <c r="H31" s="8">
        <v>1578000</v>
      </c>
      <c r="I31" s="8">
        <v>1571000</v>
      </c>
      <c r="J31" s="8">
        <v>1532000</v>
      </c>
      <c r="K31" s="8">
        <v>1503000</v>
      </c>
      <c r="L31" s="7"/>
      <c r="M31" s="7"/>
      <c r="N31" s="7"/>
      <c r="O31" s="7"/>
      <c r="P31" s="7"/>
      <c r="Q31" s="7"/>
      <c r="R31" s="7"/>
      <c r="S31" s="7"/>
      <c r="T31" s="7"/>
      <c r="U31" s="7"/>
    </row>
    <row r="33" spans="1:11" ht="13" x14ac:dyDescent="0.3">
      <c r="A33" s="21" t="s">
        <v>44</v>
      </c>
      <c r="B33" s="20">
        <v>2015</v>
      </c>
      <c r="C33" s="20">
        <v>2016</v>
      </c>
      <c r="D33" s="20">
        <v>2017</v>
      </c>
      <c r="E33" s="20">
        <v>2018</v>
      </c>
      <c r="F33" s="20">
        <v>2019</v>
      </c>
      <c r="G33" s="20">
        <v>2020</v>
      </c>
      <c r="H33" s="20">
        <v>2021</v>
      </c>
      <c r="I33" s="20">
        <v>2022</v>
      </c>
      <c r="J33" s="20">
        <v>2023</v>
      </c>
      <c r="K33" s="20">
        <v>2024</v>
      </c>
    </row>
    <row r="35" spans="1:11" x14ac:dyDescent="0.25">
      <c r="A35" s="22" t="s">
        <v>46</v>
      </c>
    </row>
    <row r="36" spans="1:11" x14ac:dyDescent="0.25">
      <c r="A36" s="22"/>
    </row>
    <row r="37" spans="1:11" ht="25" x14ac:dyDescent="0.25">
      <c r="A37" s="23" t="s">
        <v>47</v>
      </c>
    </row>
    <row r="38" spans="1:11" x14ac:dyDescent="0.25">
      <c r="A38" s="23"/>
    </row>
    <row r="39" spans="1:11" x14ac:dyDescent="0.25">
      <c r="A39" s="40" t="s">
        <v>98</v>
      </c>
    </row>
    <row r="41" spans="1:11" x14ac:dyDescent="0.25">
      <c r="A41" s="41" t="s">
        <v>48</v>
      </c>
    </row>
    <row r="42" spans="1:11" x14ac:dyDescent="0.25">
      <c r="A42" s="17" t="s">
        <v>49</v>
      </c>
    </row>
    <row r="44" spans="1:11" ht="25" x14ac:dyDescent="0.25">
      <c r="A44" s="42" t="s">
        <v>99</v>
      </c>
    </row>
    <row r="46" spans="1:11" ht="50" x14ac:dyDescent="0.25">
      <c r="A46" s="24" t="s">
        <v>50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columnSort="1" ref="B11:T31">
    <sortCondition ref="B11:T1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5A28-8C03-4EDE-9625-0085B88ADFC0}">
  <sheetPr>
    <tabColor rgb="FF92D050"/>
  </sheetPr>
  <dimension ref="A2:K27"/>
  <sheetViews>
    <sheetView workbookViewId="0">
      <selection activeCell="E26" sqref="E26"/>
    </sheetView>
  </sheetViews>
  <sheetFormatPr defaultRowHeight="12.5" x14ac:dyDescent="0.25"/>
  <cols>
    <col min="1" max="1" width="50" customWidth="1"/>
    <col min="2" max="11" width="9.90625" bestFit="1" customWidth="1"/>
  </cols>
  <sheetData>
    <row r="2" spans="1:11" ht="13" x14ac:dyDescent="0.3">
      <c r="B2" s="10" t="s">
        <v>38</v>
      </c>
      <c r="C2" s="10">
        <v>2</v>
      </c>
    </row>
    <row r="3" spans="1:11" x14ac:dyDescent="0.25">
      <c r="B3" s="12" t="s">
        <v>40</v>
      </c>
    </row>
    <row r="4" spans="1:11" x14ac:dyDescent="0.25">
      <c r="A4" s="1" t="s">
        <v>0</v>
      </c>
    </row>
    <row r="5" spans="1:11" ht="20" x14ac:dyDescent="0.4">
      <c r="A5" s="2" t="s">
        <v>1</v>
      </c>
    </row>
    <row r="7" spans="1:11" x14ac:dyDescent="0.25">
      <c r="A7" s="17" t="s">
        <v>51</v>
      </c>
    </row>
    <row r="10" spans="1:11" ht="13" x14ac:dyDescent="0.25">
      <c r="A10" s="5" t="s">
        <v>4</v>
      </c>
      <c r="B10" t="str">
        <f>'Income Statement'!B11</f>
        <v>05/31/2015</v>
      </c>
      <c r="C10" t="str">
        <f>'Income Statement'!C11</f>
        <v>05/31/2016</v>
      </c>
      <c r="D10" t="str">
        <f>'Income Statement'!D11</f>
        <v>05/31/2017</v>
      </c>
      <c r="E10" t="str">
        <f>'Income Statement'!E11</f>
        <v>05/31/2018</v>
      </c>
      <c r="F10" t="str">
        <f>'Income Statement'!F11</f>
        <v>05/31/2019</v>
      </c>
      <c r="G10" t="str">
        <f>'Income Statement'!G11</f>
        <v>05/31/2020</v>
      </c>
      <c r="H10" t="str">
        <f>'Income Statement'!H11</f>
        <v>05/31/2021</v>
      </c>
      <c r="I10" t="str">
        <f>'Income Statement'!I11</f>
        <v>05/31/2022</v>
      </c>
      <c r="J10" t="str">
        <f>'Income Statement'!J11</f>
        <v>05/31/2023</v>
      </c>
      <c r="K10" t="str">
        <f>'Income Statement'!K11</f>
        <v>05/31/2024</v>
      </c>
    </row>
    <row r="11" spans="1:11" ht="13" x14ac:dyDescent="0.25">
      <c r="A11" s="5"/>
    </row>
    <row r="12" spans="1:11" x14ac:dyDescent="0.25">
      <c r="A12" s="7" t="s">
        <v>24</v>
      </c>
    </row>
    <row r="13" spans="1:11" x14ac:dyDescent="0.25">
      <c r="A13" s="7" t="s">
        <v>25</v>
      </c>
    </row>
    <row r="14" spans="1:11" x14ac:dyDescent="0.25">
      <c r="A14" s="7" t="s">
        <v>26</v>
      </c>
    </row>
    <row r="15" spans="1:11" x14ac:dyDescent="0.25">
      <c r="A15" s="7" t="s">
        <v>27</v>
      </c>
    </row>
    <row r="16" spans="1:11" x14ac:dyDescent="0.25">
      <c r="A16" s="7" t="s">
        <v>28</v>
      </c>
    </row>
    <row r="17" spans="1:1" x14ac:dyDescent="0.25">
      <c r="A17" s="7" t="s">
        <v>29</v>
      </c>
    </row>
    <row r="18" spans="1:1" x14ac:dyDescent="0.25">
      <c r="A18" s="7" t="s">
        <v>30</v>
      </c>
    </row>
    <row r="19" spans="1:1" x14ac:dyDescent="0.25">
      <c r="A19" s="7" t="s">
        <v>31</v>
      </c>
    </row>
    <row r="20" spans="1:1" x14ac:dyDescent="0.25">
      <c r="A20" s="7" t="s">
        <v>32</v>
      </c>
    </row>
    <row r="21" spans="1:1" x14ac:dyDescent="0.25">
      <c r="A21" s="7" t="s">
        <v>33</v>
      </c>
    </row>
    <row r="22" spans="1:1" x14ac:dyDescent="0.25">
      <c r="A22" s="7" t="s">
        <v>34</v>
      </c>
    </row>
    <row r="23" spans="1:1" x14ac:dyDescent="0.25">
      <c r="A23" s="7" t="s">
        <v>35</v>
      </c>
    </row>
    <row r="24" spans="1:1" x14ac:dyDescent="0.25">
      <c r="A24" s="7" t="s">
        <v>36</v>
      </c>
    </row>
    <row r="25" spans="1:1" x14ac:dyDescent="0.25">
      <c r="A25" s="7"/>
    </row>
    <row r="27" spans="1:1" ht="37.5" x14ac:dyDescent="0.25">
      <c r="A27" s="24" t="s">
        <v>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567-D7C9-4C16-A6F8-4BAB0C5B33D8}">
  <dimension ref="A4:U48"/>
  <sheetViews>
    <sheetView workbookViewId="0">
      <selection activeCell="A20" sqref="A20"/>
    </sheetView>
  </sheetViews>
  <sheetFormatPr defaultRowHeight="12.5" x14ac:dyDescent="0.25"/>
  <cols>
    <col min="1" max="1" width="50" customWidth="1"/>
    <col min="2" max="200" width="12" customWidth="1"/>
  </cols>
  <sheetData>
    <row r="4" spans="1:21" x14ac:dyDescent="0.25">
      <c r="A4" s="25" t="s">
        <v>0</v>
      </c>
    </row>
    <row r="5" spans="1:21" ht="20" x14ac:dyDescent="0.4">
      <c r="A5" s="26" t="s">
        <v>1</v>
      </c>
    </row>
    <row r="7" spans="1:21" x14ac:dyDescent="0.25">
      <c r="A7" s="3" t="s">
        <v>2</v>
      </c>
    </row>
    <row r="10" spans="1:21" ht="13" x14ac:dyDescent="0.25">
      <c r="A10" s="27" t="s">
        <v>53</v>
      </c>
    </row>
    <row r="11" spans="1:21" ht="13" x14ac:dyDescent="0.25">
      <c r="A11" s="28" t="s">
        <v>4</v>
      </c>
      <c r="B11" s="29" t="s">
        <v>14</v>
      </c>
      <c r="C11" s="29" t="s">
        <v>13</v>
      </c>
      <c r="D11" s="29" t="s">
        <v>12</v>
      </c>
      <c r="E11" s="29" t="s">
        <v>11</v>
      </c>
      <c r="F11" s="29" t="s">
        <v>10</v>
      </c>
      <c r="G11" s="29" t="s">
        <v>9</v>
      </c>
      <c r="H11" s="29" t="s">
        <v>8</v>
      </c>
      <c r="I11" s="29" t="s">
        <v>7</v>
      </c>
      <c r="J11" s="29" t="s">
        <v>6</v>
      </c>
      <c r="K11" s="29" t="s">
        <v>5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3" x14ac:dyDescent="0.25">
      <c r="A12" s="28" t="s">
        <v>15</v>
      </c>
      <c r="B12" s="29" t="s">
        <v>16</v>
      </c>
      <c r="C12" s="29" t="s">
        <v>16</v>
      </c>
      <c r="D12" s="29" t="s">
        <v>16</v>
      </c>
      <c r="E12" s="29" t="s">
        <v>16</v>
      </c>
      <c r="F12" s="29" t="s">
        <v>16</v>
      </c>
      <c r="G12" s="29" t="s">
        <v>16</v>
      </c>
      <c r="H12" s="29" t="s">
        <v>16</v>
      </c>
      <c r="I12" s="29" t="s">
        <v>16</v>
      </c>
      <c r="J12" s="29" t="s">
        <v>16</v>
      </c>
      <c r="K12" s="29" t="s">
        <v>16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</row>
    <row r="13" spans="1:21" ht="13" x14ac:dyDescent="0.25">
      <c r="A13" s="28" t="s">
        <v>17</v>
      </c>
      <c r="B13" s="29" t="s">
        <v>18</v>
      </c>
      <c r="C13" s="29" t="s">
        <v>18</v>
      </c>
      <c r="D13" s="29" t="s">
        <v>18</v>
      </c>
      <c r="E13" s="29" t="s">
        <v>18</v>
      </c>
      <c r="F13" s="29" t="s">
        <v>18</v>
      </c>
      <c r="G13" s="29" t="s">
        <v>18</v>
      </c>
      <c r="H13" s="29" t="s">
        <v>18</v>
      </c>
      <c r="I13" s="29" t="s">
        <v>18</v>
      </c>
      <c r="J13" s="29" t="s">
        <v>18</v>
      </c>
      <c r="K13" s="29" t="s">
        <v>18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 spans="1:21" ht="13" x14ac:dyDescent="0.25">
      <c r="A14" s="28" t="s">
        <v>19</v>
      </c>
      <c r="B14" s="29" t="s">
        <v>20</v>
      </c>
      <c r="C14" s="29" t="s">
        <v>20</v>
      </c>
      <c r="D14" s="29" t="s">
        <v>20</v>
      </c>
      <c r="E14" s="29" t="s">
        <v>20</v>
      </c>
      <c r="F14" s="29" t="s">
        <v>20</v>
      </c>
      <c r="G14" s="29" t="s">
        <v>20</v>
      </c>
      <c r="H14" s="29" t="s">
        <v>20</v>
      </c>
      <c r="I14" s="29" t="s">
        <v>20</v>
      </c>
      <c r="J14" s="29" t="s">
        <v>20</v>
      </c>
      <c r="K14" s="29" t="s">
        <v>20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</row>
    <row r="15" spans="1:21" ht="13" x14ac:dyDescent="0.25">
      <c r="A15" s="28" t="s">
        <v>21</v>
      </c>
      <c r="B15" s="29" t="s">
        <v>22</v>
      </c>
      <c r="C15" s="29" t="s">
        <v>22</v>
      </c>
      <c r="D15" s="29" t="s">
        <v>22</v>
      </c>
      <c r="E15" s="29" t="s">
        <v>22</v>
      </c>
      <c r="F15" s="29" t="s">
        <v>22</v>
      </c>
      <c r="G15" s="29" t="s">
        <v>22</v>
      </c>
      <c r="H15" s="29" t="s">
        <v>22</v>
      </c>
      <c r="I15" s="29" t="s">
        <v>22</v>
      </c>
      <c r="J15" s="29" t="s">
        <v>22</v>
      </c>
      <c r="K15" s="29" t="s">
        <v>22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</row>
    <row r="16" spans="1:21" x14ac:dyDescent="0.25">
      <c r="A16" s="7" t="s">
        <v>54</v>
      </c>
      <c r="B16" s="8">
        <v>3852000</v>
      </c>
      <c r="C16" s="8">
        <v>3138000</v>
      </c>
      <c r="D16" s="8">
        <v>3808000</v>
      </c>
      <c r="E16" s="8">
        <v>4249000</v>
      </c>
      <c r="F16" s="8">
        <v>4466000</v>
      </c>
      <c r="G16" s="8">
        <v>8348000</v>
      </c>
      <c r="H16" s="8">
        <v>9889000</v>
      </c>
      <c r="I16" s="8">
        <v>8574000</v>
      </c>
      <c r="J16" s="8">
        <v>7441000</v>
      </c>
      <c r="K16" s="8">
        <v>9860000</v>
      </c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7" t="s">
        <v>55</v>
      </c>
      <c r="B17" s="8">
        <v>2072000</v>
      </c>
      <c r="C17" s="8">
        <v>2319000</v>
      </c>
      <c r="D17" s="8">
        <v>2371000</v>
      </c>
      <c r="E17" s="8">
        <v>996000</v>
      </c>
      <c r="F17" s="8">
        <v>197000</v>
      </c>
      <c r="G17" s="8">
        <v>439000</v>
      </c>
      <c r="H17" s="8">
        <v>3587000</v>
      </c>
      <c r="I17" s="8">
        <v>4423000</v>
      </c>
      <c r="J17" s="8">
        <v>3234000</v>
      </c>
      <c r="K17" s="8">
        <v>1722000</v>
      </c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7" t="s">
        <v>56</v>
      </c>
      <c r="B18" s="8">
        <v>5924000</v>
      </c>
      <c r="C18" s="8">
        <v>5457000</v>
      </c>
      <c r="D18" s="8">
        <v>6179000</v>
      </c>
      <c r="E18" s="8">
        <v>5245000</v>
      </c>
      <c r="F18" s="8">
        <v>4663000</v>
      </c>
      <c r="G18" s="8">
        <v>8787000</v>
      </c>
      <c r="H18" s="8">
        <v>13476000</v>
      </c>
      <c r="I18" s="8">
        <v>12997000</v>
      </c>
      <c r="J18" s="8">
        <v>10675000</v>
      </c>
      <c r="K18" s="8">
        <v>11582000</v>
      </c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7" t="s">
        <v>57</v>
      </c>
      <c r="B19" s="8">
        <v>3358000</v>
      </c>
      <c r="C19" s="8">
        <v>3241000</v>
      </c>
      <c r="D19" s="8">
        <v>3677000</v>
      </c>
      <c r="E19" s="8">
        <v>3498000</v>
      </c>
      <c r="F19" s="8">
        <v>4272000</v>
      </c>
      <c r="G19" s="8">
        <v>2749000</v>
      </c>
      <c r="H19" s="8">
        <v>4463000</v>
      </c>
      <c r="I19" s="8">
        <v>4667000</v>
      </c>
      <c r="J19" s="8">
        <v>4131000</v>
      </c>
      <c r="K19" s="8">
        <v>4427000</v>
      </c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7" t="s">
        <v>58</v>
      </c>
      <c r="B20" s="8">
        <v>4337000</v>
      </c>
      <c r="C20" s="8">
        <v>4838000</v>
      </c>
      <c r="D20" s="8">
        <v>5055000</v>
      </c>
      <c r="E20" s="8">
        <v>5261000</v>
      </c>
      <c r="F20" s="8">
        <v>5622000</v>
      </c>
      <c r="G20" s="8">
        <v>7367000</v>
      </c>
      <c r="H20" s="8">
        <v>6854000</v>
      </c>
      <c r="I20" s="8">
        <v>8420000</v>
      </c>
      <c r="J20" s="8">
        <v>8454000</v>
      </c>
      <c r="K20" s="8">
        <v>7519000</v>
      </c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7" t="s">
        <v>59</v>
      </c>
      <c r="B21" s="8">
        <v>389000</v>
      </c>
      <c r="C21" s="9" t="s">
        <v>23</v>
      </c>
      <c r="D21" s="9" t="s">
        <v>23</v>
      </c>
      <c r="E21" s="9" t="s">
        <v>23</v>
      </c>
      <c r="F21" s="9" t="s">
        <v>23</v>
      </c>
      <c r="G21" s="9" t="s">
        <v>23</v>
      </c>
      <c r="H21" s="9" t="s">
        <v>23</v>
      </c>
      <c r="I21" s="9" t="s">
        <v>23</v>
      </c>
      <c r="J21" s="9" t="s">
        <v>23</v>
      </c>
      <c r="K21" s="9" t="s">
        <v>23</v>
      </c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 s="7" t="s">
        <v>60</v>
      </c>
      <c r="B22" s="9" t="s">
        <v>23</v>
      </c>
      <c r="C22" s="9" t="s">
        <v>23</v>
      </c>
      <c r="D22" s="9" t="s">
        <v>23</v>
      </c>
      <c r="E22" s="9" t="s">
        <v>23</v>
      </c>
      <c r="F22" s="9" t="s">
        <v>23</v>
      </c>
      <c r="G22" s="9" t="s">
        <v>23</v>
      </c>
      <c r="H22" s="9" t="s">
        <v>23</v>
      </c>
      <c r="I22" s="9" t="s">
        <v>23</v>
      </c>
      <c r="J22" s="9" t="s">
        <v>23</v>
      </c>
      <c r="K22" s="8">
        <v>1854000</v>
      </c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7" t="s">
        <v>61</v>
      </c>
      <c r="B23" s="8">
        <v>1968000</v>
      </c>
      <c r="C23" s="8">
        <v>1489000</v>
      </c>
      <c r="D23" s="8">
        <v>1150000</v>
      </c>
      <c r="E23" s="8">
        <v>1130000</v>
      </c>
      <c r="F23" s="8">
        <v>1968000</v>
      </c>
      <c r="G23" s="8">
        <v>1653000</v>
      </c>
      <c r="H23" s="8">
        <v>1498000</v>
      </c>
      <c r="I23" s="8">
        <v>2129000</v>
      </c>
      <c r="J23" s="8">
        <v>1942000</v>
      </c>
      <c r="K23" s="8"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7" t="s">
        <v>62</v>
      </c>
      <c r="B24" s="8">
        <v>15976000</v>
      </c>
      <c r="C24" s="8">
        <v>15025000</v>
      </c>
      <c r="D24" s="8">
        <v>16061000</v>
      </c>
      <c r="E24" s="8">
        <v>15134000</v>
      </c>
      <c r="F24" s="8">
        <v>16525000</v>
      </c>
      <c r="G24" s="8">
        <v>20556000</v>
      </c>
      <c r="H24" s="8">
        <v>26291000</v>
      </c>
      <c r="I24" s="8">
        <v>28213000</v>
      </c>
      <c r="J24" s="8">
        <v>25202000</v>
      </c>
      <c r="K24" s="8">
        <v>25382000</v>
      </c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7" t="s">
        <v>63</v>
      </c>
      <c r="B25" s="8">
        <v>6352000</v>
      </c>
      <c r="C25" s="8">
        <v>7038000</v>
      </c>
      <c r="D25" s="8">
        <v>7958000</v>
      </c>
      <c r="E25" s="8">
        <v>8891000</v>
      </c>
      <c r="F25" s="8">
        <v>9469000</v>
      </c>
      <c r="G25" s="8">
        <v>9661000</v>
      </c>
      <c r="H25" s="8">
        <v>10061000</v>
      </c>
      <c r="I25" s="8">
        <v>10097000</v>
      </c>
      <c r="J25" s="8">
        <v>10715000</v>
      </c>
      <c r="K25" s="8">
        <v>10914000</v>
      </c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 t="s">
        <v>64</v>
      </c>
      <c r="B26" s="8">
        <v>3341000</v>
      </c>
      <c r="C26" s="8">
        <v>3518000</v>
      </c>
      <c r="D26" s="8">
        <v>3969000</v>
      </c>
      <c r="E26" s="8">
        <v>4437000</v>
      </c>
      <c r="F26" s="8">
        <v>4725000</v>
      </c>
      <c r="G26" s="8">
        <v>4795000</v>
      </c>
      <c r="H26" s="8">
        <v>5157000</v>
      </c>
      <c r="I26" s="8">
        <v>5306000</v>
      </c>
      <c r="J26" s="8">
        <v>5634000</v>
      </c>
      <c r="K26" s="8">
        <v>5914000</v>
      </c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5">
      <c r="A27" s="7" t="s">
        <v>65</v>
      </c>
      <c r="B27" s="8">
        <v>3011000</v>
      </c>
      <c r="C27" s="8">
        <v>3520000</v>
      </c>
      <c r="D27" s="8">
        <v>3989000</v>
      </c>
      <c r="E27" s="8">
        <v>4454000</v>
      </c>
      <c r="F27" s="8">
        <v>4744000</v>
      </c>
      <c r="G27" s="8">
        <v>4866000</v>
      </c>
      <c r="H27" s="8">
        <v>4904000</v>
      </c>
      <c r="I27" s="8">
        <v>4791000</v>
      </c>
      <c r="J27" s="8">
        <v>5081000</v>
      </c>
      <c r="K27" s="8">
        <v>5000000</v>
      </c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25">
      <c r="A28" s="7" t="s">
        <v>66</v>
      </c>
      <c r="B28" s="8">
        <v>412000</v>
      </c>
      <c r="C28" s="8">
        <v>412000</v>
      </c>
      <c r="D28" s="8">
        <v>422000</v>
      </c>
      <c r="E28" s="8">
        <v>439000</v>
      </c>
      <c r="F28" s="8">
        <v>437000</v>
      </c>
      <c r="G28" s="8">
        <v>497000</v>
      </c>
      <c r="H28" s="8">
        <v>511000</v>
      </c>
      <c r="I28" s="8">
        <v>570000</v>
      </c>
      <c r="J28" s="8">
        <v>555000</v>
      </c>
      <c r="K28" s="8">
        <v>499000</v>
      </c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5">
      <c r="A29" s="7" t="s">
        <v>67</v>
      </c>
      <c r="B29" s="8">
        <v>2201000</v>
      </c>
      <c r="C29" s="8">
        <v>2439000</v>
      </c>
      <c r="D29" s="8">
        <v>2787000</v>
      </c>
      <c r="E29" s="8">
        <v>2509000</v>
      </c>
      <c r="F29" s="8">
        <v>2011000</v>
      </c>
      <c r="G29" s="8">
        <v>5423000</v>
      </c>
      <c r="H29" s="8">
        <v>6034000</v>
      </c>
      <c r="I29" s="8">
        <v>6747000</v>
      </c>
      <c r="J29" s="8">
        <v>6693000</v>
      </c>
      <c r="K29" s="8">
        <v>7229000</v>
      </c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25">
      <c r="A30" s="7" t="s">
        <v>68</v>
      </c>
      <c r="B30" s="8">
        <v>21600000</v>
      </c>
      <c r="C30" s="8">
        <v>21396000</v>
      </c>
      <c r="D30" s="8">
        <v>23259000</v>
      </c>
      <c r="E30" s="8">
        <v>22536000</v>
      </c>
      <c r="F30" s="8">
        <v>23717000</v>
      </c>
      <c r="G30" s="8">
        <v>31342000</v>
      </c>
      <c r="H30" s="8">
        <v>37740000</v>
      </c>
      <c r="I30" s="8">
        <v>40321000</v>
      </c>
      <c r="J30" s="8">
        <v>37531000</v>
      </c>
      <c r="K30" s="8">
        <v>38110000</v>
      </c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5">
      <c r="A31" s="7" t="s">
        <v>69</v>
      </c>
      <c r="B31" s="8">
        <v>6082000</v>
      </c>
      <c r="C31" s="8">
        <v>5228000</v>
      </c>
      <c r="D31" s="8">
        <v>5059000</v>
      </c>
      <c r="E31" s="8">
        <v>5548000</v>
      </c>
      <c r="F31" s="8">
        <v>7622000</v>
      </c>
      <c r="G31" s="8">
        <v>7432000</v>
      </c>
      <c r="H31" s="8">
        <v>8899000</v>
      </c>
      <c r="I31" s="8">
        <v>9578000</v>
      </c>
      <c r="J31" s="8">
        <v>8585000</v>
      </c>
      <c r="K31" s="8">
        <v>8576000</v>
      </c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25">
      <c r="A32" s="7" t="s">
        <v>70</v>
      </c>
      <c r="B32" s="8">
        <v>2131000</v>
      </c>
      <c r="C32" s="8">
        <v>2191000</v>
      </c>
      <c r="D32" s="8">
        <v>2048000</v>
      </c>
      <c r="E32" s="8">
        <v>2279000</v>
      </c>
      <c r="F32" s="8">
        <v>2612000</v>
      </c>
      <c r="G32" s="8">
        <v>2248000</v>
      </c>
      <c r="H32" s="8">
        <v>2836000</v>
      </c>
      <c r="I32" s="8">
        <v>3358000</v>
      </c>
      <c r="J32" s="8">
        <v>2862000</v>
      </c>
      <c r="K32" s="8">
        <v>2851000</v>
      </c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7" t="s">
        <v>71</v>
      </c>
      <c r="B33" s="8">
        <v>3951000</v>
      </c>
      <c r="C33" s="8">
        <v>3037000</v>
      </c>
      <c r="D33" s="8">
        <v>3011000</v>
      </c>
      <c r="E33" s="8">
        <v>3269000</v>
      </c>
      <c r="F33" s="8">
        <v>5010000</v>
      </c>
      <c r="G33" s="8">
        <v>5184000</v>
      </c>
      <c r="H33" s="8">
        <v>6063000</v>
      </c>
      <c r="I33" s="8">
        <v>6220000</v>
      </c>
      <c r="J33" s="8">
        <v>5723000</v>
      </c>
      <c r="K33" s="8">
        <v>5725000</v>
      </c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5">
      <c r="A34" s="7" t="s">
        <v>72</v>
      </c>
      <c r="B34" s="8">
        <v>181000</v>
      </c>
      <c r="C34" s="8">
        <v>45000</v>
      </c>
      <c r="D34" s="8">
        <v>331000</v>
      </c>
      <c r="E34" s="8">
        <v>342000</v>
      </c>
      <c r="F34" s="8">
        <v>15000</v>
      </c>
      <c r="G34" s="8">
        <v>251000</v>
      </c>
      <c r="H34" s="8">
        <v>2000</v>
      </c>
      <c r="I34" s="8">
        <v>510000</v>
      </c>
      <c r="J34" s="8">
        <v>6000</v>
      </c>
      <c r="K34" s="8">
        <v>1006000</v>
      </c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7" t="s">
        <v>73</v>
      </c>
      <c r="B35" s="8">
        <v>71000</v>
      </c>
      <c r="C35" s="8">
        <v>85000</v>
      </c>
      <c r="D35" s="8">
        <v>84000</v>
      </c>
      <c r="E35" s="8">
        <v>150000</v>
      </c>
      <c r="F35" s="8">
        <v>229000</v>
      </c>
      <c r="G35" s="8">
        <v>601000</v>
      </c>
      <c r="H35" s="8">
        <v>773000</v>
      </c>
      <c r="I35" s="8">
        <v>642000</v>
      </c>
      <c r="J35" s="8">
        <v>665000</v>
      </c>
      <c r="K35" s="8">
        <v>1011000</v>
      </c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5">
      <c r="A36" s="7" t="s">
        <v>74</v>
      </c>
      <c r="B36" s="8">
        <v>6334000</v>
      </c>
      <c r="C36" s="8">
        <v>5358000</v>
      </c>
      <c r="D36" s="8">
        <v>5474000</v>
      </c>
      <c r="E36" s="8">
        <v>6040000</v>
      </c>
      <c r="F36" s="8">
        <v>7866000</v>
      </c>
      <c r="G36" s="8">
        <v>8284000</v>
      </c>
      <c r="H36" s="8">
        <v>9674000</v>
      </c>
      <c r="I36" s="8">
        <v>10730000</v>
      </c>
      <c r="J36" s="8">
        <v>9256000</v>
      </c>
      <c r="K36" s="8">
        <v>10593000</v>
      </c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7" t="s">
        <v>75</v>
      </c>
      <c r="B37" s="8">
        <v>1079000</v>
      </c>
      <c r="C37" s="8">
        <v>2010000</v>
      </c>
      <c r="D37" s="8">
        <v>3471000</v>
      </c>
      <c r="E37" s="8">
        <v>3468000</v>
      </c>
      <c r="F37" s="8">
        <v>3464000</v>
      </c>
      <c r="G37" s="8">
        <v>9406000</v>
      </c>
      <c r="H37" s="8">
        <v>9413000</v>
      </c>
      <c r="I37" s="8">
        <v>8920000</v>
      </c>
      <c r="J37" s="8">
        <v>8927000</v>
      </c>
      <c r="K37" s="8">
        <v>7903000</v>
      </c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5">
      <c r="A38" s="7" t="s">
        <v>76</v>
      </c>
      <c r="B38" s="9" t="s">
        <v>23</v>
      </c>
      <c r="C38" s="9" t="s">
        <v>23</v>
      </c>
      <c r="D38" s="9" t="s">
        <v>23</v>
      </c>
      <c r="E38" s="9" t="s">
        <v>23</v>
      </c>
      <c r="F38" s="9" t="s">
        <v>23</v>
      </c>
      <c r="G38" s="9" t="s">
        <v>23</v>
      </c>
      <c r="H38" s="9" t="s">
        <v>23</v>
      </c>
      <c r="I38" s="9" t="s">
        <v>23</v>
      </c>
      <c r="J38" s="9" t="s">
        <v>23</v>
      </c>
      <c r="K38" s="8">
        <v>2618000</v>
      </c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5">
      <c r="A39" s="7" t="s">
        <v>77</v>
      </c>
      <c r="B39" s="8">
        <v>1480000</v>
      </c>
      <c r="C39" s="8">
        <v>1770000</v>
      </c>
      <c r="D39" s="8">
        <v>1907000</v>
      </c>
      <c r="E39" s="8">
        <v>3216000</v>
      </c>
      <c r="F39" s="8">
        <v>3347000</v>
      </c>
      <c r="G39" s="8">
        <v>5597000</v>
      </c>
      <c r="H39" s="8">
        <v>5886000</v>
      </c>
      <c r="I39" s="8">
        <v>5390000</v>
      </c>
      <c r="J39" s="8">
        <v>5344000</v>
      </c>
      <c r="K39" s="8">
        <v>2566000</v>
      </c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25">
      <c r="A40" s="7" t="s">
        <v>78</v>
      </c>
      <c r="B40" s="8">
        <v>8893000</v>
      </c>
      <c r="C40" s="8">
        <v>9138000</v>
      </c>
      <c r="D40" s="8">
        <v>10852000</v>
      </c>
      <c r="E40" s="8">
        <v>12724000</v>
      </c>
      <c r="F40" s="8">
        <v>14677000</v>
      </c>
      <c r="G40" s="8">
        <v>23287000</v>
      </c>
      <c r="H40" s="8">
        <v>24973000</v>
      </c>
      <c r="I40" s="8">
        <v>25040000</v>
      </c>
      <c r="J40" s="8">
        <v>23527000</v>
      </c>
      <c r="K40" s="8">
        <v>23680000</v>
      </c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5">
      <c r="A41" s="7" t="s">
        <v>79</v>
      </c>
      <c r="B41" s="8">
        <v>3000</v>
      </c>
      <c r="C41" s="8">
        <v>3000</v>
      </c>
      <c r="D41" s="8">
        <v>3000</v>
      </c>
      <c r="E41" s="8">
        <v>3000</v>
      </c>
      <c r="F41" s="8">
        <v>3000</v>
      </c>
      <c r="G41" s="8">
        <v>3000</v>
      </c>
      <c r="H41" s="8">
        <v>3000</v>
      </c>
      <c r="I41" s="8">
        <v>3000</v>
      </c>
      <c r="J41" s="8">
        <v>3000</v>
      </c>
      <c r="K41" s="8">
        <v>3000</v>
      </c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5">
      <c r="A42" s="7" t="s">
        <v>80</v>
      </c>
      <c r="B42" s="8">
        <v>6773000</v>
      </c>
      <c r="C42" s="8">
        <v>7786000</v>
      </c>
      <c r="D42" s="8">
        <v>8638000</v>
      </c>
      <c r="E42" s="8">
        <v>6384000</v>
      </c>
      <c r="F42" s="8">
        <v>7163000</v>
      </c>
      <c r="G42" s="8">
        <v>8299000</v>
      </c>
      <c r="H42" s="8">
        <v>9965000</v>
      </c>
      <c r="I42" s="8">
        <v>11484000</v>
      </c>
      <c r="J42" s="8">
        <v>12412000</v>
      </c>
      <c r="K42" s="8">
        <v>13409000</v>
      </c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25">
      <c r="A43" s="7" t="s">
        <v>81</v>
      </c>
      <c r="B43" s="8">
        <v>4685000</v>
      </c>
      <c r="C43" s="8">
        <v>4151000</v>
      </c>
      <c r="D43" s="8">
        <v>3979000</v>
      </c>
      <c r="E43" s="8">
        <v>3517000</v>
      </c>
      <c r="F43" s="8">
        <v>1643000</v>
      </c>
      <c r="G43" s="8">
        <v>-191000</v>
      </c>
      <c r="H43" s="8">
        <v>3179000</v>
      </c>
      <c r="I43" s="8">
        <v>3476000</v>
      </c>
      <c r="J43" s="8">
        <v>1358000</v>
      </c>
      <c r="K43" s="8">
        <v>965000</v>
      </c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x14ac:dyDescent="0.25">
      <c r="A44" s="7" t="s">
        <v>82</v>
      </c>
      <c r="B44" s="8">
        <v>1246000</v>
      </c>
      <c r="C44" s="8">
        <v>318000</v>
      </c>
      <c r="D44" s="8">
        <v>-213000</v>
      </c>
      <c r="E44" s="8">
        <v>-92000</v>
      </c>
      <c r="F44" s="8">
        <v>231000</v>
      </c>
      <c r="G44" s="8">
        <v>-56000</v>
      </c>
      <c r="H44" s="8">
        <v>-380000</v>
      </c>
      <c r="I44" s="8">
        <v>318000</v>
      </c>
      <c r="J44" s="8">
        <v>231000</v>
      </c>
      <c r="K44" s="8">
        <v>53000</v>
      </c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x14ac:dyDescent="0.25">
      <c r="A45" s="7" t="s">
        <v>83</v>
      </c>
      <c r="B45" s="8">
        <v>-11000</v>
      </c>
      <c r="C45" s="8">
        <v>-207000</v>
      </c>
      <c r="D45" s="8">
        <v>-191000</v>
      </c>
      <c r="E45" s="8">
        <v>-173000</v>
      </c>
      <c r="F45" s="8">
        <v>-346000</v>
      </c>
      <c r="G45" s="8">
        <v>-494000</v>
      </c>
      <c r="H45" s="8">
        <v>2000</v>
      </c>
      <c r="I45" s="8">
        <v>-520000</v>
      </c>
      <c r="J45" s="8">
        <v>-253000</v>
      </c>
      <c r="K45" s="8">
        <v>-256000</v>
      </c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x14ac:dyDescent="0.25">
      <c r="A46" s="7" t="s">
        <v>84</v>
      </c>
      <c r="B46" s="8">
        <v>11000</v>
      </c>
      <c r="C46" s="8">
        <v>207000</v>
      </c>
      <c r="D46" s="8">
        <v>191000</v>
      </c>
      <c r="E46" s="8">
        <v>173000</v>
      </c>
      <c r="F46" s="8">
        <v>346000</v>
      </c>
      <c r="G46" s="8">
        <v>494000</v>
      </c>
      <c r="H46" s="8">
        <v>-2000</v>
      </c>
      <c r="I46" s="8">
        <v>520000</v>
      </c>
      <c r="J46" s="8">
        <v>253000</v>
      </c>
      <c r="K46" s="8">
        <v>256000</v>
      </c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25">
      <c r="A47" s="7" t="s">
        <v>85</v>
      </c>
      <c r="B47" s="8">
        <v>12707000</v>
      </c>
      <c r="C47" s="8">
        <v>12258000</v>
      </c>
      <c r="D47" s="8">
        <v>12407000</v>
      </c>
      <c r="E47" s="8">
        <v>9812000</v>
      </c>
      <c r="F47" s="8">
        <v>9040000</v>
      </c>
      <c r="G47" s="8">
        <v>8055000</v>
      </c>
      <c r="H47" s="8">
        <v>12767000</v>
      </c>
      <c r="I47" s="8">
        <v>15281000</v>
      </c>
      <c r="J47" s="8">
        <v>14004000</v>
      </c>
      <c r="K47" s="8">
        <v>14430000</v>
      </c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x14ac:dyDescent="0.25">
      <c r="A48" s="7" t="s">
        <v>86</v>
      </c>
      <c r="B48" s="8">
        <v>21600000</v>
      </c>
      <c r="C48" s="8">
        <v>21396000</v>
      </c>
      <c r="D48" s="8">
        <v>23259000</v>
      </c>
      <c r="E48" s="8">
        <v>22536000</v>
      </c>
      <c r="F48" s="8">
        <v>23717000</v>
      </c>
      <c r="G48" s="8">
        <v>31342000</v>
      </c>
      <c r="H48" s="8">
        <v>37740000</v>
      </c>
      <c r="I48" s="8">
        <v>40321000</v>
      </c>
      <c r="J48" s="8">
        <v>37531000</v>
      </c>
      <c r="K48" s="8">
        <v>38110000</v>
      </c>
      <c r="L48" s="7"/>
      <c r="M48" s="7"/>
      <c r="N48" s="7"/>
      <c r="O48" s="7"/>
      <c r="P48" s="7"/>
      <c r="Q48" s="7"/>
      <c r="R48" s="7"/>
      <c r="S48" s="7"/>
      <c r="T48" s="7"/>
      <c r="U48" s="7"/>
    </row>
  </sheetData>
  <sortState xmlns:xlrd2="http://schemas.microsoft.com/office/spreadsheetml/2017/richdata2" columnSort="1" ref="B11:T48">
    <sortCondition ref="B11:T1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0A77-6D60-4706-BBB7-CE10AD4D90DA}">
  <sheetPr>
    <tabColor rgb="FF92D050"/>
  </sheetPr>
  <dimension ref="A2:K30"/>
  <sheetViews>
    <sheetView workbookViewId="0">
      <selection activeCell="E21" sqref="E21"/>
    </sheetView>
  </sheetViews>
  <sheetFormatPr defaultRowHeight="12.5" x14ac:dyDescent="0.25"/>
  <cols>
    <col min="1" max="1" width="40.6328125" bestFit="1" customWidth="1"/>
    <col min="2" max="2" width="10.453125" bestFit="1" customWidth="1"/>
    <col min="3" max="11" width="9.90625" bestFit="1" customWidth="1"/>
  </cols>
  <sheetData>
    <row r="2" spans="1:11" ht="13" x14ac:dyDescent="0.3">
      <c r="B2" s="10" t="s">
        <v>45</v>
      </c>
      <c r="C2" s="10">
        <v>4</v>
      </c>
    </row>
    <row r="3" spans="1:11" x14ac:dyDescent="0.25">
      <c r="B3" s="12" t="s">
        <v>40</v>
      </c>
    </row>
    <row r="4" spans="1:11" x14ac:dyDescent="0.25">
      <c r="A4" s="1" t="s">
        <v>0</v>
      </c>
    </row>
    <row r="5" spans="1:11" ht="20" x14ac:dyDescent="0.4">
      <c r="A5" s="2" t="s">
        <v>1</v>
      </c>
    </row>
    <row r="7" spans="1:11" ht="13" x14ac:dyDescent="0.25">
      <c r="A7" s="4"/>
    </row>
    <row r="8" spans="1:11" ht="13" x14ac:dyDescent="0.25">
      <c r="A8" s="5" t="s">
        <v>4</v>
      </c>
      <c r="B8" t="str">
        <f>'Income Statement'!B11</f>
        <v>05/31/2015</v>
      </c>
      <c r="C8" t="str">
        <f>'Income Statement'!C11</f>
        <v>05/31/2016</v>
      </c>
      <c r="D8" t="str">
        <f>'Income Statement'!D11</f>
        <v>05/31/2017</v>
      </c>
      <c r="E8" t="str">
        <f>'Income Statement'!E11</f>
        <v>05/31/2018</v>
      </c>
      <c r="F8" t="str">
        <f>'Income Statement'!F11</f>
        <v>05/31/2019</v>
      </c>
      <c r="G8" t="str">
        <f>'Income Statement'!G11</f>
        <v>05/31/2020</v>
      </c>
      <c r="H8" t="str">
        <f>'Income Statement'!H11</f>
        <v>05/31/2021</v>
      </c>
      <c r="I8" t="str">
        <f>'Income Statement'!I11</f>
        <v>05/31/2022</v>
      </c>
      <c r="J8" t="str">
        <f>'Income Statement'!J11</f>
        <v>05/31/2023</v>
      </c>
      <c r="K8" t="str">
        <f>'Income Statement'!K11</f>
        <v>05/31/2024</v>
      </c>
    </row>
    <row r="10" spans="1:11" ht="37.5" x14ac:dyDescent="0.25">
      <c r="A10" s="24" t="s">
        <v>91</v>
      </c>
    </row>
    <row r="14" spans="1:11" ht="37.5" x14ac:dyDescent="0.25">
      <c r="A14" s="24" t="s">
        <v>90</v>
      </c>
    </row>
    <row r="18" spans="1:1" ht="37.5" x14ac:dyDescent="0.25">
      <c r="A18" s="24" t="s">
        <v>92</v>
      </c>
    </row>
    <row r="22" spans="1:1" ht="50" x14ac:dyDescent="0.25">
      <c r="A22" s="42" t="s">
        <v>87</v>
      </c>
    </row>
    <row r="26" spans="1:1" ht="50" x14ac:dyDescent="0.25">
      <c r="A26" s="24" t="s">
        <v>88</v>
      </c>
    </row>
    <row r="30" spans="1:1" x14ac:dyDescent="0.25">
      <c r="A30" s="11" t="s">
        <v>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3D58-894B-4B6A-B1EF-D62EFFAAD42A}">
  <sheetPr>
    <tabColor rgb="FF92D050"/>
  </sheetPr>
  <dimension ref="B2:H34"/>
  <sheetViews>
    <sheetView workbookViewId="0">
      <selection activeCell="C6" sqref="C6"/>
    </sheetView>
  </sheetViews>
  <sheetFormatPr defaultRowHeight="12.5" x14ac:dyDescent="0.25"/>
  <cols>
    <col min="2" max="2" width="74.453125" customWidth="1"/>
    <col min="3" max="3" width="14.81640625" bestFit="1" customWidth="1"/>
    <col min="4" max="5" width="13.81640625" bestFit="1" customWidth="1"/>
    <col min="6" max="6" width="14.81640625" bestFit="1" customWidth="1"/>
    <col min="7" max="7" width="13.81640625" bestFit="1" customWidth="1"/>
    <col min="8" max="8" width="12.1796875" bestFit="1" customWidth="1"/>
  </cols>
  <sheetData>
    <row r="2" spans="2:6" ht="13" x14ac:dyDescent="0.3">
      <c r="B2" s="12"/>
      <c r="C2" s="10" t="s">
        <v>45</v>
      </c>
      <c r="D2" s="10">
        <v>4</v>
      </c>
    </row>
    <row r="3" spans="2:6" x14ac:dyDescent="0.25">
      <c r="C3" s="12" t="s">
        <v>40</v>
      </c>
    </row>
    <row r="5" spans="2:6" ht="25.5" x14ac:dyDescent="0.3">
      <c r="B5" s="42" t="s">
        <v>104</v>
      </c>
      <c r="C5" s="30" t="s">
        <v>108</v>
      </c>
    </row>
    <row r="7" spans="2:6" ht="37.5" x14ac:dyDescent="0.25">
      <c r="B7" s="42" t="s">
        <v>105</v>
      </c>
    </row>
    <row r="8" spans="2:6" x14ac:dyDescent="0.25">
      <c r="B8" s="31"/>
    </row>
    <row r="9" spans="2:6" ht="25" x14ac:dyDescent="0.25">
      <c r="B9" s="42" t="s">
        <v>106</v>
      </c>
    </row>
    <row r="10" spans="2:6" x14ac:dyDescent="0.25">
      <c r="B10" s="31"/>
    </row>
    <row r="11" spans="2:6" ht="37.5" x14ac:dyDescent="0.25">
      <c r="B11" s="24" t="s">
        <v>95</v>
      </c>
    </row>
    <row r="12" spans="2:6" x14ac:dyDescent="0.25">
      <c r="B12" s="31"/>
    </row>
    <row r="13" spans="2:6" ht="50" x14ac:dyDescent="0.25">
      <c r="B13" s="24" t="s">
        <v>97</v>
      </c>
    </row>
    <row r="15" spans="2:6" x14ac:dyDescent="0.25">
      <c r="B15" s="11" t="s">
        <v>93</v>
      </c>
      <c r="E15" s="12"/>
      <c r="F15" s="32"/>
    </row>
    <row r="16" spans="2:6" ht="25" x14ac:dyDescent="0.25">
      <c r="B16" s="42" t="s">
        <v>107</v>
      </c>
      <c r="C16" s="8"/>
    </row>
    <row r="18" spans="2:8" ht="13" x14ac:dyDescent="0.3">
      <c r="B18" s="10" t="s">
        <v>94</v>
      </c>
    </row>
    <row r="19" spans="2:8" ht="25" x14ac:dyDescent="0.25">
      <c r="B19" s="24" t="s">
        <v>96</v>
      </c>
      <c r="E19" s="33"/>
    </row>
    <row r="21" spans="2:8" x14ac:dyDescent="0.25">
      <c r="B21" s="12"/>
      <c r="C21" s="32"/>
      <c r="D21" s="32"/>
      <c r="E21" s="32"/>
      <c r="F21" s="32"/>
      <c r="G21" s="33"/>
    </row>
    <row r="22" spans="2:8" x14ac:dyDescent="0.25">
      <c r="C22" s="36"/>
      <c r="E22" s="37"/>
      <c r="G22" s="38"/>
      <c r="H22" s="38"/>
    </row>
    <row r="23" spans="2:8" x14ac:dyDescent="0.25">
      <c r="C23" s="36"/>
      <c r="E23" s="37"/>
      <c r="G23" s="38"/>
      <c r="H23" s="38"/>
    </row>
    <row r="24" spans="2:8" x14ac:dyDescent="0.25">
      <c r="B24" s="34"/>
      <c r="C24" s="36"/>
      <c r="E24" s="37"/>
      <c r="F24" s="19"/>
      <c r="G24" s="38"/>
      <c r="H24" s="38"/>
    </row>
    <row r="25" spans="2:8" x14ac:dyDescent="0.25">
      <c r="C25" s="36"/>
      <c r="E25" s="37"/>
      <c r="F25" s="19"/>
      <c r="G25" s="38"/>
      <c r="H25" s="38"/>
    </row>
    <row r="26" spans="2:8" x14ac:dyDescent="0.25">
      <c r="B26" s="34"/>
      <c r="C26" s="36"/>
      <c r="E26" s="37"/>
      <c r="F26" s="19"/>
      <c r="G26" s="38"/>
      <c r="H26" s="38"/>
    </row>
    <row r="27" spans="2:8" x14ac:dyDescent="0.25">
      <c r="C27" s="36"/>
      <c r="E27" s="37"/>
      <c r="F27" s="18"/>
    </row>
    <row r="28" spans="2:8" x14ac:dyDescent="0.25">
      <c r="H28" s="38"/>
    </row>
    <row r="29" spans="2:8" x14ac:dyDescent="0.25">
      <c r="B29" s="12"/>
      <c r="C29" s="18"/>
    </row>
    <row r="30" spans="2:8" x14ac:dyDescent="0.25">
      <c r="H30" s="39"/>
    </row>
    <row r="31" spans="2:8" ht="13" x14ac:dyDescent="0.3">
      <c r="B31" s="12"/>
      <c r="C31" s="35"/>
    </row>
    <row r="34" spans="2:2" x14ac:dyDescent="0.25">
      <c r="B34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 Price</vt:lpstr>
      <vt:lpstr>Income Statement</vt:lpstr>
      <vt:lpstr>Common Size IS</vt:lpstr>
      <vt:lpstr>Balance Sheet</vt:lpstr>
      <vt:lpstr>Ratios</vt:lpstr>
      <vt:lpstr>Valuation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Nikanor Volkov</cp:lastModifiedBy>
  <dcterms:created xsi:type="dcterms:W3CDTF">2024-09-12T01:19:16Z</dcterms:created>
  <dcterms:modified xsi:type="dcterms:W3CDTF">2024-09-12T16:34:54Z</dcterms:modified>
  <cp:category/>
</cp:coreProperties>
</file>