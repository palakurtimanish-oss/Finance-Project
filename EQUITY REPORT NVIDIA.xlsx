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\Desktop\Semester III\"/>
    </mc:Choice>
  </mc:AlternateContent>
  <xr:revisionPtr revIDLastSave="0" documentId="13_ncr:1_{F164B9D4-1DFD-4C1D-A142-FF0B341E3258}" xr6:coauthVersionLast="47" xr6:coauthVersionMax="47" xr10:uidLastSave="{00000000-0000-0000-0000-000000000000}"/>
  <bookViews>
    <workbookView xWindow="-120" yWindow="-120" windowWidth="20730" windowHeight="11160" tabRatio="868" firstSheet="5" activeTab="5" xr2:uid="{C0A86F67-9907-489A-9402-DD7A62ACD578}"/>
  </bookViews>
  <sheets>
    <sheet name="BALANCE SHEET " sheetId="1" r:id="rId1"/>
    <sheet name="Percentage Balance sheet" sheetId="6" r:id="rId2"/>
    <sheet name="INCOME STATEMENT" sheetId="2" r:id="rId3"/>
    <sheet name="Income statement c" sheetId="5" r:id="rId4"/>
    <sheet name="CASHFLOW STATEMENT" sheetId="3" r:id="rId5"/>
    <sheet name="FINANCIAL RATIOS" sheetId="4" r:id="rId6"/>
    <sheet name="Projected Financial statement" sheetId="18" r:id="rId7"/>
    <sheet name="Relative Value" sheetId="20" r:id="rId8"/>
    <sheet name="COMPARISION" sheetId="7" r:id="rId9"/>
    <sheet name="AMD" sheetId="8" r:id="rId10"/>
    <sheet name="INTEL" sheetId="19" r:id="rId11"/>
    <sheet name="QUALCOMM" sheetId="10" r:id="rId12"/>
    <sheet name="Sheet1" sheetId="2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D40" i="2"/>
  <c r="E40" i="2"/>
  <c r="F40" i="2"/>
  <c r="G40" i="2"/>
  <c r="H40" i="2"/>
  <c r="I40" i="2"/>
  <c r="J40" i="2"/>
  <c r="K40" i="2"/>
  <c r="B40" i="2"/>
  <c r="B104" i="18"/>
  <c r="C6" i="20"/>
  <c r="G6" i="20"/>
  <c r="G5" i="20"/>
  <c r="F6" i="20"/>
  <c r="F5" i="20"/>
  <c r="E6" i="20"/>
  <c r="E5" i="20"/>
  <c r="C5" i="20"/>
  <c r="G9" i="20"/>
  <c r="F9" i="20"/>
  <c r="E9" i="20"/>
  <c r="C9" i="20"/>
  <c r="G8" i="20"/>
  <c r="F8" i="20"/>
  <c r="E8" i="20"/>
  <c r="C8" i="20"/>
  <c r="G7" i="20"/>
  <c r="F7" i="20"/>
  <c r="E7" i="20"/>
  <c r="C7" i="20"/>
  <c r="F4" i="20"/>
  <c r="F3" i="20" s="1"/>
  <c r="G4" i="20"/>
  <c r="G3" i="20" s="1"/>
  <c r="E4" i="20"/>
  <c r="E3" i="20" s="1"/>
  <c r="C151" i="18"/>
  <c r="B151" i="18"/>
  <c r="C150" i="18"/>
  <c r="D150" i="18"/>
  <c r="E150" i="18"/>
  <c r="F150" i="18"/>
  <c r="G150" i="18"/>
  <c r="H150" i="18"/>
  <c r="I150" i="18"/>
  <c r="J150" i="18"/>
  <c r="K150" i="18"/>
  <c r="B150" i="18"/>
  <c r="C130" i="18"/>
  <c r="C129" i="18"/>
  <c r="C128" i="18"/>
  <c r="B128" i="18"/>
  <c r="C124" i="18"/>
  <c r="C123" i="18"/>
  <c r="C122" i="18"/>
  <c r="C118" i="18"/>
  <c r="B118" i="18"/>
  <c r="C113" i="18"/>
  <c r="B113" i="18"/>
  <c r="C104" i="18"/>
  <c r="C103" i="18"/>
  <c r="B103" i="18"/>
  <c r="E15" i="20" l="1"/>
  <c r="E14" i="20"/>
  <c r="E12" i="20"/>
  <c r="E11" i="20"/>
  <c r="E13" i="20"/>
  <c r="F12" i="20"/>
  <c r="F15" i="20"/>
  <c r="F14" i="20"/>
  <c r="F11" i="20"/>
  <c r="F13" i="20"/>
  <c r="G12" i="20"/>
  <c r="G15" i="20"/>
  <c r="G14" i="20"/>
  <c r="G11" i="20"/>
  <c r="G13" i="20"/>
  <c r="I11" i="20" l="1"/>
  <c r="C19" i="20" s="1"/>
  <c r="I12" i="20"/>
  <c r="C20" i="20" s="1"/>
  <c r="I14" i="20"/>
  <c r="C22" i="20" s="1"/>
  <c r="I13" i="20"/>
  <c r="C21" i="20" s="1"/>
  <c r="I15" i="20"/>
  <c r="C89" i="18" l="1"/>
  <c r="C90" i="18" s="1"/>
  <c r="B89" i="18"/>
  <c r="B90" i="18" s="1"/>
  <c r="C75" i="18"/>
  <c r="B75" i="18"/>
  <c r="C74" i="18"/>
  <c r="B74" i="18"/>
  <c r="B45" i="18"/>
  <c r="B57" i="18"/>
  <c r="C57" i="18"/>
  <c r="C30" i="18"/>
  <c r="D30" i="18" s="1"/>
  <c r="E30" i="18" s="1"/>
  <c r="F30" i="18" s="1"/>
  <c r="G30" i="18" s="1"/>
  <c r="H30" i="18" s="1"/>
  <c r="I30" i="18" s="1"/>
  <c r="J30" i="18" s="1"/>
  <c r="K30" i="18" s="1"/>
  <c r="D52" i="18"/>
  <c r="D61" i="18" s="1"/>
  <c r="C39" i="18"/>
  <c r="D39" i="18" s="1"/>
  <c r="C38" i="18"/>
  <c r="D38" i="18" s="1"/>
  <c r="C37" i="18"/>
  <c r="D37" i="18" s="1"/>
  <c r="C36" i="18"/>
  <c r="D36" i="18" s="1"/>
  <c r="C35" i="18"/>
  <c r="D35" i="18" s="1"/>
  <c r="C34" i="18"/>
  <c r="D34" i="18" s="1"/>
  <c r="E34" i="18" s="1"/>
  <c r="F34" i="18" s="1"/>
  <c r="G34" i="18" s="1"/>
  <c r="H34" i="18" s="1"/>
  <c r="I34" i="18" s="1"/>
  <c r="J34" i="18" s="1"/>
  <c r="K34" i="18" s="1"/>
  <c r="C33" i="18"/>
  <c r="D33" i="18" s="1"/>
  <c r="E33" i="18" s="1"/>
  <c r="F33" i="18" s="1"/>
  <c r="G33" i="18" s="1"/>
  <c r="H33" i="18" s="1"/>
  <c r="I33" i="18" s="1"/>
  <c r="J33" i="18" s="1"/>
  <c r="K33" i="18" s="1"/>
  <c r="C32" i="18"/>
  <c r="D32" i="18" s="1"/>
  <c r="E32" i="18" s="1"/>
  <c r="F32" i="18" s="1"/>
  <c r="G32" i="18" s="1"/>
  <c r="H32" i="18" s="1"/>
  <c r="I32" i="18" s="1"/>
  <c r="J32" i="18" s="1"/>
  <c r="K32" i="18" s="1"/>
  <c r="C31" i="18"/>
  <c r="D31" i="18" s="1"/>
  <c r="E31" i="18" s="1"/>
  <c r="F31" i="18" s="1"/>
  <c r="G31" i="18" s="1"/>
  <c r="H31" i="18" s="1"/>
  <c r="I31" i="18" s="1"/>
  <c r="J31" i="18" s="1"/>
  <c r="K31" i="18" s="1"/>
  <c r="C29" i="18"/>
  <c r="D29" i="18" s="1"/>
  <c r="E29" i="18" s="1"/>
  <c r="F29" i="18" s="1"/>
  <c r="G29" i="18" s="1"/>
  <c r="H29" i="18" s="1"/>
  <c r="I29" i="18" s="1"/>
  <c r="J29" i="18" s="1"/>
  <c r="K29" i="18" s="1"/>
  <c r="C25" i="18"/>
  <c r="D25" i="18" s="1"/>
  <c r="E25" i="18" s="1"/>
  <c r="F25" i="18" s="1"/>
  <c r="G25" i="18" s="1"/>
  <c r="H25" i="18" s="1"/>
  <c r="I25" i="18" s="1"/>
  <c r="J25" i="18" s="1"/>
  <c r="K25" i="18" s="1"/>
  <c r="C27" i="18"/>
  <c r="D27" i="18" s="1"/>
  <c r="E27" i="18" s="1"/>
  <c r="F27" i="18" s="1"/>
  <c r="G27" i="18" s="1"/>
  <c r="H27" i="18" s="1"/>
  <c r="I27" i="18" s="1"/>
  <c r="J27" i="18" s="1"/>
  <c r="K27" i="18" s="1"/>
  <c r="C26" i="18"/>
  <c r="D26" i="18" s="1"/>
  <c r="E26" i="18" s="1"/>
  <c r="F26" i="18" s="1"/>
  <c r="G26" i="18" s="1"/>
  <c r="H26" i="18" s="1"/>
  <c r="I26" i="18" s="1"/>
  <c r="J26" i="18" s="1"/>
  <c r="C24" i="18"/>
  <c r="D24" i="18" s="1"/>
  <c r="E24" i="18" s="1"/>
  <c r="F24" i="18" s="1"/>
  <c r="G24" i="18" s="1"/>
  <c r="H24" i="18" s="1"/>
  <c r="I24" i="18" s="1"/>
  <c r="J24" i="18" s="1"/>
  <c r="K24" i="18" s="1"/>
  <c r="C23" i="18"/>
  <c r="C28" i="18"/>
  <c r="D28" i="18" s="1"/>
  <c r="E28" i="18" s="1"/>
  <c r="F28" i="18" s="1"/>
  <c r="G28" i="18" s="1"/>
  <c r="H28" i="18" s="1"/>
  <c r="I28" i="18" s="1"/>
  <c r="J28" i="18" s="1"/>
  <c r="K28" i="18" s="1"/>
  <c r="D43" i="18"/>
  <c r="E9" i="18"/>
  <c r="F9" i="18"/>
  <c r="G9" i="18"/>
  <c r="H9" i="18"/>
  <c r="I9" i="18"/>
  <c r="J9" i="18"/>
  <c r="K9" i="18"/>
  <c r="D9" i="18"/>
  <c r="D44" i="18" l="1"/>
  <c r="C10" i="18" s="1"/>
  <c r="D10" i="18" s="1"/>
  <c r="C4" i="20"/>
  <c r="C3" i="20" s="1"/>
  <c r="D19" i="20"/>
  <c r="D21" i="20"/>
  <c r="D22" i="20"/>
  <c r="D20" i="20"/>
  <c r="E37" i="18"/>
  <c r="D92" i="18"/>
  <c r="B105" i="18"/>
  <c r="B106" i="18" s="1"/>
  <c r="B107" i="18" s="1"/>
  <c r="B111" i="18" s="1"/>
  <c r="B120" i="18" s="1"/>
  <c r="B114" i="18"/>
  <c r="B115" i="18" s="1"/>
  <c r="B117" i="18" s="1"/>
  <c r="B119" i="18" s="1"/>
  <c r="D60" i="18"/>
  <c r="D97" i="18"/>
  <c r="C105" i="18"/>
  <c r="C106" i="18" s="1"/>
  <c r="C107" i="18" s="1"/>
  <c r="C111" i="18" s="1"/>
  <c r="C114" i="18"/>
  <c r="C115" i="18" s="1"/>
  <c r="C117" i="18" s="1"/>
  <c r="C119" i="18" s="1"/>
  <c r="D80" i="18"/>
  <c r="D81" i="18"/>
  <c r="D103" i="18" s="1"/>
  <c r="D91" i="18"/>
  <c r="D88" i="18"/>
  <c r="D82" i="18"/>
  <c r="D85" i="18"/>
  <c r="D56" i="18"/>
  <c r="E10" i="18"/>
  <c r="F10" i="18" s="1"/>
  <c r="G10" i="18" s="1"/>
  <c r="H10" i="18" s="1"/>
  <c r="I10" i="18" s="1"/>
  <c r="J10" i="18" s="1"/>
  <c r="K10" i="18" s="1"/>
  <c r="D11" i="18"/>
  <c r="K26" i="18"/>
  <c r="D104" i="18" l="1"/>
  <c r="D129" i="18"/>
  <c r="D24" i="20"/>
  <c r="F37" i="18"/>
  <c r="E92" i="18"/>
  <c r="C14" i="20"/>
  <c r="C15" i="20"/>
  <c r="C12" i="20"/>
  <c r="C11" i="20"/>
  <c r="C13" i="20"/>
  <c r="B121" i="18"/>
  <c r="C120" i="18"/>
  <c r="I11" i="18"/>
  <c r="E11" i="18"/>
  <c r="F11" i="18"/>
  <c r="D75" i="18"/>
  <c r="K11" i="18"/>
  <c r="D13" i="18" s="1"/>
  <c r="G11" i="18"/>
  <c r="H11" i="18"/>
  <c r="J11" i="18"/>
  <c r="G37" i="18" l="1"/>
  <c r="F92" i="18"/>
  <c r="B122" i="18"/>
  <c r="B123" i="18" s="1"/>
  <c r="B124" i="18" s="1"/>
  <c r="D86" i="18"/>
  <c r="D105" i="18"/>
  <c r="D106" i="18" s="1"/>
  <c r="D107" i="18" s="1"/>
  <c r="D111" i="18" s="1"/>
  <c r="D114" i="18"/>
  <c r="C61" i="4"/>
  <c r="D61" i="4"/>
  <c r="E61" i="4"/>
  <c r="F61" i="4"/>
  <c r="G61" i="4"/>
  <c r="H61" i="4"/>
  <c r="I61" i="4"/>
  <c r="J61" i="4"/>
  <c r="K61" i="4"/>
  <c r="B61" i="4"/>
  <c r="C60" i="4"/>
  <c r="D60" i="4"/>
  <c r="E60" i="4"/>
  <c r="F60" i="4"/>
  <c r="G60" i="4"/>
  <c r="H60" i="4"/>
  <c r="I60" i="4"/>
  <c r="J60" i="4"/>
  <c r="K60" i="4"/>
  <c r="B60" i="4"/>
  <c r="C59" i="4"/>
  <c r="D59" i="4"/>
  <c r="E59" i="4"/>
  <c r="F59" i="4"/>
  <c r="G59" i="4"/>
  <c r="H59" i="4"/>
  <c r="I59" i="4"/>
  <c r="J59" i="4"/>
  <c r="K59" i="4"/>
  <c r="B59" i="4"/>
  <c r="C58" i="4"/>
  <c r="D58" i="4"/>
  <c r="E58" i="4"/>
  <c r="F58" i="4"/>
  <c r="G58" i="4"/>
  <c r="H58" i="4"/>
  <c r="I58" i="4"/>
  <c r="J58" i="4"/>
  <c r="K58" i="4"/>
  <c r="B58" i="4"/>
  <c r="C57" i="4"/>
  <c r="D57" i="4"/>
  <c r="E57" i="4"/>
  <c r="F57" i="4"/>
  <c r="G57" i="4"/>
  <c r="H57" i="4"/>
  <c r="I57" i="4"/>
  <c r="J57" i="4"/>
  <c r="K57" i="4"/>
  <c r="B57" i="4"/>
  <c r="C55" i="4"/>
  <c r="D55" i="4"/>
  <c r="E55" i="4"/>
  <c r="F55" i="4"/>
  <c r="G55" i="4"/>
  <c r="H55" i="4"/>
  <c r="I55" i="4"/>
  <c r="J55" i="4"/>
  <c r="K55" i="4"/>
  <c r="B55" i="4"/>
  <c r="C54" i="4"/>
  <c r="D54" i="4"/>
  <c r="E54" i="4"/>
  <c r="F54" i="4"/>
  <c r="G54" i="4"/>
  <c r="H54" i="4"/>
  <c r="I54" i="4"/>
  <c r="J54" i="4"/>
  <c r="K54" i="4"/>
  <c r="B54" i="4"/>
  <c r="C53" i="4"/>
  <c r="D53" i="4"/>
  <c r="E53" i="4"/>
  <c r="F53" i="4"/>
  <c r="G53" i="4"/>
  <c r="H53" i="4"/>
  <c r="I53" i="4"/>
  <c r="J53" i="4"/>
  <c r="K53" i="4"/>
  <c r="B53" i="4"/>
  <c r="C52" i="4"/>
  <c r="D52" i="4"/>
  <c r="E52" i="4"/>
  <c r="F52" i="4"/>
  <c r="G52" i="4"/>
  <c r="H52" i="4"/>
  <c r="I52" i="4"/>
  <c r="J52" i="4"/>
  <c r="K52" i="4"/>
  <c r="B52" i="4"/>
  <c r="E50" i="4"/>
  <c r="I50" i="4"/>
  <c r="C49" i="4"/>
  <c r="C50" i="4" s="1"/>
  <c r="D49" i="4"/>
  <c r="D50" i="4" s="1"/>
  <c r="E49" i="4"/>
  <c r="F49" i="4"/>
  <c r="F50" i="4" s="1"/>
  <c r="G49" i="4"/>
  <c r="G50" i="4" s="1"/>
  <c r="H49" i="4"/>
  <c r="H50" i="4" s="1"/>
  <c r="I49" i="4"/>
  <c r="J49" i="4"/>
  <c r="J50" i="4" s="1"/>
  <c r="K49" i="4"/>
  <c r="K50" i="4" s="1"/>
  <c r="B49" i="4"/>
  <c r="B50" i="4" s="1"/>
  <c r="C47" i="4"/>
  <c r="C48" i="4" s="1"/>
  <c r="D47" i="4"/>
  <c r="D48" i="4" s="1"/>
  <c r="E47" i="4"/>
  <c r="E48" i="4" s="1"/>
  <c r="F47" i="4"/>
  <c r="F48" i="4" s="1"/>
  <c r="G47" i="4"/>
  <c r="G48" i="4" s="1"/>
  <c r="H47" i="4"/>
  <c r="H48" i="4" s="1"/>
  <c r="I47" i="4"/>
  <c r="I48" i="4" s="1"/>
  <c r="J47" i="4"/>
  <c r="J48" i="4" s="1"/>
  <c r="K47" i="4"/>
  <c r="K48" i="4" s="1"/>
  <c r="B47" i="4"/>
  <c r="B48" i="4" s="1"/>
  <c r="C46" i="4"/>
  <c r="D46" i="4"/>
  <c r="E46" i="4"/>
  <c r="F46" i="4"/>
  <c r="G46" i="4"/>
  <c r="H46" i="4"/>
  <c r="I46" i="4"/>
  <c r="J46" i="4"/>
  <c r="K46" i="4"/>
  <c r="B46" i="4"/>
  <c r="D45" i="4"/>
  <c r="C43" i="4"/>
  <c r="D43" i="4"/>
  <c r="E43" i="4"/>
  <c r="F43" i="4"/>
  <c r="G43" i="4"/>
  <c r="H43" i="4"/>
  <c r="I43" i="4"/>
  <c r="J43" i="4"/>
  <c r="K43" i="4"/>
  <c r="B43" i="4"/>
  <c r="C42" i="4"/>
  <c r="D42" i="4"/>
  <c r="E42" i="4"/>
  <c r="F42" i="4"/>
  <c r="G42" i="4"/>
  <c r="H42" i="4"/>
  <c r="I42" i="4"/>
  <c r="J42" i="4"/>
  <c r="K42" i="4"/>
  <c r="B42" i="4"/>
  <c r="C41" i="4"/>
  <c r="D41" i="4"/>
  <c r="E41" i="4"/>
  <c r="F41" i="4"/>
  <c r="G41" i="4"/>
  <c r="H41" i="4"/>
  <c r="I41" i="4"/>
  <c r="J41" i="4"/>
  <c r="K41" i="4"/>
  <c r="B41" i="4"/>
  <c r="C40" i="4"/>
  <c r="D40" i="4"/>
  <c r="E40" i="4"/>
  <c r="F40" i="4"/>
  <c r="G40" i="4"/>
  <c r="H40" i="4"/>
  <c r="I40" i="4"/>
  <c r="J40" i="4"/>
  <c r="K40" i="4"/>
  <c r="B40" i="4"/>
  <c r="C39" i="4"/>
  <c r="D39" i="4"/>
  <c r="E39" i="4"/>
  <c r="F39" i="4"/>
  <c r="G39" i="4"/>
  <c r="H39" i="4"/>
  <c r="I39" i="4"/>
  <c r="J39" i="4"/>
  <c r="K39" i="4"/>
  <c r="B39" i="4"/>
  <c r="C38" i="4"/>
  <c r="D38" i="4"/>
  <c r="E38" i="4"/>
  <c r="F38" i="4"/>
  <c r="G38" i="4"/>
  <c r="H38" i="4"/>
  <c r="I38" i="4"/>
  <c r="J38" i="4"/>
  <c r="K38" i="4"/>
  <c r="B38" i="4"/>
  <c r="C106" i="10"/>
  <c r="D106" i="10"/>
  <c r="E106" i="10"/>
  <c r="F106" i="10"/>
  <c r="G106" i="10"/>
  <c r="H106" i="10"/>
  <c r="I106" i="10"/>
  <c r="J106" i="10"/>
  <c r="K106" i="10"/>
  <c r="B106" i="10"/>
  <c r="C103" i="19"/>
  <c r="D103" i="19"/>
  <c r="E103" i="19"/>
  <c r="F103" i="19"/>
  <c r="G103" i="19"/>
  <c r="H103" i="19"/>
  <c r="I103" i="19"/>
  <c r="J103" i="19"/>
  <c r="K103" i="19"/>
  <c r="B103" i="19"/>
  <c r="C103" i="8"/>
  <c r="D103" i="8"/>
  <c r="E103" i="8"/>
  <c r="F103" i="8"/>
  <c r="G103" i="8"/>
  <c r="H103" i="8"/>
  <c r="I103" i="8"/>
  <c r="J103" i="8"/>
  <c r="K103" i="8"/>
  <c r="B103" i="8"/>
  <c r="C37" i="4"/>
  <c r="D37" i="4"/>
  <c r="E37" i="4"/>
  <c r="F37" i="4"/>
  <c r="G37" i="4"/>
  <c r="H37" i="4"/>
  <c r="I37" i="4"/>
  <c r="J37" i="4"/>
  <c r="K37" i="4"/>
  <c r="B37" i="4"/>
  <c r="C36" i="4"/>
  <c r="D36" i="4"/>
  <c r="E36" i="4"/>
  <c r="F36" i="4"/>
  <c r="G36" i="4"/>
  <c r="H36" i="4"/>
  <c r="I36" i="4"/>
  <c r="J36" i="4"/>
  <c r="K36" i="4"/>
  <c r="B36" i="4"/>
  <c r="C35" i="4"/>
  <c r="D35" i="4"/>
  <c r="E35" i="4"/>
  <c r="F35" i="4"/>
  <c r="G35" i="4"/>
  <c r="H35" i="4"/>
  <c r="I35" i="4"/>
  <c r="J35" i="4"/>
  <c r="K35" i="4"/>
  <c r="B35" i="4"/>
  <c r="C34" i="4"/>
  <c r="D34" i="4"/>
  <c r="E34" i="4"/>
  <c r="F34" i="4"/>
  <c r="G34" i="4"/>
  <c r="H34" i="4"/>
  <c r="I34" i="4"/>
  <c r="J34" i="4"/>
  <c r="K34" i="4"/>
  <c r="B34" i="4"/>
  <c r="C33" i="4"/>
  <c r="D33" i="4"/>
  <c r="E33" i="4"/>
  <c r="F33" i="4"/>
  <c r="G33" i="4"/>
  <c r="H33" i="4"/>
  <c r="I33" i="4"/>
  <c r="J33" i="4"/>
  <c r="K33" i="4"/>
  <c r="B33" i="4"/>
  <c r="C32" i="4"/>
  <c r="D32" i="4"/>
  <c r="E32" i="4"/>
  <c r="F32" i="4"/>
  <c r="G32" i="4"/>
  <c r="H32" i="4"/>
  <c r="I32" i="4"/>
  <c r="J32" i="4"/>
  <c r="K32" i="4"/>
  <c r="B32" i="4"/>
  <c r="C31" i="4"/>
  <c r="D31" i="4"/>
  <c r="E31" i="4"/>
  <c r="F31" i="4"/>
  <c r="G31" i="4"/>
  <c r="H31" i="4"/>
  <c r="I31" i="4"/>
  <c r="J31" i="4"/>
  <c r="K31" i="4"/>
  <c r="B31" i="4"/>
  <c r="C30" i="4"/>
  <c r="D30" i="4"/>
  <c r="E30" i="4"/>
  <c r="F30" i="4"/>
  <c r="G30" i="4"/>
  <c r="H30" i="4"/>
  <c r="I30" i="4"/>
  <c r="J30" i="4"/>
  <c r="K30" i="4"/>
  <c r="B30" i="4"/>
  <c r="C29" i="4"/>
  <c r="C45" i="4" s="1"/>
  <c r="D29" i="4"/>
  <c r="E29" i="4"/>
  <c r="E45" i="4" s="1"/>
  <c r="F29" i="4"/>
  <c r="F45" i="4" s="1"/>
  <c r="G29" i="4"/>
  <c r="G45" i="4" s="1"/>
  <c r="H29" i="4"/>
  <c r="H45" i="4" s="1"/>
  <c r="I29" i="4"/>
  <c r="I45" i="4" s="1"/>
  <c r="J29" i="4"/>
  <c r="J45" i="4" s="1"/>
  <c r="K29" i="4"/>
  <c r="K45" i="4" s="1"/>
  <c r="B29" i="4"/>
  <c r="B45" i="4" s="1"/>
  <c r="C28" i="4"/>
  <c r="D28" i="4"/>
  <c r="E28" i="4"/>
  <c r="F28" i="4"/>
  <c r="G28" i="4"/>
  <c r="H28" i="4"/>
  <c r="I28" i="4"/>
  <c r="J28" i="4"/>
  <c r="K28" i="4"/>
  <c r="B28" i="4"/>
  <c r="C27" i="4"/>
  <c r="D27" i="4"/>
  <c r="E27" i="4"/>
  <c r="F27" i="4"/>
  <c r="G27" i="4"/>
  <c r="H27" i="4"/>
  <c r="I27" i="4"/>
  <c r="J27" i="4"/>
  <c r="K27" i="4"/>
  <c r="B27" i="4"/>
  <c r="C25" i="4"/>
  <c r="D25" i="4"/>
  <c r="E25" i="4"/>
  <c r="F25" i="4"/>
  <c r="G25" i="4"/>
  <c r="H25" i="4"/>
  <c r="I25" i="4"/>
  <c r="J25" i="4"/>
  <c r="K25" i="4"/>
  <c r="B25" i="4"/>
  <c r="C24" i="4"/>
  <c r="D24" i="4"/>
  <c r="E24" i="4"/>
  <c r="F24" i="4"/>
  <c r="G24" i="4"/>
  <c r="H24" i="4"/>
  <c r="I24" i="4"/>
  <c r="J24" i="4"/>
  <c r="K24" i="4"/>
  <c r="B24" i="4"/>
  <c r="C23" i="4"/>
  <c r="D23" i="4"/>
  <c r="E23" i="4"/>
  <c r="F23" i="4"/>
  <c r="G23" i="4"/>
  <c r="H23" i="4"/>
  <c r="I23" i="4"/>
  <c r="J23" i="4"/>
  <c r="K23" i="4"/>
  <c r="B23" i="4"/>
  <c r="C22" i="4"/>
  <c r="D22" i="4"/>
  <c r="E22" i="4"/>
  <c r="F22" i="4"/>
  <c r="G22" i="4"/>
  <c r="H22" i="4"/>
  <c r="I22" i="4"/>
  <c r="J22" i="4"/>
  <c r="K22" i="4"/>
  <c r="B22" i="4"/>
  <c r="C21" i="4"/>
  <c r="D21" i="4"/>
  <c r="E21" i="4"/>
  <c r="F21" i="4"/>
  <c r="G21" i="4"/>
  <c r="H21" i="4"/>
  <c r="I21" i="4"/>
  <c r="J21" i="4"/>
  <c r="K21" i="4"/>
  <c r="B21" i="4"/>
  <c r="C20" i="4"/>
  <c r="D20" i="4"/>
  <c r="E20" i="4"/>
  <c r="F20" i="4"/>
  <c r="G20" i="4"/>
  <c r="H20" i="4"/>
  <c r="I20" i="4"/>
  <c r="J20" i="4"/>
  <c r="K20" i="4"/>
  <c r="B20" i="4"/>
  <c r="D17" i="4"/>
  <c r="E17" i="4"/>
  <c r="F17" i="4"/>
  <c r="G17" i="4"/>
  <c r="H17" i="4"/>
  <c r="I17" i="4"/>
  <c r="J17" i="4"/>
  <c r="K17" i="4"/>
  <c r="C17" i="4"/>
  <c r="C16" i="5"/>
  <c r="D16" i="5"/>
  <c r="E16" i="5"/>
  <c r="F16" i="5"/>
  <c r="G16" i="5"/>
  <c r="H16" i="5"/>
  <c r="I16" i="5"/>
  <c r="J16" i="5"/>
  <c r="K16" i="5"/>
  <c r="B16" i="5"/>
  <c r="M12" i="2"/>
  <c r="H37" i="18" l="1"/>
  <c r="G92" i="18"/>
  <c r="L12" i="2"/>
  <c r="D12" i="2"/>
  <c r="E12" i="2"/>
  <c r="F12" i="2"/>
  <c r="G12" i="2"/>
  <c r="H12" i="2"/>
  <c r="I12" i="2"/>
  <c r="J12" i="2"/>
  <c r="K12" i="2"/>
  <c r="C12" i="2"/>
  <c r="D100" i="8"/>
  <c r="D53" i="2"/>
  <c r="D18" i="4" s="1"/>
  <c r="E53" i="2"/>
  <c r="E18" i="4" s="1"/>
  <c r="F53" i="2"/>
  <c r="F18" i="4" s="1"/>
  <c r="G53" i="2"/>
  <c r="G18" i="4" s="1"/>
  <c r="H53" i="2"/>
  <c r="H18" i="4" s="1"/>
  <c r="I53" i="2"/>
  <c r="I18" i="4" s="1"/>
  <c r="J53" i="2"/>
  <c r="J18" i="4" s="1"/>
  <c r="K53" i="2"/>
  <c r="K18" i="4" s="1"/>
  <c r="C53" i="2"/>
  <c r="D101" i="19"/>
  <c r="E101" i="19"/>
  <c r="F101" i="19"/>
  <c r="G101" i="19"/>
  <c r="H101" i="19"/>
  <c r="I101" i="19"/>
  <c r="J101" i="19"/>
  <c r="K101" i="19"/>
  <c r="C101" i="19"/>
  <c r="C99" i="19"/>
  <c r="D99" i="19"/>
  <c r="E99" i="19"/>
  <c r="F99" i="19"/>
  <c r="G99" i="19"/>
  <c r="H99" i="19"/>
  <c r="I99" i="19"/>
  <c r="J99" i="19"/>
  <c r="K99" i="19"/>
  <c r="B99" i="19"/>
  <c r="C98" i="19"/>
  <c r="D98" i="19"/>
  <c r="E98" i="19"/>
  <c r="F98" i="19"/>
  <c r="G98" i="19"/>
  <c r="H98" i="19"/>
  <c r="I98" i="19"/>
  <c r="J98" i="19"/>
  <c r="K98" i="19"/>
  <c r="B98" i="19"/>
  <c r="C97" i="19"/>
  <c r="D97" i="19"/>
  <c r="E97" i="19"/>
  <c r="F97" i="19"/>
  <c r="G97" i="19"/>
  <c r="H97" i="19"/>
  <c r="I97" i="19"/>
  <c r="J97" i="19"/>
  <c r="K97" i="19"/>
  <c r="B97" i="19"/>
  <c r="C96" i="19"/>
  <c r="D96" i="19"/>
  <c r="E96" i="19"/>
  <c r="F96" i="19"/>
  <c r="G96" i="19"/>
  <c r="H96" i="19"/>
  <c r="I96" i="19"/>
  <c r="J96" i="19"/>
  <c r="K96" i="19"/>
  <c r="B96" i="19"/>
  <c r="C95" i="19"/>
  <c r="D95" i="19"/>
  <c r="E95" i="19"/>
  <c r="F95" i="19"/>
  <c r="G95" i="19"/>
  <c r="H95" i="19"/>
  <c r="I95" i="19"/>
  <c r="J95" i="19"/>
  <c r="K95" i="19"/>
  <c r="B95" i="19"/>
  <c r="C94" i="19"/>
  <c r="D94" i="19"/>
  <c r="E94" i="19"/>
  <c r="F94" i="19"/>
  <c r="G94" i="19"/>
  <c r="H94" i="19"/>
  <c r="I94" i="19"/>
  <c r="J94" i="19"/>
  <c r="K94" i="19"/>
  <c r="B94" i="19"/>
  <c r="C93" i="19"/>
  <c r="D93" i="19"/>
  <c r="E93" i="19"/>
  <c r="F93" i="19"/>
  <c r="G93" i="19"/>
  <c r="H93" i="19"/>
  <c r="I93" i="19"/>
  <c r="J93" i="19"/>
  <c r="K93" i="19"/>
  <c r="B93" i="19"/>
  <c r="C92" i="19"/>
  <c r="D92" i="19"/>
  <c r="E92" i="19"/>
  <c r="F92" i="19"/>
  <c r="G92" i="19"/>
  <c r="H92" i="19"/>
  <c r="I92" i="19"/>
  <c r="J92" i="19"/>
  <c r="K92" i="19"/>
  <c r="B92" i="19"/>
  <c r="C91" i="19"/>
  <c r="D91" i="19"/>
  <c r="E91" i="19"/>
  <c r="F91" i="19"/>
  <c r="G91" i="19"/>
  <c r="H91" i="19"/>
  <c r="I91" i="19"/>
  <c r="J91" i="19"/>
  <c r="K91" i="19"/>
  <c r="B91" i="19"/>
  <c r="D104" i="10"/>
  <c r="E104" i="10"/>
  <c r="F104" i="10"/>
  <c r="G104" i="10"/>
  <c r="H104" i="10"/>
  <c r="I104" i="10"/>
  <c r="J104" i="10"/>
  <c r="K104" i="10"/>
  <c r="C104" i="10"/>
  <c r="C102" i="10"/>
  <c r="D102" i="10"/>
  <c r="E102" i="10"/>
  <c r="F102" i="10"/>
  <c r="G102" i="10"/>
  <c r="H102" i="10"/>
  <c r="I102" i="10"/>
  <c r="J102" i="10"/>
  <c r="K102" i="10"/>
  <c r="B102" i="10"/>
  <c r="C101" i="10"/>
  <c r="D101" i="10"/>
  <c r="E101" i="10"/>
  <c r="F101" i="10"/>
  <c r="G101" i="10"/>
  <c r="H101" i="10"/>
  <c r="I101" i="10"/>
  <c r="J101" i="10"/>
  <c r="K101" i="10"/>
  <c r="B101" i="10"/>
  <c r="C100" i="10"/>
  <c r="D100" i="10"/>
  <c r="E100" i="10"/>
  <c r="F100" i="10"/>
  <c r="G100" i="10"/>
  <c r="H100" i="10"/>
  <c r="I100" i="10"/>
  <c r="J100" i="10"/>
  <c r="K100" i="10"/>
  <c r="B100" i="10"/>
  <c r="C99" i="10"/>
  <c r="D99" i="10"/>
  <c r="E99" i="10"/>
  <c r="F99" i="10"/>
  <c r="G99" i="10"/>
  <c r="H99" i="10"/>
  <c r="I99" i="10"/>
  <c r="J99" i="10"/>
  <c r="K99" i="10"/>
  <c r="B99" i="10"/>
  <c r="C98" i="10"/>
  <c r="D98" i="10"/>
  <c r="E98" i="10"/>
  <c r="F98" i="10"/>
  <c r="G98" i="10"/>
  <c r="H98" i="10"/>
  <c r="I98" i="10"/>
  <c r="J98" i="10"/>
  <c r="K98" i="10"/>
  <c r="B98" i="10"/>
  <c r="C97" i="10"/>
  <c r="D97" i="10"/>
  <c r="E97" i="10"/>
  <c r="F97" i="10"/>
  <c r="G97" i="10"/>
  <c r="H97" i="10"/>
  <c r="I97" i="10"/>
  <c r="J97" i="10"/>
  <c r="K97" i="10"/>
  <c r="B97" i="10"/>
  <c r="C96" i="10"/>
  <c r="D96" i="10"/>
  <c r="E96" i="10"/>
  <c r="F96" i="10"/>
  <c r="G96" i="10"/>
  <c r="H96" i="10"/>
  <c r="I96" i="10"/>
  <c r="J96" i="10"/>
  <c r="K96" i="10"/>
  <c r="B96" i="10"/>
  <c r="C95" i="10"/>
  <c r="D95" i="10"/>
  <c r="E95" i="10"/>
  <c r="F95" i="10"/>
  <c r="G95" i="10"/>
  <c r="H95" i="10"/>
  <c r="I95" i="10"/>
  <c r="J95" i="10"/>
  <c r="K95" i="10"/>
  <c r="B95" i="10"/>
  <c r="C94" i="10"/>
  <c r="D94" i="10"/>
  <c r="E94" i="10"/>
  <c r="F94" i="10"/>
  <c r="G94" i="10"/>
  <c r="H94" i="10"/>
  <c r="I94" i="10"/>
  <c r="J94" i="10"/>
  <c r="K94" i="10"/>
  <c r="B94" i="10"/>
  <c r="E100" i="8"/>
  <c r="F100" i="8"/>
  <c r="G100" i="8"/>
  <c r="H100" i="8"/>
  <c r="I100" i="8"/>
  <c r="J100" i="8"/>
  <c r="K100" i="8"/>
  <c r="C100" i="8"/>
  <c r="C98" i="8"/>
  <c r="D98" i="8"/>
  <c r="E98" i="8"/>
  <c r="F98" i="8"/>
  <c r="G98" i="8"/>
  <c r="H98" i="8"/>
  <c r="I98" i="8"/>
  <c r="J98" i="8"/>
  <c r="K98" i="8"/>
  <c r="B98" i="8"/>
  <c r="C97" i="8"/>
  <c r="D97" i="8"/>
  <c r="E97" i="8"/>
  <c r="F97" i="8"/>
  <c r="G97" i="8"/>
  <c r="H97" i="8"/>
  <c r="I97" i="8"/>
  <c r="J97" i="8"/>
  <c r="K97" i="8"/>
  <c r="B97" i="8"/>
  <c r="C96" i="8"/>
  <c r="D96" i="8"/>
  <c r="E96" i="8"/>
  <c r="F96" i="8"/>
  <c r="G96" i="8"/>
  <c r="H96" i="8"/>
  <c r="I96" i="8"/>
  <c r="J96" i="8"/>
  <c r="K96" i="8"/>
  <c r="B96" i="8"/>
  <c r="C95" i="8"/>
  <c r="D95" i="8"/>
  <c r="E95" i="8"/>
  <c r="F95" i="8"/>
  <c r="G95" i="8"/>
  <c r="H95" i="8"/>
  <c r="I95" i="8"/>
  <c r="J95" i="8"/>
  <c r="K95" i="8"/>
  <c r="B95" i="8"/>
  <c r="C94" i="8"/>
  <c r="D94" i="8"/>
  <c r="E94" i="8"/>
  <c r="F94" i="8"/>
  <c r="G94" i="8"/>
  <c r="H94" i="8"/>
  <c r="I94" i="8"/>
  <c r="J94" i="8"/>
  <c r="K94" i="8"/>
  <c r="B94" i="8"/>
  <c r="C93" i="8"/>
  <c r="D93" i="8"/>
  <c r="E93" i="8"/>
  <c r="F93" i="8"/>
  <c r="G93" i="8"/>
  <c r="H93" i="8"/>
  <c r="I93" i="8"/>
  <c r="J93" i="8"/>
  <c r="K93" i="8"/>
  <c r="B93" i="8"/>
  <c r="C92" i="8"/>
  <c r="D92" i="8"/>
  <c r="E92" i="8"/>
  <c r="F92" i="8"/>
  <c r="G92" i="8"/>
  <c r="H92" i="8"/>
  <c r="I92" i="8"/>
  <c r="J92" i="8"/>
  <c r="K92" i="8"/>
  <c r="B92" i="8"/>
  <c r="C91" i="8"/>
  <c r="D91" i="8"/>
  <c r="E91" i="8"/>
  <c r="F91" i="8"/>
  <c r="G91" i="8"/>
  <c r="H91" i="8"/>
  <c r="I91" i="8"/>
  <c r="J91" i="8"/>
  <c r="K91" i="8"/>
  <c r="B91" i="8"/>
  <c r="C90" i="8"/>
  <c r="D90" i="8"/>
  <c r="E90" i="8"/>
  <c r="F90" i="8"/>
  <c r="G90" i="8"/>
  <c r="H90" i="8"/>
  <c r="I90" i="8"/>
  <c r="J90" i="8"/>
  <c r="K90" i="8"/>
  <c r="B90" i="8"/>
  <c r="D52" i="2"/>
  <c r="E52" i="2"/>
  <c r="F52" i="2"/>
  <c r="G52" i="2"/>
  <c r="H52" i="2"/>
  <c r="I52" i="2"/>
  <c r="J52" i="2"/>
  <c r="K52" i="2"/>
  <c r="C52" i="2"/>
  <c r="C45" i="2"/>
  <c r="D45" i="2"/>
  <c r="E45" i="2"/>
  <c r="F45" i="2"/>
  <c r="G45" i="2"/>
  <c r="H45" i="2"/>
  <c r="I45" i="2"/>
  <c r="J45" i="2"/>
  <c r="K45" i="2"/>
  <c r="B45" i="2"/>
  <c r="C44" i="2"/>
  <c r="D44" i="2"/>
  <c r="E44" i="2"/>
  <c r="F44" i="2"/>
  <c r="G44" i="2"/>
  <c r="H44" i="2"/>
  <c r="I44" i="2"/>
  <c r="J44" i="2"/>
  <c r="K44" i="2"/>
  <c r="B44" i="2"/>
  <c r="C43" i="2"/>
  <c r="D43" i="2"/>
  <c r="E43" i="2"/>
  <c r="F43" i="2"/>
  <c r="G43" i="2"/>
  <c r="H43" i="2"/>
  <c r="I43" i="2"/>
  <c r="J43" i="2"/>
  <c r="K43" i="2"/>
  <c r="B43" i="2"/>
  <c r="B47" i="2" s="1"/>
  <c r="D72" i="18"/>
  <c r="E72" i="18" s="1"/>
  <c r="F72" i="18" s="1"/>
  <c r="G72" i="18" s="1"/>
  <c r="H72" i="18" s="1"/>
  <c r="I72" i="18" s="1"/>
  <c r="J72" i="18" s="1"/>
  <c r="K72" i="18" s="1"/>
  <c r="D94" i="18"/>
  <c r="E94" i="18" s="1"/>
  <c r="F94" i="18" s="1"/>
  <c r="G94" i="18" s="1"/>
  <c r="H94" i="18" s="1"/>
  <c r="I94" i="18" s="1"/>
  <c r="J94" i="18" s="1"/>
  <c r="K94" i="18" s="1"/>
  <c r="C62" i="18"/>
  <c r="B62" i="18"/>
  <c r="I37" i="18" l="1"/>
  <c r="H92" i="18"/>
  <c r="M53" i="2"/>
  <c r="C18" i="4"/>
  <c r="H47" i="2"/>
  <c r="M52" i="2"/>
  <c r="J47" i="2"/>
  <c r="G47" i="2"/>
  <c r="K47" i="2"/>
  <c r="D47" i="2"/>
  <c r="C47" i="2"/>
  <c r="F47" i="2"/>
  <c r="E47" i="2"/>
  <c r="I47" i="2"/>
  <c r="J37" i="18" l="1"/>
  <c r="I92" i="18"/>
  <c r="C51" i="18"/>
  <c r="C14" i="4"/>
  <c r="D14" i="4"/>
  <c r="E14" i="4"/>
  <c r="F14" i="4"/>
  <c r="G14" i="4"/>
  <c r="H14" i="4"/>
  <c r="I14" i="4"/>
  <c r="J14" i="4"/>
  <c r="K14" i="4"/>
  <c r="B14" i="4"/>
  <c r="C13" i="4"/>
  <c r="D13" i="4"/>
  <c r="E13" i="4"/>
  <c r="F13" i="4"/>
  <c r="G13" i="4"/>
  <c r="H13" i="4"/>
  <c r="I13" i="4"/>
  <c r="J13" i="4"/>
  <c r="K13" i="4"/>
  <c r="B13" i="4"/>
  <c r="C11" i="4"/>
  <c r="D11" i="4"/>
  <c r="E11" i="4"/>
  <c r="F11" i="4"/>
  <c r="G11" i="4"/>
  <c r="H11" i="4"/>
  <c r="I11" i="4"/>
  <c r="J11" i="4"/>
  <c r="K11" i="4"/>
  <c r="B11" i="4"/>
  <c r="C10" i="4"/>
  <c r="D10" i="4"/>
  <c r="E10" i="4"/>
  <c r="F10" i="4"/>
  <c r="G10" i="4"/>
  <c r="H10" i="4"/>
  <c r="I10" i="4"/>
  <c r="J10" i="4"/>
  <c r="K10" i="4"/>
  <c r="B10" i="4"/>
  <c r="C9" i="4"/>
  <c r="D9" i="4"/>
  <c r="E9" i="4"/>
  <c r="F9" i="4"/>
  <c r="G9" i="4"/>
  <c r="H9" i="4"/>
  <c r="I9" i="4"/>
  <c r="J9" i="4"/>
  <c r="K9" i="4"/>
  <c r="B9" i="4"/>
  <c r="C7" i="4"/>
  <c r="D7" i="4"/>
  <c r="E7" i="4"/>
  <c r="F7" i="4"/>
  <c r="G7" i="4"/>
  <c r="H7" i="4"/>
  <c r="I7" i="4"/>
  <c r="J7" i="4"/>
  <c r="K7" i="4"/>
  <c r="B7" i="4"/>
  <c r="C6" i="4"/>
  <c r="D6" i="4"/>
  <c r="E6" i="4"/>
  <c r="F6" i="4"/>
  <c r="G6" i="4"/>
  <c r="H6" i="4"/>
  <c r="I6" i="4"/>
  <c r="J6" i="4"/>
  <c r="K6" i="4"/>
  <c r="B6" i="4"/>
  <c r="C5" i="4"/>
  <c r="D5" i="4"/>
  <c r="E5" i="4"/>
  <c r="F5" i="4"/>
  <c r="G5" i="4"/>
  <c r="H5" i="4"/>
  <c r="I5" i="4"/>
  <c r="J5" i="4"/>
  <c r="K5" i="4"/>
  <c r="B5" i="4"/>
  <c r="C4" i="4"/>
  <c r="D4" i="4"/>
  <c r="E4" i="4"/>
  <c r="F4" i="4"/>
  <c r="G4" i="4"/>
  <c r="H4" i="4"/>
  <c r="I4" i="4"/>
  <c r="J4" i="4"/>
  <c r="K4" i="4"/>
  <c r="B4" i="4"/>
  <c r="C3" i="4"/>
  <c r="D3" i="4"/>
  <c r="E3" i="4"/>
  <c r="F3" i="4"/>
  <c r="G3" i="4"/>
  <c r="H3" i="4"/>
  <c r="I3" i="4"/>
  <c r="J3" i="4"/>
  <c r="K3" i="4"/>
  <c r="B3" i="4"/>
  <c r="D2" i="4"/>
  <c r="E2" i="4"/>
  <c r="F2" i="4"/>
  <c r="G2" i="4"/>
  <c r="H2" i="4"/>
  <c r="I2" i="4"/>
  <c r="J2" i="4"/>
  <c r="K2" i="4"/>
  <c r="C2" i="4"/>
  <c r="B2" i="4"/>
  <c r="B6" i="6"/>
  <c r="C6" i="6"/>
  <c r="D6" i="6"/>
  <c r="E6" i="6"/>
  <c r="F6" i="6"/>
  <c r="G6" i="6"/>
  <c r="H6" i="6"/>
  <c r="I6" i="6"/>
  <c r="J6" i="6"/>
  <c r="K6" i="6"/>
  <c r="B7" i="6"/>
  <c r="C7" i="6"/>
  <c r="D7" i="6"/>
  <c r="E7" i="6"/>
  <c r="F7" i="6"/>
  <c r="G7" i="6"/>
  <c r="H7" i="6"/>
  <c r="I7" i="6"/>
  <c r="J7" i="6"/>
  <c r="K7" i="6"/>
  <c r="B8" i="6"/>
  <c r="C8" i="6"/>
  <c r="D8" i="6"/>
  <c r="E8" i="6"/>
  <c r="F8" i="6"/>
  <c r="G8" i="6"/>
  <c r="H8" i="6"/>
  <c r="I8" i="6"/>
  <c r="J8" i="6"/>
  <c r="K8" i="6"/>
  <c r="B9" i="6"/>
  <c r="C9" i="6"/>
  <c r="D9" i="6"/>
  <c r="E9" i="6"/>
  <c r="F9" i="6"/>
  <c r="G9" i="6"/>
  <c r="H9" i="6"/>
  <c r="I9" i="6"/>
  <c r="J9" i="6"/>
  <c r="K9" i="6"/>
  <c r="B10" i="6"/>
  <c r="C10" i="6"/>
  <c r="D10" i="6"/>
  <c r="E10" i="6"/>
  <c r="F10" i="6"/>
  <c r="G10" i="6"/>
  <c r="H10" i="6"/>
  <c r="I10" i="6"/>
  <c r="J10" i="6"/>
  <c r="K10" i="6"/>
  <c r="B11" i="6"/>
  <c r="C11" i="6"/>
  <c r="D11" i="6"/>
  <c r="E11" i="6"/>
  <c r="F11" i="6"/>
  <c r="G11" i="6"/>
  <c r="H11" i="6"/>
  <c r="I11" i="6"/>
  <c r="J11" i="6"/>
  <c r="K11" i="6"/>
  <c r="B12" i="6"/>
  <c r="C12" i="6"/>
  <c r="D12" i="6"/>
  <c r="E12" i="6"/>
  <c r="F12" i="6"/>
  <c r="G12" i="6"/>
  <c r="H12" i="6"/>
  <c r="I12" i="6"/>
  <c r="J12" i="6"/>
  <c r="K12" i="6"/>
  <c r="B13" i="6"/>
  <c r="C13" i="6"/>
  <c r="D13" i="6"/>
  <c r="E13" i="6"/>
  <c r="F13" i="6"/>
  <c r="G13" i="6"/>
  <c r="H13" i="6"/>
  <c r="I13" i="6"/>
  <c r="J13" i="6"/>
  <c r="K13" i="6"/>
  <c r="B14" i="6"/>
  <c r="C14" i="6"/>
  <c r="D14" i="6"/>
  <c r="E14" i="6"/>
  <c r="F14" i="6"/>
  <c r="G14" i="6"/>
  <c r="H14" i="6"/>
  <c r="I14" i="6"/>
  <c r="J14" i="6"/>
  <c r="K14" i="6"/>
  <c r="B15" i="6"/>
  <c r="C15" i="6"/>
  <c r="D15" i="6"/>
  <c r="E15" i="6"/>
  <c r="F15" i="6"/>
  <c r="G15" i="6"/>
  <c r="H15" i="6"/>
  <c r="I15" i="6"/>
  <c r="J15" i="6"/>
  <c r="K15" i="6"/>
  <c r="B16" i="6"/>
  <c r="C16" i="6"/>
  <c r="D16" i="6"/>
  <c r="E16" i="6"/>
  <c r="F16" i="6"/>
  <c r="G16" i="6"/>
  <c r="H16" i="6"/>
  <c r="I16" i="6"/>
  <c r="J16" i="6"/>
  <c r="K16" i="6"/>
  <c r="B17" i="6"/>
  <c r="C17" i="6"/>
  <c r="D17" i="6"/>
  <c r="E17" i="6"/>
  <c r="F17" i="6"/>
  <c r="G17" i="6"/>
  <c r="H17" i="6"/>
  <c r="I17" i="6"/>
  <c r="J17" i="6"/>
  <c r="K17" i="6"/>
  <c r="B19" i="6"/>
  <c r="C19" i="6"/>
  <c r="D19" i="6"/>
  <c r="E19" i="6"/>
  <c r="F19" i="6"/>
  <c r="G19" i="6"/>
  <c r="H19" i="6"/>
  <c r="I19" i="6"/>
  <c r="J19" i="6"/>
  <c r="K19" i="6"/>
  <c r="B20" i="6"/>
  <c r="C20" i="6"/>
  <c r="D20" i="6"/>
  <c r="E20" i="6"/>
  <c r="F20" i="6"/>
  <c r="G20" i="6"/>
  <c r="H20" i="6"/>
  <c r="I20" i="6"/>
  <c r="J20" i="6"/>
  <c r="K20" i="6"/>
  <c r="B21" i="6"/>
  <c r="C21" i="6"/>
  <c r="D21" i="6"/>
  <c r="E21" i="6"/>
  <c r="F21" i="6"/>
  <c r="G21" i="6"/>
  <c r="H21" i="6"/>
  <c r="I21" i="6"/>
  <c r="J21" i="6"/>
  <c r="K21" i="6"/>
  <c r="B22" i="6"/>
  <c r="C22" i="6"/>
  <c r="D22" i="6"/>
  <c r="E22" i="6"/>
  <c r="F22" i="6"/>
  <c r="G22" i="6"/>
  <c r="H22" i="6"/>
  <c r="I22" i="6"/>
  <c r="J22" i="6"/>
  <c r="K22" i="6"/>
  <c r="B23" i="6"/>
  <c r="C23" i="6"/>
  <c r="D23" i="6"/>
  <c r="E23" i="6"/>
  <c r="F23" i="6"/>
  <c r="G23" i="6"/>
  <c r="H23" i="6"/>
  <c r="I23" i="6"/>
  <c r="J23" i="6"/>
  <c r="K23" i="6"/>
  <c r="B24" i="6"/>
  <c r="C24" i="6"/>
  <c r="D24" i="6"/>
  <c r="E24" i="6"/>
  <c r="F24" i="6"/>
  <c r="G24" i="6"/>
  <c r="H24" i="6"/>
  <c r="I24" i="6"/>
  <c r="J24" i="6"/>
  <c r="K24" i="6"/>
  <c r="B25" i="6"/>
  <c r="C25" i="6"/>
  <c r="D25" i="6"/>
  <c r="E25" i="6"/>
  <c r="F25" i="6"/>
  <c r="G25" i="6"/>
  <c r="H25" i="6"/>
  <c r="I25" i="6"/>
  <c r="J25" i="6"/>
  <c r="K25" i="6"/>
  <c r="B26" i="6"/>
  <c r="C26" i="6"/>
  <c r="D26" i="6"/>
  <c r="E26" i="6"/>
  <c r="F26" i="6"/>
  <c r="G26" i="6"/>
  <c r="H26" i="6"/>
  <c r="I26" i="6"/>
  <c r="J26" i="6"/>
  <c r="K26" i="6"/>
  <c r="B27" i="6"/>
  <c r="C27" i="6"/>
  <c r="D27" i="6"/>
  <c r="E27" i="6"/>
  <c r="F27" i="6"/>
  <c r="G27" i="6"/>
  <c r="H27" i="6"/>
  <c r="I27" i="6"/>
  <c r="J27" i="6"/>
  <c r="K27" i="6"/>
  <c r="B28" i="6"/>
  <c r="C28" i="6"/>
  <c r="D28" i="6"/>
  <c r="E28" i="6"/>
  <c r="F28" i="6"/>
  <c r="G28" i="6"/>
  <c r="H28" i="6"/>
  <c r="I28" i="6"/>
  <c r="J28" i="6"/>
  <c r="K28" i="6"/>
  <c r="B29" i="6"/>
  <c r="C29" i="6"/>
  <c r="D29" i="6"/>
  <c r="E29" i="6"/>
  <c r="F29" i="6"/>
  <c r="G29" i="6"/>
  <c r="H29" i="6"/>
  <c r="I29" i="6"/>
  <c r="J29" i="6"/>
  <c r="K29" i="6"/>
  <c r="B30" i="6"/>
  <c r="C30" i="6"/>
  <c r="D30" i="6"/>
  <c r="E30" i="6"/>
  <c r="F30" i="6"/>
  <c r="G30" i="6"/>
  <c r="H30" i="6"/>
  <c r="I30" i="6"/>
  <c r="J30" i="6"/>
  <c r="K30" i="6"/>
  <c r="B31" i="6"/>
  <c r="C31" i="6"/>
  <c r="D31" i="6"/>
  <c r="E31" i="6"/>
  <c r="F31" i="6"/>
  <c r="G31" i="6"/>
  <c r="H31" i="6"/>
  <c r="I31" i="6"/>
  <c r="J31" i="6"/>
  <c r="K31" i="6"/>
  <c r="B32" i="6"/>
  <c r="C32" i="6"/>
  <c r="D32" i="6"/>
  <c r="E32" i="6"/>
  <c r="F32" i="6"/>
  <c r="G32" i="6"/>
  <c r="H32" i="6"/>
  <c r="I32" i="6"/>
  <c r="J32" i="6"/>
  <c r="K32" i="6"/>
  <c r="B33" i="6"/>
  <c r="C33" i="6"/>
  <c r="D33" i="6"/>
  <c r="E33" i="6"/>
  <c r="F33" i="6"/>
  <c r="G33" i="6"/>
  <c r="H33" i="6"/>
  <c r="I33" i="6"/>
  <c r="J33" i="6"/>
  <c r="K33" i="6"/>
  <c r="B34" i="6"/>
  <c r="C34" i="6"/>
  <c r="D34" i="6"/>
  <c r="E34" i="6"/>
  <c r="F34" i="6"/>
  <c r="G34" i="6"/>
  <c r="H34" i="6"/>
  <c r="I34" i="6"/>
  <c r="J34" i="6"/>
  <c r="K34" i="6"/>
  <c r="B35" i="6"/>
  <c r="C35" i="6"/>
  <c r="D35" i="6"/>
  <c r="E35" i="6"/>
  <c r="F35" i="6"/>
  <c r="G35" i="6"/>
  <c r="H35" i="6"/>
  <c r="I35" i="6"/>
  <c r="J35" i="6"/>
  <c r="K35" i="6"/>
  <c r="J18" i="6"/>
  <c r="K18" i="6"/>
  <c r="I18" i="6"/>
  <c r="H18" i="6"/>
  <c r="G18" i="6"/>
  <c r="F18" i="6"/>
  <c r="E18" i="6"/>
  <c r="D18" i="6"/>
  <c r="C18" i="6"/>
  <c r="B18" i="6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7" i="5"/>
  <c r="D17" i="5"/>
  <c r="E17" i="5"/>
  <c r="F17" i="5"/>
  <c r="G17" i="5"/>
  <c r="H17" i="5"/>
  <c r="I17" i="5"/>
  <c r="J17" i="5"/>
  <c r="K17" i="5"/>
  <c r="B5" i="5"/>
  <c r="B6" i="5"/>
  <c r="B7" i="5"/>
  <c r="B8" i="5"/>
  <c r="B9" i="5"/>
  <c r="B10" i="5"/>
  <c r="B11" i="5"/>
  <c r="B12" i="5"/>
  <c r="B13" i="5"/>
  <c r="B14" i="5"/>
  <c r="B15" i="5"/>
  <c r="B17" i="5"/>
  <c r="C4" i="5"/>
  <c r="D4" i="5"/>
  <c r="E4" i="5"/>
  <c r="F4" i="5"/>
  <c r="G4" i="5"/>
  <c r="H4" i="5"/>
  <c r="I4" i="5"/>
  <c r="J4" i="5"/>
  <c r="K4" i="5"/>
  <c r="B4" i="5"/>
  <c r="K37" i="18" l="1"/>
  <c r="K92" i="18" s="1"/>
  <c r="J92" i="18"/>
  <c r="D55" i="18"/>
  <c r="D57" i="18" s="1"/>
  <c r="D93" i="18"/>
  <c r="D152" i="18" s="1"/>
  <c r="D87" i="18"/>
  <c r="D89" i="18" s="1"/>
  <c r="D53" i="18"/>
  <c r="D54" i="18" s="1"/>
  <c r="D96" i="18"/>
  <c r="E52" i="18"/>
  <c r="E97" i="18" s="1"/>
  <c r="F97" i="18" l="1"/>
  <c r="D95" i="18"/>
  <c r="B142" i="18" s="1"/>
  <c r="D118" i="18"/>
  <c r="E61" i="18"/>
  <c r="E88" i="18"/>
  <c r="E80" i="18"/>
  <c r="D58" i="18"/>
  <c r="E60" i="18"/>
  <c r="E55" i="18"/>
  <c r="E56" i="18"/>
  <c r="E53" i="18"/>
  <c r="E54" i="18" s="1"/>
  <c r="D84" i="18"/>
  <c r="D130" i="18" s="1"/>
  <c r="E82" i="18"/>
  <c r="E81" i="18"/>
  <c r="E103" i="18" s="1"/>
  <c r="E85" i="18"/>
  <c r="E91" i="18"/>
  <c r="E93" i="18" s="1"/>
  <c r="E152" i="18" s="1"/>
  <c r="E96" i="18"/>
  <c r="F52" i="18"/>
  <c r="E104" i="18" l="1"/>
  <c r="D62" i="18"/>
  <c r="D128" i="18"/>
  <c r="D132" i="18" s="1"/>
  <c r="D138" i="18" s="1"/>
  <c r="E95" i="18"/>
  <c r="E118" i="18"/>
  <c r="D90" i="18"/>
  <c r="D99" i="18" s="1"/>
  <c r="D98" i="18" s="1"/>
  <c r="D71" i="18"/>
  <c r="D63" i="18" s="1"/>
  <c r="F61" i="18"/>
  <c r="F80" i="18"/>
  <c r="F88" i="18"/>
  <c r="E75" i="18"/>
  <c r="E129" i="18" s="1"/>
  <c r="F60" i="18"/>
  <c r="F55" i="18"/>
  <c r="F53" i="18"/>
  <c r="F54" i="18" s="1"/>
  <c r="F56" i="18"/>
  <c r="E57" i="18"/>
  <c r="E58" i="18" s="1"/>
  <c r="F85" i="18"/>
  <c r="F82" i="18"/>
  <c r="F91" i="18"/>
  <c r="F93" i="18" s="1"/>
  <c r="F152" i="18" s="1"/>
  <c r="F81" i="18"/>
  <c r="E84" i="18"/>
  <c r="E130" i="18" s="1"/>
  <c r="F96" i="18"/>
  <c r="G52" i="18"/>
  <c r="G97" i="18" s="1"/>
  <c r="F129" i="18" l="1"/>
  <c r="E62" i="18"/>
  <c r="E128" i="18"/>
  <c r="E86" i="18"/>
  <c r="E87" i="18" s="1"/>
  <c r="E89" i="18" s="1"/>
  <c r="E90" i="18" s="1"/>
  <c r="E99" i="18" s="1"/>
  <c r="E98" i="18" s="1"/>
  <c r="E114" i="18"/>
  <c r="E105" i="18"/>
  <c r="E106" i="18" s="1"/>
  <c r="E107" i="18" s="1"/>
  <c r="E111" i="18" s="1"/>
  <c r="F103" i="18"/>
  <c r="F75" i="18"/>
  <c r="F104" i="18"/>
  <c r="D74" i="18"/>
  <c r="D113" i="18"/>
  <c r="D115" i="18" s="1"/>
  <c r="D117" i="18" s="1"/>
  <c r="D119" i="18" s="1"/>
  <c r="F95" i="18"/>
  <c r="F118" i="18"/>
  <c r="E71" i="18"/>
  <c r="E63" i="18" s="1"/>
  <c r="G61" i="18"/>
  <c r="G80" i="18"/>
  <c r="G88" i="18"/>
  <c r="G60" i="18"/>
  <c r="G53" i="18"/>
  <c r="G54" i="18" s="1"/>
  <c r="G55" i="18"/>
  <c r="G56" i="18"/>
  <c r="F57" i="18"/>
  <c r="F58" i="18" s="1"/>
  <c r="F84" i="18"/>
  <c r="F130" i="18" s="1"/>
  <c r="G85" i="18"/>
  <c r="G91" i="18"/>
  <c r="G93" i="18" s="1"/>
  <c r="G152" i="18" s="1"/>
  <c r="G82" i="18"/>
  <c r="G81" i="18"/>
  <c r="G96" i="18"/>
  <c r="H52" i="18"/>
  <c r="H97" i="18" s="1"/>
  <c r="G104" i="18" l="1"/>
  <c r="G129" i="18"/>
  <c r="D120" i="18"/>
  <c r="F62" i="18"/>
  <c r="F71" i="18" s="1"/>
  <c r="G103" i="18"/>
  <c r="F86" i="18"/>
  <c r="E74" i="18"/>
  <c r="E113" i="18"/>
  <c r="E115" i="18" s="1"/>
  <c r="E117" i="18" s="1"/>
  <c r="E119" i="18" s="1"/>
  <c r="G95" i="18"/>
  <c r="G118" i="18"/>
  <c r="F114" i="18"/>
  <c r="F105" i="18"/>
  <c r="F106" i="18" s="1"/>
  <c r="F107" i="18" s="1"/>
  <c r="F111" i="18" s="1"/>
  <c r="G75" i="18"/>
  <c r="G86" i="18" s="1"/>
  <c r="G87" i="18" s="1"/>
  <c r="G89" i="18" s="1"/>
  <c r="H80" i="18"/>
  <c r="H61" i="18"/>
  <c r="H88" i="18"/>
  <c r="G57" i="18"/>
  <c r="G58" i="18" s="1"/>
  <c r="H53" i="18"/>
  <c r="H54" i="18" s="1"/>
  <c r="H56" i="18"/>
  <c r="H60" i="18"/>
  <c r="H55" i="18"/>
  <c r="H57" i="18" s="1"/>
  <c r="F87" i="18"/>
  <c r="F89" i="18" s="1"/>
  <c r="F90" i="18" s="1"/>
  <c r="F99" i="18" s="1"/>
  <c r="F98" i="18" s="1"/>
  <c r="H82" i="18"/>
  <c r="H85" i="18"/>
  <c r="H91" i="18"/>
  <c r="H93" i="18" s="1"/>
  <c r="H81" i="18"/>
  <c r="H103" i="18" s="1"/>
  <c r="H96" i="18"/>
  <c r="G84" i="18"/>
  <c r="G130" i="18" s="1"/>
  <c r="I52" i="18"/>
  <c r="I97" i="18" s="1"/>
  <c r="F63" i="18" l="1"/>
  <c r="F128" i="18"/>
  <c r="G62" i="18"/>
  <c r="H104" i="18"/>
  <c r="E120" i="18"/>
  <c r="D121" i="18"/>
  <c r="H118" i="18"/>
  <c r="H152" i="18"/>
  <c r="G90" i="18"/>
  <c r="G99" i="18" s="1"/>
  <c r="G98" i="18" s="1"/>
  <c r="G114" i="18"/>
  <c r="G105" i="18"/>
  <c r="G106" i="18" s="1"/>
  <c r="G107" i="18" s="1"/>
  <c r="G111" i="18" s="1"/>
  <c r="H58" i="18"/>
  <c r="F74" i="18"/>
  <c r="F113" i="18"/>
  <c r="F115" i="18" s="1"/>
  <c r="F117" i="18" s="1"/>
  <c r="F119" i="18" s="1"/>
  <c r="H75" i="18"/>
  <c r="H129" i="18" s="1"/>
  <c r="G71" i="18"/>
  <c r="G128" i="18" s="1"/>
  <c r="G63" i="18"/>
  <c r="I61" i="18"/>
  <c r="I80" i="18"/>
  <c r="I88" i="18"/>
  <c r="I60" i="18"/>
  <c r="I56" i="18"/>
  <c r="I53" i="18"/>
  <c r="I54" i="18" s="1"/>
  <c r="I55" i="18"/>
  <c r="I57" i="18" s="1"/>
  <c r="H95" i="18"/>
  <c r="I91" i="18"/>
  <c r="I93" i="18" s="1"/>
  <c r="I152" i="18" s="1"/>
  <c r="I85" i="18"/>
  <c r="I82" i="18"/>
  <c r="I81" i="18"/>
  <c r="I96" i="18"/>
  <c r="H84" i="18"/>
  <c r="H130" i="18" s="1"/>
  <c r="J52" i="18"/>
  <c r="J97" i="18" s="1"/>
  <c r="D151" i="18" l="1"/>
  <c r="I104" i="18"/>
  <c r="H62" i="18"/>
  <c r="H71" i="18" s="1"/>
  <c r="H63" i="18" s="1"/>
  <c r="H128" i="18"/>
  <c r="E121" i="18"/>
  <c r="E122" i="18"/>
  <c r="F120" i="18"/>
  <c r="D122" i="18"/>
  <c r="D123" i="18" s="1"/>
  <c r="D124" i="18" s="1"/>
  <c r="I103" i="18"/>
  <c r="H74" i="18"/>
  <c r="H113" i="18"/>
  <c r="G74" i="18"/>
  <c r="G113" i="18"/>
  <c r="G115" i="18" s="1"/>
  <c r="G117" i="18" s="1"/>
  <c r="G119" i="18" s="1"/>
  <c r="H86" i="18"/>
  <c r="H114" i="18"/>
  <c r="H105" i="18"/>
  <c r="H106" i="18" s="1"/>
  <c r="H107" i="18" s="1"/>
  <c r="H111" i="18" s="1"/>
  <c r="I95" i="18"/>
  <c r="I118" i="18"/>
  <c r="I75" i="18"/>
  <c r="I129" i="18" s="1"/>
  <c r="I58" i="18"/>
  <c r="J61" i="18"/>
  <c r="J80" i="18"/>
  <c r="J88" i="18"/>
  <c r="J56" i="18"/>
  <c r="J53" i="18"/>
  <c r="J54" i="18" s="1"/>
  <c r="J60" i="18"/>
  <c r="J55" i="18"/>
  <c r="H87" i="18"/>
  <c r="H89" i="18" s="1"/>
  <c r="H90" i="18" s="1"/>
  <c r="H99" i="18" s="1"/>
  <c r="H98" i="18" s="1"/>
  <c r="J91" i="18"/>
  <c r="J93" i="18" s="1"/>
  <c r="J152" i="18" s="1"/>
  <c r="J82" i="18"/>
  <c r="J85" i="18"/>
  <c r="J81" i="18"/>
  <c r="J103" i="18" s="1"/>
  <c r="J96" i="18"/>
  <c r="I84" i="18"/>
  <c r="I130" i="18" s="1"/>
  <c r="K52" i="18"/>
  <c r="K97" i="18" s="1"/>
  <c r="E123" i="18" l="1"/>
  <c r="E124" i="18" s="1"/>
  <c r="G120" i="18"/>
  <c r="E151" i="18"/>
  <c r="I62" i="18"/>
  <c r="F121" i="18"/>
  <c r="J57" i="18"/>
  <c r="J104" i="18"/>
  <c r="J75" i="18"/>
  <c r="J129" i="18" s="1"/>
  <c r="J95" i="18"/>
  <c r="J118" i="18"/>
  <c r="I86" i="18"/>
  <c r="I87" i="18" s="1"/>
  <c r="I89" i="18" s="1"/>
  <c r="I90" i="18" s="1"/>
  <c r="I99" i="18" s="1"/>
  <c r="I98" i="18" s="1"/>
  <c r="I114" i="18"/>
  <c r="I105" i="18"/>
  <c r="I106" i="18" s="1"/>
  <c r="I107" i="18" s="1"/>
  <c r="I111" i="18" s="1"/>
  <c r="H115" i="18"/>
  <c r="H117" i="18" s="1"/>
  <c r="H119" i="18" s="1"/>
  <c r="K80" i="18"/>
  <c r="K61" i="18"/>
  <c r="K88" i="18"/>
  <c r="I71" i="18"/>
  <c r="I63" i="18" s="1"/>
  <c r="J58" i="18"/>
  <c r="K56" i="18"/>
  <c r="K53" i="18"/>
  <c r="K54" i="18" s="1"/>
  <c r="K55" i="18"/>
  <c r="K60" i="18"/>
  <c r="K85" i="18"/>
  <c r="K82" i="18"/>
  <c r="K91" i="18"/>
  <c r="K93" i="18" s="1"/>
  <c r="K152" i="18" s="1"/>
  <c r="K81" i="18"/>
  <c r="K96" i="18"/>
  <c r="J84" i="18"/>
  <c r="J130" i="18" s="1"/>
  <c r="G121" i="18" l="1"/>
  <c r="G122" i="18"/>
  <c r="I128" i="18"/>
  <c r="F123" i="18"/>
  <c r="F124" i="18" s="1"/>
  <c r="H120" i="18"/>
  <c r="J62" i="18"/>
  <c r="K104" i="18"/>
  <c r="F122" i="18"/>
  <c r="F151" i="18"/>
  <c r="K103" i="18"/>
  <c r="K57" i="18"/>
  <c r="K58" i="18" s="1"/>
  <c r="J86" i="18"/>
  <c r="J105" i="18"/>
  <c r="J114" i="18"/>
  <c r="K75" i="18"/>
  <c r="K129" i="18" s="1"/>
  <c r="I74" i="18"/>
  <c r="I113" i="18"/>
  <c r="I115" i="18" s="1"/>
  <c r="I117" i="18" s="1"/>
  <c r="I119" i="18" s="1"/>
  <c r="K95" i="18"/>
  <c r="K118" i="18"/>
  <c r="J106" i="18"/>
  <c r="J107" i="18" s="1"/>
  <c r="J111" i="18" s="1"/>
  <c r="J71" i="18"/>
  <c r="J63" i="18" s="1"/>
  <c r="K84" i="18"/>
  <c r="K130" i="18" s="1"/>
  <c r="K62" i="18" l="1"/>
  <c r="K71" i="18" s="1"/>
  <c r="K63" i="18" s="1"/>
  <c r="H121" i="18"/>
  <c r="H122" i="18"/>
  <c r="G123" i="18"/>
  <c r="G124" i="18" s="1"/>
  <c r="I120" i="18"/>
  <c r="G151" i="18"/>
  <c r="H151" i="18" s="1"/>
  <c r="J128" i="18"/>
  <c r="J74" i="18"/>
  <c r="J113" i="18"/>
  <c r="J115" i="18" s="1"/>
  <c r="J117" i="18" s="1"/>
  <c r="J119" i="18" s="1"/>
  <c r="K74" i="18"/>
  <c r="K113" i="18"/>
  <c r="K86" i="18"/>
  <c r="K87" i="18" s="1"/>
  <c r="K89" i="18" s="1"/>
  <c r="K90" i="18" s="1"/>
  <c r="K99" i="18" s="1"/>
  <c r="K98" i="18" s="1"/>
  <c r="J87" i="18"/>
  <c r="J89" i="18" s="1"/>
  <c r="J90" i="18" s="1"/>
  <c r="J99" i="18" s="1"/>
  <c r="J98" i="18" s="1"/>
  <c r="K105" i="18"/>
  <c r="K106" i="18" s="1"/>
  <c r="K107" i="18" s="1"/>
  <c r="K111" i="18" s="1"/>
  <c r="K114" i="18"/>
  <c r="H123" i="18" l="1"/>
  <c r="H124" i="18" s="1"/>
  <c r="I121" i="18"/>
  <c r="K128" i="18"/>
  <c r="J120" i="18"/>
  <c r="K115" i="18"/>
  <c r="K117" i="18" s="1"/>
  <c r="K119" i="18" s="1"/>
  <c r="K120" i="18" l="1"/>
  <c r="I122" i="18"/>
  <c r="I123" i="18" s="1"/>
  <c r="I124" i="18" s="1"/>
  <c r="J121" i="18"/>
  <c r="J122" i="18"/>
  <c r="I151" i="18"/>
  <c r="J151" i="18" s="1"/>
  <c r="E132" i="18"/>
  <c r="E133" i="18" l="1"/>
  <c r="E138" i="18"/>
  <c r="K121" i="18"/>
  <c r="J123" i="18"/>
  <c r="J124" i="18" s="1"/>
  <c r="F132" i="18"/>
  <c r="F133" i="18" l="1"/>
  <c r="F138" i="18"/>
  <c r="K151" i="18"/>
  <c r="K122" i="18"/>
  <c r="K123" i="18" s="1"/>
  <c r="K124" i="18" s="1"/>
  <c r="G132" i="18"/>
  <c r="G133" i="18" l="1"/>
  <c r="G138" i="18"/>
  <c r="H132" i="18"/>
  <c r="H133" i="18" l="1"/>
  <c r="H138" i="18"/>
  <c r="I132" i="18"/>
  <c r="I133" i="18" l="1"/>
  <c r="I138" i="18"/>
  <c r="J132" i="18"/>
  <c r="J133" i="18" l="1"/>
  <c r="J138" i="18"/>
  <c r="K132" i="18"/>
  <c r="K133" i="18" l="1"/>
  <c r="D155" i="18"/>
  <c r="K135" i="18"/>
  <c r="K138" i="18"/>
  <c r="B138" i="18" s="1"/>
  <c r="K134" i="18"/>
  <c r="B144" i="18" l="1"/>
  <c r="B146" i="18" s="1"/>
  <c r="B140" i="18"/>
</calcChain>
</file>

<file path=xl/sharedStrings.xml><?xml version="1.0" encoding="utf-8"?>
<sst xmlns="http://schemas.openxmlformats.org/spreadsheetml/2006/main" count="1276" uniqueCount="345">
  <si>
    <t>Total Liabilities &amp; Equity</t>
  </si>
  <si>
    <t>Total Equity</t>
  </si>
  <si>
    <t>-</t>
  </si>
  <si>
    <t>Treasury Stock</t>
  </si>
  <si>
    <t>Accum Other Comprehensive Income</t>
  </si>
  <si>
    <t>Retained Earnings</t>
  </si>
  <si>
    <t>Additional Paid-In Capital</t>
  </si>
  <si>
    <t>Common Share Capital</t>
  </si>
  <si>
    <t>Total Liabilities</t>
  </si>
  <si>
    <t>Other Liabilities</t>
  </si>
  <si>
    <t>Deferred LT Liabilities</t>
  </si>
  <si>
    <t>LT Debt &amp; Leases</t>
  </si>
  <si>
    <t>Total Current Liabilities</t>
  </si>
  <si>
    <t>Other Current Liabilities</t>
  </si>
  <si>
    <t>Current Debt</t>
  </si>
  <si>
    <t>Accrued Expenses</t>
  </si>
  <si>
    <t>Accounts Payable</t>
  </si>
  <si>
    <t>Accounts Payable &amp; Accrued Exps</t>
  </si>
  <si>
    <t>Total Assets</t>
  </si>
  <si>
    <t>Other Assets</t>
  </si>
  <si>
    <t>Intangible Assets</t>
  </si>
  <si>
    <t>Net Property Plant &amp; Equip</t>
  </si>
  <si>
    <t>Accumulated Depreciation</t>
  </si>
  <si>
    <t>Gross Property Plant &amp; Equip</t>
  </si>
  <si>
    <t>Total Current Assets</t>
  </si>
  <si>
    <t>Other Current Assets</t>
  </si>
  <si>
    <t>Inventories</t>
  </si>
  <si>
    <t>Receivables (ST)</t>
  </si>
  <si>
    <t>Cash &amp; Equivs &amp; ST Investments</t>
  </si>
  <si>
    <t>Short Term Investments</t>
  </si>
  <si>
    <t>Cash &amp; Equivalents</t>
  </si>
  <si>
    <t>Thousands</t>
  </si>
  <si>
    <t>Scale</t>
  </si>
  <si>
    <t>Yes</t>
  </si>
  <si>
    <t>Consolidated</t>
  </si>
  <si>
    <t>Not Qualified</t>
  </si>
  <si>
    <t>Audit Status</t>
  </si>
  <si>
    <t>USD</t>
  </si>
  <si>
    <t>Currency</t>
  </si>
  <si>
    <t>01/28/2024</t>
  </si>
  <si>
    <t>01/29/2023</t>
  </si>
  <si>
    <t>01/30/2022</t>
  </si>
  <si>
    <t>01/31/2021</t>
  </si>
  <si>
    <t>01/26/2020</t>
  </si>
  <si>
    <t>01/27/2019</t>
  </si>
  <si>
    <t>01/28/2018</t>
  </si>
  <si>
    <t>01/29/2017</t>
  </si>
  <si>
    <t>01/31/2016</t>
  </si>
  <si>
    <t>01/25/2015</t>
  </si>
  <si>
    <t>Report Date</t>
  </si>
  <si>
    <t xml:space="preserve">Standardized Annual Balance Sheet </t>
  </si>
  <si>
    <t>NVIDIA Corp (NMS: NVDA)</t>
  </si>
  <si>
    <t>Powered by Clearbit</t>
  </si>
  <si>
    <t xml:space="preserve">Standardized Annual Income Statement </t>
  </si>
  <si>
    <t>Sales Revenue</t>
  </si>
  <si>
    <t>Total Revenue</t>
  </si>
  <si>
    <t>Direct Costs</t>
  </si>
  <si>
    <t>Gross Profit</t>
  </si>
  <si>
    <t>Selling General &amp; Admin</t>
  </si>
  <si>
    <t>Research &amp; Development</t>
  </si>
  <si>
    <t>Restruct Remediation &amp; Impair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</si>
  <si>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</si>
  <si>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</si>
  <si>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</si>
  <si>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</si>
  <si>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</si>
  <si>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</si>
  <si>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Net Income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</si>
  <si>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</si>
  <si>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</si>
  <si>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</si>
  <si>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</si>
  <si>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</si>
  <si>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</si>
  <si>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</si>
  <si>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</si>
  <si>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 xml:space="preserve">Standardized Annual Cash Flows </t>
  </si>
  <si>
    <t>Adjustments from Inc to Cash</t>
  </si>
  <si>
    <t>Change in Working Capital</t>
  </si>
  <si>
    <t>Cash Flow from Operations</t>
  </si>
  <si>
    <t>Purchase of Pty Plant &amp; Equip</t>
  </si>
  <si>
    <t>Purchase of Investments</t>
  </si>
  <si>
    <t>Disposal of Investments</t>
  </si>
  <si>
    <t>Change in Business Activities</t>
  </si>
  <si>
    <t>Other Investing Cash Flows</t>
  </si>
  <si>
    <t>Cash Flow from Investing</t>
  </si>
  <si>
    <t>Change in LT Debt</t>
  </si>
  <si>
    <t>Change in Equity</t>
  </si>
  <si>
    <t>Payment of Dividends</t>
  </si>
  <si>
    <t>Other Financing Cash Flows</t>
  </si>
  <si>
    <t>Cash Flow from Financing</t>
  </si>
  <si>
    <t>Change in Cash</t>
  </si>
  <si>
    <t>Opening Cash</t>
  </si>
  <si>
    <t>Closing Cash</t>
  </si>
  <si>
    <t>Depn &amp; Amortn (CF)</t>
  </si>
  <si>
    <t>Net Purch of Pty Plant &amp; Equip</t>
  </si>
  <si>
    <t>Revenue Growth</t>
  </si>
  <si>
    <t xml:space="preserve">Net Profit Margin </t>
  </si>
  <si>
    <t xml:space="preserve">Gross Profit Margin </t>
  </si>
  <si>
    <t>Return On Assets</t>
  </si>
  <si>
    <t xml:space="preserve">Return on equity </t>
  </si>
  <si>
    <t>Liquidity Ratio</t>
  </si>
  <si>
    <t>Current Ratio</t>
  </si>
  <si>
    <t>Quick Ratios</t>
  </si>
  <si>
    <t>Cash Ratio</t>
  </si>
  <si>
    <t>Leverage Ratio</t>
  </si>
  <si>
    <t>Debt to Equity Ratio</t>
  </si>
  <si>
    <t>Debt Ratio</t>
  </si>
  <si>
    <t>Revenue</t>
  </si>
  <si>
    <t>113.27B</t>
  </si>
  <si>
    <t>24.30B</t>
  </si>
  <si>
    <t>54.25B</t>
  </si>
  <si>
    <t>38.96B</t>
  </si>
  <si>
    <t>gross profit</t>
  </si>
  <si>
    <t>85.93B</t>
  </si>
  <si>
    <t>11.75B</t>
  </si>
  <si>
    <t>18.81B</t>
  </si>
  <si>
    <t>21.90B</t>
  </si>
  <si>
    <t>Gross Margin</t>
  </si>
  <si>
    <t>Profit Margin</t>
  </si>
  <si>
    <t>NVDA</t>
  </si>
  <si>
    <t>NVIDIA Corporation</t>
  </si>
  <si>
    <t>AMD</t>
  </si>
  <si>
    <t>Advanced Micro Devices, Inc.</t>
  </si>
  <si>
    <t>INTC</t>
  </si>
  <si>
    <t>Intel Corporation</t>
  </si>
  <si>
    <t>QCOM</t>
  </si>
  <si>
    <t>QUALCOMM Incorporated</t>
  </si>
  <si>
    <t>Advanced Micro Devices Inc (NMS: AMD)</t>
  </si>
  <si>
    <t xml:space="preserve">Exchange rate used is that of the Year End reported date </t>
  </si>
  <si>
    <t>12/30/2023</t>
  </si>
  <si>
    <t>12/31/2022</t>
  </si>
  <si>
    <t>12/25/2021</t>
  </si>
  <si>
    <t>12/26/2020</t>
  </si>
  <si>
    <t>12/28/2019</t>
  </si>
  <si>
    <t>12/29/2018</t>
  </si>
  <si>
    <t>12/30/2017</t>
  </si>
  <si>
    <t>12/31/2016</t>
  </si>
  <si>
    <t>12/26/2015</t>
  </si>
  <si>
    <t>12/27/2014</t>
  </si>
  <si>
    <t>Related Parties (ST Asset)</t>
  </si>
  <si>
    <t>Long Term Investments</t>
  </si>
  <si>
    <t>Prepayments (LT)</t>
  </si>
  <si>
    <t>Deferred LT Assets</t>
  </si>
  <si>
    <t>Minority Interests</t>
  </si>
  <si>
    <t>Other Equity</t>
  </si>
  <si>
    <t>Other Revenue</t>
  </si>
  <si>
    <t>Depreciation &amp; Amortization</t>
  </si>
  <si>
    <t>Other Operating Expense</t>
  </si>
  <si>
    <t>Gains on Sale of Assets</t>
  </si>
  <si>
    <t>Taxation</t>
  </si>
  <si>
    <t>Equity Earnings</t>
  </si>
  <si>
    <t>Extraordinary Items</t>
  </si>
  <si>
    <t>Accounting Changes</t>
  </si>
  <si>
    <t>Preference Dividends &amp; Similar</t>
  </si>
  <si>
    <t>Qualcomm Inc (NMS: QCOM)</t>
  </si>
  <si>
    <t>09/29/2024</t>
  </si>
  <si>
    <t>09/24/2023</t>
  </si>
  <si>
    <t>09/25/2022</t>
  </si>
  <si>
    <t>09/26/2021</t>
  </si>
  <si>
    <t>09/27/2020</t>
  </si>
  <si>
    <t>09/29/2019</t>
  </si>
  <si>
    <t>09/30/2018</t>
  </si>
  <si>
    <t>09/24/2017</t>
  </si>
  <si>
    <t>09/25/2016</t>
  </si>
  <si>
    <t>09/27/2015</t>
  </si>
  <si>
    <t>Current Tax Assets</t>
  </si>
  <si>
    <t>Assets Held for Sale (ST)</t>
  </si>
  <si>
    <t>Assets Held for Sale (LT)</t>
  </si>
  <si>
    <t>For Curr Trans (BS)</t>
  </si>
  <si>
    <t>Foreign Exchange Gains</t>
  </si>
  <si>
    <t>Earnings After Tax</t>
  </si>
  <si>
    <t>Year</t>
  </si>
  <si>
    <t>Free Cash Flow</t>
  </si>
  <si>
    <t>Y/Y Growth in Total Revenue, %</t>
  </si>
  <si>
    <t>Report Year</t>
  </si>
  <si>
    <t>Sales Growth</t>
  </si>
  <si>
    <t>COGS/sales</t>
  </si>
  <si>
    <t>SGA/Sales</t>
  </si>
  <si>
    <t>Depreciation/sales</t>
  </si>
  <si>
    <t>Cash/Sales</t>
  </si>
  <si>
    <t>Receivables/Sales</t>
  </si>
  <si>
    <t>Inventories/Sales</t>
  </si>
  <si>
    <t>FA/Sales</t>
  </si>
  <si>
    <t>Other Assets/Sales</t>
  </si>
  <si>
    <t>Accounts Payable/sales</t>
  </si>
  <si>
    <t>Other Current Liabilities/Sales</t>
  </si>
  <si>
    <t>LT debt/Slales</t>
  </si>
  <si>
    <t>Deferred LT liabilities/Sales</t>
  </si>
  <si>
    <t>Other Liabilites/Sales</t>
  </si>
  <si>
    <t>Paid in Capital/Slaes</t>
  </si>
  <si>
    <t>Retained Earnings/Sales</t>
  </si>
  <si>
    <t>=</t>
  </si>
  <si>
    <t>Depriciation &amp; Amoriztion</t>
  </si>
  <si>
    <t>Accumulated Deprecation</t>
  </si>
  <si>
    <t>Balance Sheet</t>
  </si>
  <si>
    <t>CashFlows</t>
  </si>
  <si>
    <t>Net Cape</t>
  </si>
  <si>
    <t>Net Net Working Capital</t>
  </si>
  <si>
    <t>Operating cash flows</t>
  </si>
  <si>
    <t>average share basic</t>
  </si>
  <si>
    <t>annual decrease</t>
  </si>
  <si>
    <t>interest rate</t>
  </si>
  <si>
    <t>Projected Financial Statements</t>
  </si>
  <si>
    <t>Income Statement</t>
  </si>
  <si>
    <t>Projected Assumptions</t>
  </si>
  <si>
    <t>Cash Flow</t>
  </si>
  <si>
    <t>operating cash flow</t>
  </si>
  <si>
    <t>change CAPEX</t>
  </si>
  <si>
    <t>change NWC</t>
  </si>
  <si>
    <t>CFFA</t>
  </si>
  <si>
    <t>Growth</t>
  </si>
  <si>
    <t>Operating Income(EBIT)</t>
  </si>
  <si>
    <t>Earnings Before Tax(EBT)</t>
  </si>
  <si>
    <t>sales</t>
  </si>
  <si>
    <t>Industry</t>
  </si>
  <si>
    <t>Intel Corp  (NMS: INTC)</t>
  </si>
  <si>
    <t>12/28/2024</t>
  </si>
  <si>
    <t>Millions</t>
  </si>
  <si>
    <t>Receivables (LT)</t>
  </si>
  <si>
    <t>Temporary Equity</t>
  </si>
  <si>
    <t>EBIT/TA</t>
  </si>
  <si>
    <t>NI/TA</t>
  </si>
  <si>
    <t>NI/TE</t>
  </si>
  <si>
    <t>Gross margin</t>
  </si>
  <si>
    <t>RD/Sales</t>
  </si>
  <si>
    <t>NI/Revenue</t>
  </si>
  <si>
    <t>COGS/Sales</t>
  </si>
  <si>
    <t>AR/Sales</t>
  </si>
  <si>
    <t>sales Growth</t>
  </si>
  <si>
    <t>AVERAGE</t>
  </si>
  <si>
    <t>ULTI</t>
  </si>
  <si>
    <t>average growth</t>
  </si>
  <si>
    <t>ST.d</t>
  </si>
  <si>
    <t>industry</t>
  </si>
  <si>
    <t>Profitibility/return on investment</t>
  </si>
  <si>
    <t>competitors</t>
  </si>
  <si>
    <t>Profit margin</t>
  </si>
  <si>
    <t>CGS/Revenue</t>
  </si>
  <si>
    <t>SGA/Revenue</t>
  </si>
  <si>
    <t>R&amp;D/Revenue</t>
  </si>
  <si>
    <t>Operating Costs/Sales</t>
  </si>
  <si>
    <t>Tax rate</t>
  </si>
  <si>
    <t>Interest(on avg Debt)</t>
  </si>
  <si>
    <t>Interest(on Avg Debt)</t>
  </si>
  <si>
    <t>Interest(on Avg Debt</t>
  </si>
  <si>
    <t>Net income/Revenue</t>
  </si>
  <si>
    <t>AP, Acr Exp/Sales</t>
  </si>
  <si>
    <t>Depreciation/FA</t>
  </si>
  <si>
    <t>Operating Efficiency</t>
  </si>
  <si>
    <t>Revenue/TA</t>
  </si>
  <si>
    <t>Sales/AR</t>
  </si>
  <si>
    <t>Receivable/Days</t>
  </si>
  <si>
    <t>Sales/Payable</t>
  </si>
  <si>
    <t>Payable/Days</t>
  </si>
  <si>
    <t>TD/TA</t>
  </si>
  <si>
    <t>Leverage</t>
  </si>
  <si>
    <t>Debt/Equity</t>
  </si>
  <si>
    <t>TA/Equity</t>
  </si>
  <si>
    <t>EBIT/Interest</t>
  </si>
  <si>
    <t>Liquidity</t>
  </si>
  <si>
    <t>CA/CL</t>
  </si>
  <si>
    <t>Cash + AR/CL</t>
  </si>
  <si>
    <t>Cash/Revenue</t>
  </si>
  <si>
    <t>External Factors</t>
  </si>
  <si>
    <t>Risk Free Rate</t>
  </si>
  <si>
    <t>Market risk premium</t>
  </si>
  <si>
    <t>Interest rate on debt (cost of debt)</t>
  </si>
  <si>
    <t>Annual sales growth</t>
  </si>
  <si>
    <t>Cost of equity</t>
  </si>
  <si>
    <t>Capital Structure (% debt)</t>
  </si>
  <si>
    <t>WACC (discount rate)</t>
  </si>
  <si>
    <t>Perpetual CF growth</t>
  </si>
  <si>
    <t>Perpetual discount</t>
  </si>
  <si>
    <t>year</t>
  </si>
  <si>
    <t>Beta</t>
  </si>
  <si>
    <t>number of shares</t>
  </si>
  <si>
    <t>stock price</t>
  </si>
  <si>
    <t>market cap</t>
  </si>
  <si>
    <t>Tax Rate</t>
  </si>
  <si>
    <t>total non-operating income</t>
  </si>
  <si>
    <t>Depreciation</t>
  </si>
  <si>
    <t>Total LT Assets</t>
  </si>
  <si>
    <t>Required financing</t>
  </si>
  <si>
    <t>Sources of funds:</t>
  </si>
  <si>
    <t>Net income</t>
  </si>
  <si>
    <t>Earnings CF</t>
  </si>
  <si>
    <t>Minimum Dividend</t>
  </si>
  <si>
    <t>Internal Financing</t>
  </si>
  <si>
    <t>Spontaneous Financiang (CL)</t>
  </si>
  <si>
    <t>Total int and spont financing</t>
  </si>
  <si>
    <t>Required external financing</t>
  </si>
  <si>
    <t>Debt issued</t>
  </si>
  <si>
    <t>Equity issued</t>
  </si>
  <si>
    <t>Total discretionary financing</t>
  </si>
  <si>
    <t>Total financing</t>
  </si>
  <si>
    <t>Investment Module</t>
  </si>
  <si>
    <t>Current Asset Investment</t>
  </si>
  <si>
    <t>Investment in new Fixed Assets</t>
  </si>
  <si>
    <t>Replacement of Depreciated Assets</t>
  </si>
  <si>
    <t>Fixed Asset Investment</t>
  </si>
  <si>
    <t>Total Investment</t>
  </si>
  <si>
    <t>Financiang Module</t>
  </si>
  <si>
    <t>Debt portion to fin operations</t>
  </si>
  <si>
    <t>Payout ratio</t>
  </si>
  <si>
    <t>Enterprise Value</t>
  </si>
  <si>
    <t>EV/share</t>
  </si>
  <si>
    <t>Net Debt</t>
  </si>
  <si>
    <t>Equity Value</t>
  </si>
  <si>
    <t>Proj Stock Price</t>
  </si>
  <si>
    <t>Interest and Debt Service</t>
  </si>
  <si>
    <t>Interest expense</t>
  </si>
  <si>
    <t>Total Interest bearing debt</t>
  </si>
  <si>
    <t>Total debt</t>
  </si>
  <si>
    <t>Terminal Value</t>
  </si>
  <si>
    <t>Trminal Value</t>
  </si>
  <si>
    <t>Market Cap</t>
  </si>
  <si>
    <t>Shares outstanding</t>
  </si>
  <si>
    <t xml:space="preserve">NET INCOME </t>
  </si>
  <si>
    <t>NET INCOME (last)</t>
  </si>
  <si>
    <t>EBITDA</t>
  </si>
  <si>
    <t>SALES</t>
  </si>
  <si>
    <t>BOOK VALUE (EQUITY)</t>
  </si>
  <si>
    <t xml:space="preserve">P/E </t>
  </si>
  <si>
    <t>P/E (forward or last earnings)</t>
  </si>
  <si>
    <t>EBITDA multiplier</t>
  </si>
  <si>
    <t>Sales multiplier</t>
  </si>
  <si>
    <t>Book Value multiplier</t>
  </si>
  <si>
    <t>Intel</t>
  </si>
  <si>
    <t>Qualcomm</t>
  </si>
  <si>
    <t>Average</t>
  </si>
  <si>
    <t>NVDIA</t>
  </si>
  <si>
    <t>Free Cash Flow Percentages</t>
  </si>
  <si>
    <t>avg stock price</t>
  </si>
  <si>
    <t>Market capitilization</t>
  </si>
  <si>
    <t>ear</t>
  </si>
  <si>
    <t>AMD Price (USD)</t>
  </si>
  <si>
    <t>AMD Shares Outstanding</t>
  </si>
  <si>
    <t>Intel Price (USD)</t>
  </si>
  <si>
    <t>Intel Shares Outstanding</t>
  </si>
  <si>
    <t>NVIDIA Price (USD)</t>
  </si>
  <si>
    <t>NVIDIA Shares Outstanding</t>
  </si>
  <si>
    <t>Qualcomm Price (USD)</t>
  </si>
  <si>
    <t>Qualcomm Shares Outstanding</t>
  </si>
  <si>
    <t>2,460,000,000 (Stock Split)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</si>
</sst>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$-409]#,##0.00"/>
    <numFmt numFmtId="166" formatCode="0.0"/>
    <numFmt numFmtId="167" formatCode="0.0000000"/>
    <numFmt numFmtId="168" formatCode="0.0%"/>
    <numFmt numFmtId="169" formatCode="[$$-C09]#,##0.00"/>
    <numFmt numFmtId="170" formatCode="0.000"/>
    <numFmt numFmtId="171" formatCode="[$$-C09]#,##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232A31"/>
      <name val="Arial"/>
      <family val="2"/>
    </font>
    <font>
      <b/>
      <sz val="11"/>
      <color rgb="FF232A31"/>
      <name val="Arial"/>
      <family val="2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3"/>
      <color rgb="FF303030"/>
      <name val="Inherit"/>
    </font>
    <font>
      <sz val="8"/>
      <name val="Aptos Narrow"/>
      <family val="2"/>
      <scheme val="minor"/>
    </font>
    <font>
      <sz val="10"/>
      <color rgb="FF000000"/>
      <name val="Roboto"/>
    </font>
    <font>
      <b/>
      <sz val="15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i/>
      <sz val="10"/>
      <name val="Arial"/>
      <family val="2"/>
    </font>
    <font>
      <sz val="11"/>
      <color rgb="FF303030"/>
      <name val="Inheri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8" fillId="0" borderId="0"/>
    <xf numFmtId="0" fontId="22" fillId="0" borderId="0" applyFill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/>
    <xf numFmtId="0" fontId="7" fillId="0" borderId="0" xfId="0" applyFont="1"/>
    <xf numFmtId="2" fontId="0" fillId="0" borderId="0" xfId="0" applyNumberFormat="1"/>
    <xf numFmtId="0" fontId="3" fillId="0" borderId="0" xfId="0" applyFont="1"/>
    <xf numFmtId="0" fontId="8" fillId="0" borderId="0" xfId="0" applyFont="1"/>
    <xf numFmtId="0" fontId="9" fillId="0" borderId="0" xfId="0" applyFont="1"/>
    <xf numFmtId="9" fontId="6" fillId="0" borderId="0" xfId="1" applyFont="1"/>
    <xf numFmtId="0" fontId="2" fillId="0" borderId="0" xfId="0" applyFon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10" fillId="0" borderId="0" xfId="0" applyFont="1"/>
    <xf numFmtId="165" fontId="6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2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right" vertical="top" wrapText="1"/>
    </xf>
    <xf numFmtId="166" fontId="0" fillId="0" borderId="0" xfId="0" applyNumberFormat="1"/>
    <xf numFmtId="0" fontId="16" fillId="0" borderId="0" xfId="2"/>
    <xf numFmtId="0" fontId="15" fillId="0" borderId="0" xfId="2" applyFont="1" applyAlignment="1">
      <alignment vertical="top" wrapText="1"/>
    </xf>
    <xf numFmtId="0" fontId="15" fillId="0" borderId="0" xfId="2" applyFont="1" applyAlignment="1">
      <alignment horizontal="left" vertical="top"/>
    </xf>
    <xf numFmtId="0" fontId="15" fillId="0" borderId="0" xfId="2" applyFont="1" applyAlignment="1">
      <alignment horizontal="right" vertical="top" wrapText="1"/>
    </xf>
    <xf numFmtId="0" fontId="16" fillId="0" borderId="0" xfId="2" applyAlignment="1">
      <alignment horizontal="left"/>
    </xf>
    <xf numFmtId="1" fontId="16" fillId="0" borderId="0" xfId="2" applyNumberFormat="1"/>
    <xf numFmtId="0" fontId="16" fillId="0" borderId="0" xfId="2" applyAlignment="1">
      <alignment horizontal="right"/>
    </xf>
    <xf numFmtId="2" fontId="16" fillId="0" borderId="0" xfId="2" applyNumberFormat="1"/>
    <xf numFmtId="0" fontId="15" fillId="0" borderId="0" xfId="2" applyFont="1" applyAlignment="1">
      <alignment horizontal="right" vertical="top"/>
    </xf>
    <xf numFmtId="0" fontId="0" fillId="0" borderId="0" xfId="0" applyAlignment="1">
      <alignment horizontal="center"/>
    </xf>
    <xf numFmtId="1" fontId="6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8" fontId="2" fillId="0" borderId="0" xfId="0" applyNumberFormat="1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/>
    </xf>
    <xf numFmtId="8" fontId="0" fillId="0" borderId="0" xfId="0" applyNumberForma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9" fontId="8" fillId="0" borderId="0" xfId="0" applyNumberFormat="1" applyFont="1"/>
    <xf numFmtId="168" fontId="0" fillId="0" borderId="0" xfId="0" applyNumberFormat="1"/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9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10" fontId="8" fillId="0" borderId="0" xfId="0" applyNumberFormat="1" applyFont="1" applyAlignment="1">
      <alignment horizontal="right" vertical="top" wrapText="1"/>
    </xf>
    <xf numFmtId="10" fontId="0" fillId="0" borderId="0" xfId="0" applyNumberFormat="1" applyAlignment="1">
      <alignment horizontal="center" vertical="center" wrapText="1"/>
    </xf>
    <xf numFmtId="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/>
    </xf>
    <xf numFmtId="1" fontId="21" fillId="0" borderId="0" xfId="0" applyNumberFormat="1" applyFont="1"/>
    <xf numFmtId="0" fontId="3" fillId="0" borderId="0" xfId="3" applyFont="1" applyAlignment="1">
      <alignment horizontal="left" vertical="top"/>
    </xf>
    <xf numFmtId="0" fontId="3" fillId="0" borderId="0" xfId="3" applyFont="1" applyAlignment="1">
      <alignment horizontal="right" vertical="top" wrapText="1"/>
    </xf>
    <xf numFmtId="0" fontId="8" fillId="0" borderId="0" xfId="3" applyAlignment="1">
      <alignment horizontal="left"/>
    </xf>
    <xf numFmtId="1" fontId="8" fillId="0" borderId="0" xfId="3" applyNumberFormat="1"/>
    <xf numFmtId="0" fontId="8" fillId="0" borderId="0" xfId="3" applyAlignment="1">
      <alignment horizontal="right"/>
    </xf>
    <xf numFmtId="2" fontId="8" fillId="0" borderId="0" xfId="3" applyNumberFormat="1"/>
    <xf numFmtId="170" fontId="8" fillId="0" borderId="0" xfId="3" applyNumberFormat="1"/>
    <xf numFmtId="0" fontId="22" fillId="0" borderId="0" xfId="4" applyFill="1" applyAlignment="1">
      <alignment horizontal="left"/>
    </xf>
    <xf numFmtId="0" fontId="23" fillId="0" borderId="0" xfId="4" applyFont="1" applyFill="1" applyAlignment="1">
      <alignment horizontal="left"/>
    </xf>
    <xf numFmtId="9" fontId="3" fillId="0" borderId="0" xfId="0" applyNumberFormat="1" applyFont="1" applyAlignment="1">
      <alignment horizontal="left" vertical="top"/>
    </xf>
    <xf numFmtId="0" fontId="23" fillId="0" borderId="0" xfId="4" applyFont="1" applyFill="1" applyAlignment="1">
      <alignment horizontal="left" vertical="top" wrapText="1"/>
    </xf>
    <xf numFmtId="9" fontId="27" fillId="0" borderId="0" xfId="1" applyFont="1"/>
    <xf numFmtId="0" fontId="24" fillId="0" borderId="0" xfId="0" applyFont="1"/>
    <xf numFmtId="0" fontId="22" fillId="0" borderId="0" xfId="0" applyFont="1"/>
    <xf numFmtId="0" fontId="26" fillId="0" borderId="0" xfId="0" applyFont="1"/>
    <xf numFmtId="0" fontId="23" fillId="0" borderId="0" xfId="0" applyFont="1"/>
    <xf numFmtId="2" fontId="0" fillId="0" borderId="0" xfId="1" applyNumberFormat="1" applyFont="1"/>
    <xf numFmtId="0" fontId="29" fillId="0" borderId="0" xfId="0" applyFont="1" applyAlignment="1">
      <alignment horizontal="left" vertical="center" wrapText="1"/>
    </xf>
    <xf numFmtId="0" fontId="30" fillId="0" borderId="0" xfId="0" applyFont="1"/>
    <xf numFmtId="9" fontId="0" fillId="0" borderId="0" xfId="0" applyNumberFormat="1" applyAlignment="1">
      <alignment horizontal="center"/>
    </xf>
    <xf numFmtId="0" fontId="8" fillId="0" borderId="0" xfId="0" applyFont="1" applyAlignment="1">
      <alignment horizontal="right" vertical="top" wrapText="1"/>
    </xf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horizontal="center"/>
    </xf>
    <xf numFmtId="0" fontId="28" fillId="0" borderId="0" xfId="0" applyFont="1"/>
    <xf numFmtId="0" fontId="25" fillId="0" borderId="0" xfId="0" applyFont="1"/>
    <xf numFmtId="171" fontId="0" fillId="0" borderId="0" xfId="0" applyNumberFormat="1" applyAlignment="1">
      <alignment horizontal="center"/>
    </xf>
    <xf numFmtId="0" fontId="23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14" fontId="0" fillId="0" borderId="0" xfId="0" applyNumberFormat="1"/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8">
    <cellStyle name="Comma 2" xfId="5" xr:uid="{8378DB82-6049-4332-9327-116EADFC3280}"/>
    <cellStyle name="Currency 2" xfId="6" xr:uid="{68962C5C-2096-4E12-82B0-33466B57D82B}"/>
    <cellStyle name="Normal" xfId="0" builtinId="0"/>
    <cellStyle name="Normal 2" xfId="2" xr:uid="{986E4AD9-BFB1-41BD-B77C-8E334ED13E60}"/>
    <cellStyle name="Normal 3" xfId="3" xr:uid="{23C6604F-5063-4410-82EE-AB5E472D2713}"/>
    <cellStyle name="Normal 4" xfId="4" xr:uid="{86A85A80-F722-480E-B74C-888149AA9C35}"/>
    <cellStyle name="Percent" xfId="1" builtinId="5"/>
    <cellStyle name="Percent 2" xfId="7" xr:uid="{047B8844-223F-49D9-A9FB-D597B06C8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 '!$A$23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'!$B$23:$L$23</c:f>
              <c:numCache>
                <c:formatCode>[$$-409]#,##0.00</c:formatCode>
                <c:ptCount val="11"/>
                <c:pt idx="0">
                  <c:v>7201368</c:v>
                </c:pt>
                <c:pt idx="1">
                  <c:v>7370000</c:v>
                </c:pt>
                <c:pt idx="2">
                  <c:v>9841000</c:v>
                </c:pt>
                <c:pt idx="3">
                  <c:v>11241000</c:v>
                </c:pt>
                <c:pt idx="4">
                  <c:v>13292000</c:v>
                </c:pt>
                <c:pt idx="5">
                  <c:v>17315000</c:v>
                </c:pt>
                <c:pt idx="6">
                  <c:v>28791000</c:v>
                </c:pt>
                <c:pt idx="7">
                  <c:v>44187000</c:v>
                </c:pt>
                <c:pt idx="8">
                  <c:v>41182000</c:v>
                </c:pt>
                <c:pt idx="9">
                  <c:v>65728000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C-4400-846C-4450D116F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694384"/>
        <c:axId val="805691504"/>
      </c:barChart>
      <c:catAx>
        <c:axId val="8056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1504"/>
        <c:crosses val="autoZero"/>
        <c:auto val="1"/>
        <c:lblAlgn val="ctr"/>
        <c:lblOffset val="100"/>
        <c:noMultiLvlLbl val="0"/>
      </c:catAx>
      <c:valAx>
        <c:axId val="8056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Assets Vs Total Asserts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'!$A$17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'!$B$17:$L$17</c:f>
              <c:numCache>
                <c:formatCode>[$$-409]#,##0.00</c:formatCode>
                <c:ptCount val="11"/>
                <c:pt idx="0">
                  <c:v>5713297</c:v>
                </c:pt>
                <c:pt idx="1">
                  <c:v>6053000</c:v>
                </c:pt>
                <c:pt idx="2">
                  <c:v>8536000</c:v>
                </c:pt>
                <c:pt idx="3">
                  <c:v>9255000</c:v>
                </c:pt>
                <c:pt idx="4">
                  <c:v>10557000</c:v>
                </c:pt>
                <c:pt idx="5">
                  <c:v>13690000</c:v>
                </c:pt>
                <c:pt idx="6">
                  <c:v>16055000</c:v>
                </c:pt>
                <c:pt idx="7">
                  <c:v>28829000</c:v>
                </c:pt>
                <c:pt idx="8">
                  <c:v>23073000</c:v>
                </c:pt>
                <c:pt idx="9">
                  <c:v>44345000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D-471E-8080-BB700BFA8BC1}"/>
            </c:ext>
          </c:extLst>
        </c:ser>
        <c:ser>
          <c:idx val="1"/>
          <c:order val="1"/>
          <c:tx>
            <c:strRef>
              <c:f>'BALANCE SHEET '!$A$23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'!$B$23:$L$23</c:f>
              <c:numCache>
                <c:formatCode>[$$-409]#,##0.00</c:formatCode>
                <c:ptCount val="11"/>
                <c:pt idx="0">
                  <c:v>7201368</c:v>
                </c:pt>
                <c:pt idx="1">
                  <c:v>7370000</c:v>
                </c:pt>
                <c:pt idx="2">
                  <c:v>9841000</c:v>
                </c:pt>
                <c:pt idx="3">
                  <c:v>11241000</c:v>
                </c:pt>
                <c:pt idx="4">
                  <c:v>13292000</c:v>
                </c:pt>
                <c:pt idx="5">
                  <c:v>17315000</c:v>
                </c:pt>
                <c:pt idx="6">
                  <c:v>28791000</c:v>
                </c:pt>
                <c:pt idx="7">
                  <c:v>44187000</c:v>
                </c:pt>
                <c:pt idx="8">
                  <c:v>41182000</c:v>
                </c:pt>
                <c:pt idx="9">
                  <c:v>65728000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D-471E-8080-BB700BFA8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179632"/>
        <c:axId val="806178552"/>
      </c:lineChart>
      <c:catAx>
        <c:axId val="80617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8552"/>
        <c:crosses val="autoZero"/>
        <c:auto val="1"/>
        <c:lblAlgn val="ctr"/>
        <c:lblOffset val="100"/>
        <c:noMultiLvlLbl val="0"/>
      </c:catAx>
      <c:valAx>
        <c:axId val="80617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Assets Vs Total Liabilities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 '!$A$23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'!$B$23:$L$23</c:f>
              <c:numCache>
                <c:formatCode>[$$-409]#,##0.00</c:formatCode>
                <c:ptCount val="11"/>
                <c:pt idx="0">
                  <c:v>7201368</c:v>
                </c:pt>
                <c:pt idx="1">
                  <c:v>7370000</c:v>
                </c:pt>
                <c:pt idx="2">
                  <c:v>9841000</c:v>
                </c:pt>
                <c:pt idx="3">
                  <c:v>11241000</c:v>
                </c:pt>
                <c:pt idx="4">
                  <c:v>13292000</c:v>
                </c:pt>
                <c:pt idx="5">
                  <c:v>17315000</c:v>
                </c:pt>
                <c:pt idx="6">
                  <c:v>28791000</c:v>
                </c:pt>
                <c:pt idx="7">
                  <c:v>44187000</c:v>
                </c:pt>
                <c:pt idx="8">
                  <c:v>41182000</c:v>
                </c:pt>
                <c:pt idx="9">
                  <c:v>65728000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D-41D3-8A51-A6C78314DE2F}"/>
            </c:ext>
          </c:extLst>
        </c:ser>
        <c:ser>
          <c:idx val="1"/>
          <c:order val="1"/>
          <c:tx>
            <c:strRef>
              <c:f>'BALANCE SHEET '!$A$33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'!$B$33:$L$33</c:f>
              <c:numCache>
                <c:formatCode>[$$-409]#,##0.00</c:formatCode>
                <c:ptCount val="11"/>
                <c:pt idx="0">
                  <c:v>2783386</c:v>
                </c:pt>
                <c:pt idx="1">
                  <c:v>2814000</c:v>
                </c:pt>
                <c:pt idx="2">
                  <c:v>4048000</c:v>
                </c:pt>
                <c:pt idx="3">
                  <c:v>3770000</c:v>
                </c:pt>
                <c:pt idx="4">
                  <c:v>3950000</c:v>
                </c:pt>
                <c:pt idx="5">
                  <c:v>5111000</c:v>
                </c:pt>
                <c:pt idx="6">
                  <c:v>11898000</c:v>
                </c:pt>
                <c:pt idx="7">
                  <c:v>17575000</c:v>
                </c:pt>
                <c:pt idx="8">
                  <c:v>19081000</c:v>
                </c:pt>
                <c:pt idx="9">
                  <c:v>22750000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D-41D3-8A51-A6C78314D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6183592"/>
        <c:axId val="806181072"/>
        <c:axId val="0"/>
      </c:bar3DChart>
      <c:catAx>
        <c:axId val="80618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81072"/>
        <c:crosses val="autoZero"/>
        <c:auto val="1"/>
        <c:lblAlgn val="ctr"/>
        <c:lblOffset val="100"/>
        <c:noMultiLvlLbl val="0"/>
      </c:catAx>
      <c:valAx>
        <c:axId val="8061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8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Liablities Vs Total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'!$A$29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'!$B$29:$L$29</c:f>
              <c:numCache>
                <c:formatCode>[$$-409]#,##0.00</c:formatCode>
                <c:ptCount val="11"/>
                <c:pt idx="0">
                  <c:v>896030</c:v>
                </c:pt>
                <c:pt idx="1">
                  <c:v>2351000</c:v>
                </c:pt>
                <c:pt idx="2">
                  <c:v>1788000</c:v>
                </c:pt>
                <c:pt idx="3">
                  <c:v>1153000</c:v>
                </c:pt>
                <c:pt idx="4">
                  <c:v>1329000</c:v>
                </c:pt>
                <c:pt idx="5">
                  <c:v>1784000</c:v>
                </c:pt>
                <c:pt idx="6">
                  <c:v>3925000</c:v>
                </c:pt>
                <c:pt idx="7">
                  <c:v>4335000</c:v>
                </c:pt>
                <c:pt idx="8">
                  <c:v>6563000</c:v>
                </c:pt>
                <c:pt idx="9">
                  <c:v>10631000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C-4F5E-B87B-D9D3DBDACFF9}"/>
            </c:ext>
          </c:extLst>
        </c:ser>
        <c:ser>
          <c:idx val="1"/>
          <c:order val="1"/>
          <c:tx>
            <c:strRef>
              <c:f>'BALANCE SHEET '!$A$33</c:f>
              <c:strCache>
                <c:ptCount val="1"/>
                <c:pt idx="0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'!$B$33:$L$33</c:f>
              <c:numCache>
                <c:formatCode>[$$-409]#,##0.00</c:formatCode>
                <c:ptCount val="11"/>
                <c:pt idx="0">
                  <c:v>2783386</c:v>
                </c:pt>
                <c:pt idx="1">
                  <c:v>2814000</c:v>
                </c:pt>
                <c:pt idx="2">
                  <c:v>4048000</c:v>
                </c:pt>
                <c:pt idx="3">
                  <c:v>3770000</c:v>
                </c:pt>
                <c:pt idx="4">
                  <c:v>3950000</c:v>
                </c:pt>
                <c:pt idx="5">
                  <c:v>5111000</c:v>
                </c:pt>
                <c:pt idx="6">
                  <c:v>11898000</c:v>
                </c:pt>
                <c:pt idx="7">
                  <c:v>17575000</c:v>
                </c:pt>
                <c:pt idx="8">
                  <c:v>19081000</c:v>
                </c:pt>
                <c:pt idx="9">
                  <c:v>22750000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C-4F5E-B87B-D9D3DBDA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010712"/>
        <c:axId val="869005312"/>
      </c:lineChart>
      <c:catAx>
        <c:axId val="86901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5312"/>
        <c:crosses val="autoZero"/>
        <c:auto val="1"/>
        <c:lblAlgn val="ctr"/>
        <c:lblOffset val="100"/>
        <c:noMultiLvlLbl val="0"/>
      </c:catAx>
      <c:valAx>
        <c:axId val="8690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Assets Vs 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'BALANCE SHEET '!$A$17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'!$B$17:$L$17</c:f>
              <c:numCache>
                <c:formatCode>[$$-409]#,##0.00</c:formatCode>
                <c:ptCount val="11"/>
                <c:pt idx="0">
                  <c:v>5713297</c:v>
                </c:pt>
                <c:pt idx="1">
                  <c:v>6053000</c:v>
                </c:pt>
                <c:pt idx="2">
                  <c:v>8536000</c:v>
                </c:pt>
                <c:pt idx="3">
                  <c:v>9255000</c:v>
                </c:pt>
                <c:pt idx="4">
                  <c:v>10557000</c:v>
                </c:pt>
                <c:pt idx="5">
                  <c:v>13690000</c:v>
                </c:pt>
                <c:pt idx="6">
                  <c:v>16055000</c:v>
                </c:pt>
                <c:pt idx="7">
                  <c:v>28829000</c:v>
                </c:pt>
                <c:pt idx="8">
                  <c:v>23073000</c:v>
                </c:pt>
                <c:pt idx="9">
                  <c:v>44345000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A-4E14-BF40-86B28776BF08}"/>
            </c:ext>
          </c:extLst>
        </c:ser>
        <c:ser>
          <c:idx val="1"/>
          <c:order val="1"/>
          <c:tx>
            <c:strRef>
              <c:f>'BALANCE SHEET '!$A$29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'!$B$29:$L$29</c:f>
              <c:numCache>
                <c:formatCode>[$$-409]#,##0.00</c:formatCode>
                <c:ptCount val="11"/>
                <c:pt idx="0">
                  <c:v>896030</c:v>
                </c:pt>
                <c:pt idx="1">
                  <c:v>2351000</c:v>
                </c:pt>
                <c:pt idx="2">
                  <c:v>1788000</c:v>
                </c:pt>
                <c:pt idx="3">
                  <c:v>1153000</c:v>
                </c:pt>
                <c:pt idx="4">
                  <c:v>1329000</c:v>
                </c:pt>
                <c:pt idx="5">
                  <c:v>1784000</c:v>
                </c:pt>
                <c:pt idx="6">
                  <c:v>3925000</c:v>
                </c:pt>
                <c:pt idx="7">
                  <c:v>4335000</c:v>
                </c:pt>
                <c:pt idx="8">
                  <c:v>6563000</c:v>
                </c:pt>
                <c:pt idx="9">
                  <c:v>10631000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A-4E14-BF40-86B28776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14672"/>
        <c:axId val="869013232"/>
      </c:areaChart>
      <c:catAx>
        <c:axId val="8690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3232"/>
        <c:crosses val="autoZero"/>
        <c:auto val="1"/>
        <c:lblAlgn val="ctr"/>
        <c:lblOffset val="100"/>
        <c:noMultiLvlLbl val="0"/>
      </c:catAx>
      <c:valAx>
        <c:axId val="8690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STATEMENT'!$A$17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STATEMENT'!$B$17:$L$17</c:f>
              <c:numCache>
                <c:formatCode>0</c:formatCode>
                <c:ptCount val="11"/>
                <c:pt idx="0">
                  <c:v>4681507</c:v>
                </c:pt>
                <c:pt idx="1">
                  <c:v>5010000</c:v>
                </c:pt>
                <c:pt idx="2">
                  <c:v>6910000</c:v>
                </c:pt>
                <c:pt idx="3">
                  <c:v>9714000</c:v>
                </c:pt>
                <c:pt idx="4">
                  <c:v>11716000</c:v>
                </c:pt>
                <c:pt idx="5">
                  <c:v>10918000</c:v>
                </c:pt>
                <c:pt idx="6">
                  <c:v>16675000</c:v>
                </c:pt>
                <c:pt idx="7">
                  <c:v>26914000</c:v>
                </c:pt>
                <c:pt idx="8">
                  <c:v>26974000</c:v>
                </c:pt>
                <c:pt idx="9">
                  <c:v>60922000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9-484D-BBFE-056FE8F2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882496"/>
        <c:axId val="736883216"/>
      </c:lineChart>
      <c:catAx>
        <c:axId val="73688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83216"/>
        <c:crosses val="autoZero"/>
        <c:auto val="1"/>
        <c:lblAlgn val="ctr"/>
        <c:lblOffset val="100"/>
        <c:noMultiLvlLbl val="0"/>
      </c:catAx>
      <c:valAx>
        <c:axId val="73688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8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STATEMENT'!$A$19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STATEMENT'!$B$19:$L$19</c:f>
              <c:numCache>
                <c:formatCode>0</c:formatCode>
                <c:ptCount val="11"/>
                <c:pt idx="0">
                  <c:v>2599477</c:v>
                </c:pt>
                <c:pt idx="1">
                  <c:v>2811000</c:v>
                </c:pt>
                <c:pt idx="2">
                  <c:v>4063000</c:v>
                </c:pt>
                <c:pt idx="3">
                  <c:v>5822000</c:v>
                </c:pt>
                <c:pt idx="4">
                  <c:v>7171000</c:v>
                </c:pt>
                <c:pt idx="5">
                  <c:v>6768000</c:v>
                </c:pt>
                <c:pt idx="6">
                  <c:v>10396000</c:v>
                </c:pt>
                <c:pt idx="7">
                  <c:v>17475000</c:v>
                </c:pt>
                <c:pt idx="8">
                  <c:v>15356000</c:v>
                </c:pt>
                <c:pt idx="9">
                  <c:v>44301000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1-4EA6-B960-2222163A5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381776"/>
        <c:axId val="778381056"/>
      </c:barChart>
      <c:catAx>
        <c:axId val="77838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81056"/>
        <c:crosses val="autoZero"/>
        <c:auto val="1"/>
        <c:lblAlgn val="ctr"/>
        <c:lblOffset val="100"/>
        <c:noMultiLvlLbl val="0"/>
      </c:catAx>
      <c:valAx>
        <c:axId val="7783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8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STATEMENT'!$A$23</c:f>
              <c:strCache>
                <c:ptCount val="1"/>
                <c:pt idx="0">
                  <c:v>Operating Income(EBIT)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STATEMENT'!$B$23:$L$23</c:f>
              <c:numCache>
                <c:formatCode>0</c:formatCode>
                <c:ptCount val="11"/>
                <c:pt idx="0">
                  <c:v>758989</c:v>
                </c:pt>
                <c:pt idx="1">
                  <c:v>747000</c:v>
                </c:pt>
                <c:pt idx="2">
                  <c:v>1934000</c:v>
                </c:pt>
                <c:pt idx="3">
                  <c:v>3210000</c:v>
                </c:pt>
                <c:pt idx="4">
                  <c:v>3804000</c:v>
                </c:pt>
                <c:pt idx="5">
                  <c:v>2846000</c:v>
                </c:pt>
                <c:pt idx="6">
                  <c:v>4532000</c:v>
                </c:pt>
                <c:pt idx="7">
                  <c:v>10041000</c:v>
                </c:pt>
                <c:pt idx="8">
                  <c:v>4224000</c:v>
                </c:pt>
                <c:pt idx="9">
                  <c:v>32972000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8-4BC9-89D3-76D3AE70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68480"/>
        <c:axId val="778168840"/>
      </c:barChart>
      <c:catAx>
        <c:axId val="7781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68840"/>
        <c:crosses val="autoZero"/>
        <c:auto val="1"/>
        <c:lblAlgn val="ctr"/>
        <c:lblOffset val="100"/>
        <c:noMultiLvlLbl val="0"/>
      </c:catAx>
      <c:valAx>
        <c:axId val="77816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STATEMENT'!$A$29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STATEMENT'!$B$29:$K$29</c:f>
              <c:numCache>
                <c:formatCode>0</c:formatCode>
                <c:ptCount val="10"/>
                <c:pt idx="0">
                  <c:v>630587</c:v>
                </c:pt>
                <c:pt idx="1">
                  <c:v>614000</c:v>
                </c:pt>
                <c:pt idx="2">
                  <c:v>1666000</c:v>
                </c:pt>
                <c:pt idx="3">
                  <c:v>3047000</c:v>
                </c:pt>
                <c:pt idx="4">
                  <c:v>4141000</c:v>
                </c:pt>
                <c:pt idx="5">
                  <c:v>2796000</c:v>
                </c:pt>
                <c:pt idx="6">
                  <c:v>4332000</c:v>
                </c:pt>
                <c:pt idx="7">
                  <c:v>9752000</c:v>
                </c:pt>
                <c:pt idx="8">
                  <c:v>4368000</c:v>
                </c:pt>
                <c:pt idx="9">
                  <c:v>29760000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7-4341-883A-5169106C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628464"/>
        <c:axId val="735624864"/>
      </c:barChart>
      <c:catAx>
        <c:axId val="7356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24864"/>
        <c:crosses val="autoZero"/>
        <c:auto val="1"/>
        <c:lblAlgn val="ctr"/>
        <c:lblOffset val="100"/>
        <c:tickMarkSkip val="1"/>
        <c:noMultiLvlLbl val="0"/>
      </c:catAx>
      <c:valAx>
        <c:axId val="7356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STATEMENT'!$A$17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STATEMENT'!$B$17:$L$17</c:f>
              <c:numCache>
                <c:formatCode>0</c:formatCode>
                <c:ptCount val="11"/>
                <c:pt idx="0">
                  <c:v>4681507</c:v>
                </c:pt>
                <c:pt idx="1">
                  <c:v>5010000</c:v>
                </c:pt>
                <c:pt idx="2">
                  <c:v>6910000</c:v>
                </c:pt>
                <c:pt idx="3">
                  <c:v>9714000</c:v>
                </c:pt>
                <c:pt idx="4">
                  <c:v>11716000</c:v>
                </c:pt>
                <c:pt idx="5">
                  <c:v>10918000</c:v>
                </c:pt>
                <c:pt idx="6">
                  <c:v>16675000</c:v>
                </c:pt>
                <c:pt idx="7">
                  <c:v>26914000</c:v>
                </c:pt>
                <c:pt idx="8">
                  <c:v>26974000</c:v>
                </c:pt>
                <c:pt idx="9">
                  <c:v>60922000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A-4A7C-A980-63305320BB7C}"/>
            </c:ext>
          </c:extLst>
        </c:ser>
        <c:ser>
          <c:idx val="1"/>
          <c:order val="1"/>
          <c:tx>
            <c:strRef>
              <c:f>'INCOME STATEMENT'!$A$19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STATEMENT'!$B$19:$L$19</c:f>
              <c:numCache>
                <c:formatCode>0</c:formatCode>
                <c:ptCount val="11"/>
                <c:pt idx="0">
                  <c:v>2599477</c:v>
                </c:pt>
                <c:pt idx="1">
                  <c:v>2811000</c:v>
                </c:pt>
                <c:pt idx="2">
                  <c:v>4063000</c:v>
                </c:pt>
                <c:pt idx="3">
                  <c:v>5822000</c:v>
                </c:pt>
                <c:pt idx="4">
                  <c:v>7171000</c:v>
                </c:pt>
                <c:pt idx="5">
                  <c:v>6768000</c:v>
                </c:pt>
                <c:pt idx="6">
                  <c:v>10396000</c:v>
                </c:pt>
                <c:pt idx="7">
                  <c:v>17475000</c:v>
                </c:pt>
                <c:pt idx="8">
                  <c:v>15356000</c:v>
                </c:pt>
                <c:pt idx="9">
                  <c:v>44301000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A-4A7C-A980-63305320BB7C}"/>
            </c:ext>
          </c:extLst>
        </c:ser>
        <c:ser>
          <c:idx val="2"/>
          <c:order val="2"/>
          <c:tx>
            <c:strRef>
              <c:f>'INCOME STATEMENT'!$A$23</c:f>
              <c:strCache>
                <c:ptCount val="1"/>
                <c:pt idx="0">
                  <c:v>Operating Income(EBIT)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STATEMENT'!$B$23:$L$23</c:f>
              <c:numCache>
                <c:formatCode>0</c:formatCode>
                <c:ptCount val="11"/>
                <c:pt idx="0">
                  <c:v>758989</c:v>
                </c:pt>
                <c:pt idx="1">
                  <c:v>747000</c:v>
                </c:pt>
                <c:pt idx="2">
                  <c:v>1934000</c:v>
                </c:pt>
                <c:pt idx="3">
                  <c:v>3210000</c:v>
                </c:pt>
                <c:pt idx="4">
                  <c:v>3804000</c:v>
                </c:pt>
                <c:pt idx="5">
                  <c:v>2846000</c:v>
                </c:pt>
                <c:pt idx="6">
                  <c:v>4532000</c:v>
                </c:pt>
                <c:pt idx="7">
                  <c:v>10041000</c:v>
                </c:pt>
                <c:pt idx="8">
                  <c:v>4224000</c:v>
                </c:pt>
                <c:pt idx="9">
                  <c:v>32972000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A-4A7C-A980-63305320BB7C}"/>
            </c:ext>
          </c:extLst>
        </c:ser>
        <c:ser>
          <c:idx val="3"/>
          <c:order val="3"/>
          <c:tx>
            <c:strRef>
              <c:f>'INCOME STATEMENT'!$A$29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STATEMENT'!$B$29:$L$29</c:f>
              <c:numCache>
                <c:formatCode>0</c:formatCode>
                <c:ptCount val="11"/>
                <c:pt idx="0">
                  <c:v>630587</c:v>
                </c:pt>
                <c:pt idx="1">
                  <c:v>614000</c:v>
                </c:pt>
                <c:pt idx="2">
                  <c:v>1666000</c:v>
                </c:pt>
                <c:pt idx="3">
                  <c:v>3047000</c:v>
                </c:pt>
                <c:pt idx="4">
                  <c:v>4141000</c:v>
                </c:pt>
                <c:pt idx="5">
                  <c:v>2796000</c:v>
                </c:pt>
                <c:pt idx="6">
                  <c:v>4332000</c:v>
                </c:pt>
                <c:pt idx="7">
                  <c:v>9752000</c:v>
                </c:pt>
                <c:pt idx="8">
                  <c:v>4368000</c:v>
                </c:pt>
                <c:pt idx="9">
                  <c:v>29760000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A-4A7C-A980-63305320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725096"/>
        <c:axId val="721722216"/>
      </c:lineChart>
      <c:catAx>
        <c:axId val="72172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2216"/>
        <c:crosses val="autoZero"/>
        <c:auto val="1"/>
        <c:lblAlgn val="ctr"/>
        <c:lblOffset val="100"/>
        <c:noMultiLvlLbl val="0"/>
      </c:catAx>
      <c:valAx>
        <c:axId val="72172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STATEMENT'!$A$52</c:f>
              <c:strCache>
                <c:ptCount val="1"/>
                <c:pt idx="0">
                  <c:v>ULTI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STATEMENT'!$B$52:$K$52</c:f>
              <c:numCache>
                <c:formatCode>0%</c:formatCode>
                <c:ptCount val="10"/>
                <c:pt idx="1">
                  <c:v>7.0168217200145169E-2</c:v>
                </c:pt>
                <c:pt idx="2">
                  <c:v>0.37924151696606784</c:v>
                </c:pt>
                <c:pt idx="3">
                  <c:v>0.4057887120115774</c:v>
                </c:pt>
                <c:pt idx="4">
                  <c:v>0.20609429689108502</c:v>
                </c:pt>
                <c:pt idx="5">
                  <c:v>-6.8111983612154314E-2</c:v>
                </c:pt>
                <c:pt idx="6">
                  <c:v>0.52729437625938813</c:v>
                </c:pt>
                <c:pt idx="7">
                  <c:v>0.61403298350824587</c:v>
                </c:pt>
                <c:pt idx="8">
                  <c:v>2.2293230289068887E-3</c:v>
                </c:pt>
                <c:pt idx="9">
                  <c:v>1.2585452658115222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2-4FA0-BD35-A892EF7FA0A9}"/>
            </c:ext>
          </c:extLst>
        </c:ser>
        <c:ser>
          <c:idx val="1"/>
          <c:order val="1"/>
          <c:tx>
            <c:strRef>
              <c:f>'INCOME STATEMENT'!$A$53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STATEMENT'!$B$53:$K$53</c:f>
              <c:numCache>
                <c:formatCode>0%</c:formatCode>
                <c:ptCount val="10"/>
                <c:pt idx="1">
                  <c:v>-6.2701687013011946E-3</c:v>
                </c:pt>
                <c:pt idx="2">
                  <c:v>3.1010396459816642E-2</c:v>
                </c:pt>
                <c:pt idx="3">
                  <c:v>-0.13108000062869565</c:v>
                </c:pt>
                <c:pt idx="4">
                  <c:v>-0.20805487896530428</c:v>
                </c:pt>
                <c:pt idx="5">
                  <c:v>-2.7432006201031839E-2</c:v>
                </c:pt>
                <c:pt idx="6">
                  <c:v>-8.5332009692257627E-2</c:v>
                </c:pt>
                <c:pt idx="7">
                  <c:v>-0.11063146665553732</c:v>
                </c:pt>
                <c:pt idx="8">
                  <c:v>-2.0959005155198496E-2</c:v>
                </c:pt>
                <c:pt idx="9">
                  <c:v>0.12834378072294292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2-4FA0-BD35-A892EF7FA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931968"/>
        <c:axId val="1470940608"/>
      </c:lineChart>
      <c:catAx>
        <c:axId val="147093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40608"/>
        <c:crosses val="autoZero"/>
        <c:auto val="1"/>
        <c:lblAlgn val="ctr"/>
        <c:lblOffset val="100"/>
        <c:noMultiLvlLbl val="0"/>
      </c:catAx>
      <c:valAx>
        <c:axId val="147094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3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c'!$A$17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 c'!$B$2:$K$2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 c'!$B$17:$K$17</c:f>
              <c:numCache>
                <c:formatCode>0%</c:formatCode>
                <c:ptCount val="10"/>
                <c:pt idx="0">
                  <c:v>0.13469743823943872</c:v>
                </c:pt>
                <c:pt idx="1">
                  <c:v>0.12255489021956088</c:v>
                </c:pt>
                <c:pt idx="2">
                  <c:v>0.24109985528219971</c:v>
                </c:pt>
                <c:pt idx="3">
                  <c:v>0.3136709903232448</c:v>
                </c:pt>
                <c:pt idx="4">
                  <c:v>0.35344827586206895</c:v>
                </c:pt>
                <c:pt idx="5">
                  <c:v>0.25609085913170909</c:v>
                </c:pt>
                <c:pt idx="6">
                  <c:v>0.25979010494752625</c:v>
                </c:pt>
                <c:pt idx="7">
                  <c:v>0.36233930296499961</c:v>
                </c:pt>
                <c:pt idx="8">
                  <c:v>0.16193371394676356</c:v>
                </c:pt>
                <c:pt idx="9">
                  <c:v>0.4884934834706674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B-47E1-80ED-1A4E0F172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911616"/>
        <c:axId val="8049083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'Income statement c'!$B$3</c15:sqref>
                        </c15:formulaRef>
                      </c:ext>
                    </c:extLst>
                    <c:strCache>
                      <c:ptCount val="1"/>
                      <c:pt idx="0">
                        <c:v>01/25/2015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'Income statement c'!$B$2:$K$2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'Income statement c'!$C$3:$K$3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68B-47E1-80ED-1A4E0F172F29}"/>
                  </c:ext>
                </c:extLst>
              </c15:ser>
            </c15:filteredBarSeries>
          </c:ext>
        </c:extLst>
      </c:barChart>
      <c:catAx>
        <c:axId val="8049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08376"/>
        <c:crosses val="autoZero"/>
        <c:auto val="1"/>
        <c:lblAlgn val="ctr"/>
        <c:lblOffset val="100"/>
        <c:noMultiLvlLbl val="0"/>
      </c:catAx>
      <c:valAx>
        <c:axId val="80490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 c'!$B$2:$K$2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 c'!$B$6:$K$6</c:f>
              <c:numCache>
                <c:formatCode>0%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8-4EBE-9B16-A80B3F8F8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429384"/>
        <c:axId val="713435144"/>
      </c:barChart>
      <c:catAx>
        <c:axId val="71342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5144"/>
        <c:crosses val="autoZero"/>
        <c:auto val="1"/>
        <c:lblAlgn val="ctr"/>
        <c:lblOffset val="100"/>
        <c:noMultiLvlLbl val="0"/>
      </c:catAx>
      <c:valAx>
        <c:axId val="71343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2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c'!$A$5</c:f>
              <c:strCache>
                <c:ptCount val="1"/>
                <c:pt idx="0">
                  <c:v>Direct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 c'!$B$2:$K$2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 c'!$B$5:$K$5</c:f>
              <c:numCache>
                <c:formatCode>0%</c:formatCode>
                <c:ptCount val="10"/>
                <c:pt idx="0">
                  <c:v>0.44473499665812738</c:v>
                </c:pt>
                <c:pt idx="1">
                  <c:v>0.43892215568862275</c:v>
                </c:pt>
                <c:pt idx="2">
                  <c:v>0.41201157742402317</c:v>
                </c:pt>
                <c:pt idx="3">
                  <c:v>0.40065884290714432</c:v>
                </c:pt>
                <c:pt idx="4">
                  <c:v>0.38793103448275862</c:v>
                </c:pt>
                <c:pt idx="5">
                  <c:v>0.38010624656530501</c:v>
                </c:pt>
                <c:pt idx="6">
                  <c:v>0.37655172413793103</c:v>
                </c:pt>
                <c:pt idx="7">
                  <c:v>0.35070966783086871</c:v>
                </c:pt>
                <c:pt idx="8">
                  <c:v>0.43071105509008673</c:v>
                </c:pt>
                <c:pt idx="9">
                  <c:v>0.27282426709563046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1D4-823F-38DF7ACF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432984"/>
        <c:axId val="713431544"/>
      </c:barChart>
      <c:catAx>
        <c:axId val="71343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1544"/>
        <c:crosses val="autoZero"/>
        <c:auto val="1"/>
        <c:lblAlgn val="ctr"/>
        <c:lblOffset val="100"/>
        <c:noMultiLvlLbl val="0"/>
      </c:catAx>
      <c:valAx>
        <c:axId val="71343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'Income statement c'!$B$6:$K$6</c:f>
              <c:numCache>
                <c:formatCode>0%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8-4C95-B72B-796DE3B5829D}"/>
            </c:ext>
          </c:extLst>
        </c:ser>
        <c:ser>
          <c:idx val="1"/>
          <c:order val="1"/>
          <c:tx>
            <c:strRef>
              <c:f>'Income statement c'!$A$11</c:f>
              <c:strCache>
                <c:ptCount val="1"/>
                <c:pt idx="0">
                  <c:v>Operating Income(EBIT)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'Income statement c'!$B$11:$K$11</c:f>
              <c:numCache>
                <c:formatCode>0%</c:formatCode>
                <c:ptCount val="10"/>
                <c:pt idx="0">
                  <c:v>0.16212493113862694</c:v>
                </c:pt>
                <c:pt idx="1">
                  <c:v>0.14910179640718563</c:v>
                </c:pt>
                <c:pt idx="2">
                  <c:v>0.27988422575976846</c:v>
                </c:pt>
                <c:pt idx="3">
                  <c:v>0.33045089561457691</c:v>
                </c:pt>
                <c:pt idx="4">
                  <c:v>0.32468419255718678</c:v>
                </c:pt>
                <c:pt idx="5">
                  <c:v>0.2606704524638212</c:v>
                </c:pt>
                <c:pt idx="6">
                  <c:v>0.27178410794602698</c:v>
                </c:pt>
                <c:pt idx="7">
                  <c:v>0.37307720888756779</c:v>
                </c:pt>
                <c:pt idx="8">
                  <c:v>0.1565952398606065</c:v>
                </c:pt>
                <c:pt idx="9">
                  <c:v>0.54121663766783756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8-4C95-B72B-796DE3B5829D}"/>
            </c:ext>
          </c:extLst>
        </c:ser>
        <c:ser>
          <c:idx val="2"/>
          <c:order val="2"/>
          <c:tx>
            <c:strRef>
              <c:f>'Income statement c'!$A$17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'Income statement c'!$B$17:$K$17</c:f>
              <c:numCache>
                <c:formatCode>0%</c:formatCode>
                <c:ptCount val="10"/>
                <c:pt idx="0">
                  <c:v>0.13469743823943872</c:v>
                </c:pt>
                <c:pt idx="1">
                  <c:v>0.12255489021956088</c:v>
                </c:pt>
                <c:pt idx="2">
                  <c:v>0.24109985528219971</c:v>
                </c:pt>
                <c:pt idx="3">
                  <c:v>0.3136709903232448</c:v>
                </c:pt>
                <c:pt idx="4">
                  <c:v>0.35344827586206895</c:v>
                </c:pt>
                <c:pt idx="5">
                  <c:v>0.25609085913170909</c:v>
                </c:pt>
                <c:pt idx="6">
                  <c:v>0.25979010494752625</c:v>
                </c:pt>
                <c:pt idx="7">
                  <c:v>0.36233930296499961</c:v>
                </c:pt>
                <c:pt idx="8">
                  <c:v>0.16193371394676356</c:v>
                </c:pt>
                <c:pt idx="9">
                  <c:v>0.4884934834706674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8-4C95-B72B-796DE3B5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706376"/>
        <c:axId val="721712136"/>
      </c:barChart>
      <c:catAx>
        <c:axId val="721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12136"/>
        <c:crosses val="autoZero"/>
        <c:auto val="1"/>
        <c:lblAlgn val="ctr"/>
        <c:lblOffset val="100"/>
        <c:noMultiLvlLbl val="0"/>
      </c:catAx>
      <c:valAx>
        <c:axId val="72171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RATIOS'!$A$2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RATIOS'!$B$2:$K$2</c:f>
              <c:numCache>
                <c:formatCode>General</c:formatCode>
                <c:ptCount val="10"/>
                <c:pt idx="0">
                  <c:v>1</c:v>
                </c:pt>
                <c:pt idx="1">
                  <c:v>7.0168217200145169E-2</c:v>
                </c:pt>
                <c:pt idx="2">
                  <c:v>0.37924151696606784</c:v>
                </c:pt>
                <c:pt idx="3">
                  <c:v>0.4057887120115774</c:v>
                </c:pt>
                <c:pt idx="4">
                  <c:v>0.20609429689108502</c:v>
                </c:pt>
                <c:pt idx="5">
                  <c:v>-6.8111983612154314E-2</c:v>
                </c:pt>
                <c:pt idx="6">
                  <c:v>0.52729437625938813</c:v>
                </c:pt>
                <c:pt idx="7">
                  <c:v>0.61403298350824587</c:v>
                </c:pt>
                <c:pt idx="8">
                  <c:v>2.2293230289068887E-3</c:v>
                </c:pt>
                <c:pt idx="9">
                  <c:v>1.2585452658115222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4C7-BFD6-2AFDA8DDBA31}"/>
            </c:ext>
          </c:extLst>
        </c:ser>
        <c:ser>
          <c:idx val="1"/>
          <c:order val="1"/>
          <c:tx>
            <c:strRef>
              <c:f>'FINANCIAL RATIOS'!$A$3</c:f>
              <c:strCache>
                <c:ptCount val="1"/>
                <c:pt idx="0">
                  <c:v>Net Profit Margin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RATIOS'!$B$3:$K$3</c:f>
              <c:numCache>
                <c:formatCode>General</c:formatCode>
                <c:ptCount val="10"/>
                <c:pt idx="0">
                  <c:v>0.13469743823943872</c:v>
                </c:pt>
                <c:pt idx="1">
                  <c:v>0.12255489021956088</c:v>
                </c:pt>
                <c:pt idx="2">
                  <c:v>0.24109985528219971</c:v>
                </c:pt>
                <c:pt idx="3">
                  <c:v>0.3136709903232448</c:v>
                </c:pt>
                <c:pt idx="4">
                  <c:v>0.35344827586206895</c:v>
                </c:pt>
                <c:pt idx="5">
                  <c:v>0.25609085913170909</c:v>
                </c:pt>
                <c:pt idx="6">
                  <c:v>0.25979010494752625</c:v>
                </c:pt>
                <c:pt idx="7">
                  <c:v>0.36233930296499961</c:v>
                </c:pt>
                <c:pt idx="8">
                  <c:v>0.16193371394676356</c:v>
                </c:pt>
                <c:pt idx="9">
                  <c:v>0.4884934834706674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C-44C7-BFD6-2AFDA8DDBA31}"/>
            </c:ext>
          </c:extLst>
        </c:ser>
        <c:ser>
          <c:idx val="2"/>
          <c:order val="2"/>
          <c:tx>
            <c:strRef>
              <c:f>'FINANCIAL RATIOS'!$A$4</c:f>
              <c:strCache>
                <c:ptCount val="1"/>
                <c:pt idx="0">
                  <c:v>Gross Profit Margin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RATIOS'!$B$4:$K$4</c:f>
              <c:numCache>
                <c:formatCode>General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C-44C7-BFD6-2AFDA8DDBA31}"/>
            </c:ext>
          </c:extLst>
        </c:ser>
        <c:ser>
          <c:idx val="3"/>
          <c:order val="3"/>
          <c:tx>
            <c:strRef>
              <c:f>'FINANCIAL RATIOS'!$A$5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RATIOS'!$B$5:$K$5</c:f>
              <c:numCache>
                <c:formatCode>General</c:formatCode>
                <c:ptCount val="10"/>
                <c:pt idx="0">
                  <c:v>0.16212493113862694</c:v>
                </c:pt>
                <c:pt idx="1">
                  <c:v>0.14910179640718563</c:v>
                </c:pt>
                <c:pt idx="2">
                  <c:v>0.27988422575976846</c:v>
                </c:pt>
                <c:pt idx="3">
                  <c:v>0.33045089561457691</c:v>
                </c:pt>
                <c:pt idx="4">
                  <c:v>0.32468419255718678</c:v>
                </c:pt>
                <c:pt idx="5">
                  <c:v>0.2606704524638212</c:v>
                </c:pt>
                <c:pt idx="6">
                  <c:v>0.27178410794602698</c:v>
                </c:pt>
                <c:pt idx="7">
                  <c:v>0.37307720888756779</c:v>
                </c:pt>
                <c:pt idx="8">
                  <c:v>0.1565952398606065</c:v>
                </c:pt>
                <c:pt idx="9">
                  <c:v>0.54121663766783756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8C-44C7-BFD6-2AFDA8DDBA31}"/>
            </c:ext>
          </c:extLst>
        </c:ser>
        <c:ser>
          <c:idx val="4"/>
          <c:order val="4"/>
          <c:tx>
            <c:strRef>
              <c:f>'FINANCIAL RATIOS'!$A$6</c:f>
              <c:strCache>
                <c:ptCount val="1"/>
                <c:pt idx="0">
                  <c:v>Return On Assets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RATIOS'!$B$6:$K$6</c:f>
              <c:numCache>
                <c:formatCode>General</c:formatCode>
                <c:ptCount val="10"/>
                <c:pt idx="0">
                  <c:v>8.7564890448592544E-2</c:v>
                </c:pt>
                <c:pt idx="1">
                  <c:v>8.3310719131614655E-2</c:v>
                </c:pt>
                <c:pt idx="2">
                  <c:v>0.16929173864444672</c:v>
                </c:pt>
                <c:pt idx="3">
                  <c:v>0.27106129347922781</c:v>
                </c:pt>
                <c:pt idx="4">
                  <c:v>0.31154077640686129</c:v>
                </c:pt>
                <c:pt idx="5">
                  <c:v>0.16147848686110308</c:v>
                </c:pt>
                <c:pt idx="6">
                  <c:v>0.15046368656871939</c:v>
                </c:pt>
                <c:pt idx="7">
                  <c:v>0.22069839545567702</c:v>
                </c:pt>
                <c:pt idx="8">
                  <c:v>0.10606575688407557</c:v>
                </c:pt>
                <c:pt idx="9">
                  <c:v>0.45277507302823761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8C-44C7-BFD6-2AFDA8DDBA31}"/>
            </c:ext>
          </c:extLst>
        </c:ser>
        <c:ser>
          <c:idx val="5"/>
          <c:order val="5"/>
          <c:tx>
            <c:strRef>
              <c:f>'FINANCIAL RATIOS'!$A$7</c:f>
              <c:strCache>
                <c:ptCount val="1"/>
                <c:pt idx="0">
                  <c:v>Return on equity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RATIOS'!$B$7:$K$7</c:f>
              <c:numCache>
                <c:formatCode>General</c:formatCode>
                <c:ptCount val="10"/>
                <c:pt idx="0">
                  <c:v>0.14273190791632923</c:v>
                </c:pt>
                <c:pt idx="1">
                  <c:v>0.13476733977172958</c:v>
                </c:pt>
                <c:pt idx="2">
                  <c:v>0.28758846884170552</c:v>
                </c:pt>
                <c:pt idx="3">
                  <c:v>0.40784366216035339</c:v>
                </c:pt>
                <c:pt idx="4">
                  <c:v>0.44326696638835367</c:v>
                </c:pt>
                <c:pt idx="5">
                  <c:v>0.22910521140609635</c:v>
                </c:pt>
                <c:pt idx="6">
                  <c:v>0.25643757769490322</c:v>
                </c:pt>
                <c:pt idx="7">
                  <c:v>0.36645122501127309</c:v>
                </c:pt>
                <c:pt idx="8">
                  <c:v>0.19763811592235644</c:v>
                </c:pt>
                <c:pt idx="9">
                  <c:v>0.69244729861789756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8C-44C7-BFD6-2AFDA8DDB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484416"/>
        <c:axId val="1119486936"/>
      </c:barChart>
      <c:catAx>
        <c:axId val="11194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6936"/>
        <c:crosses val="autoZero"/>
        <c:auto val="1"/>
        <c:lblAlgn val="ctr"/>
        <c:lblOffset val="100"/>
        <c:noMultiLvlLbl val="0"/>
      </c:catAx>
      <c:valAx>
        <c:axId val="111948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Liquidity</a:t>
            </a:r>
            <a:r>
              <a:rPr lang="en-IN" baseline="0"/>
              <a:t>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RATIOS'!$A$9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RATIOS'!$B$9:$K$9</c:f>
              <c:numCache>
                <c:formatCode>General</c:formatCode>
                <c:ptCount val="10"/>
                <c:pt idx="0">
                  <c:v>6.3762340546633487</c:v>
                </c:pt>
                <c:pt idx="1">
                  <c:v>2.5746490854955337</c:v>
                </c:pt>
                <c:pt idx="2">
                  <c:v>4.7740492170022373</c:v>
                </c:pt>
                <c:pt idx="3">
                  <c:v>8.0268863833477884</c:v>
                </c:pt>
                <c:pt idx="4">
                  <c:v>7.9435665914221216</c:v>
                </c:pt>
                <c:pt idx="5">
                  <c:v>7.6737668161434973</c:v>
                </c:pt>
                <c:pt idx="6">
                  <c:v>4.0904458598726112</c:v>
                </c:pt>
                <c:pt idx="7">
                  <c:v>6.6502883506343711</c:v>
                </c:pt>
                <c:pt idx="8">
                  <c:v>3.5156178576870332</c:v>
                </c:pt>
                <c:pt idx="9">
                  <c:v>4.1712915059730973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C-4C90-8232-7E8A178F3B6B}"/>
            </c:ext>
          </c:extLst>
        </c:ser>
        <c:ser>
          <c:idx val="1"/>
          <c:order val="1"/>
          <c:tx>
            <c:strRef>
              <c:f>'FINANCIAL RATIOS'!$A$10</c:f>
              <c:strCache>
                <c:ptCount val="1"/>
                <c:pt idx="0">
                  <c:v>Quick Ratios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RATIOS'!$B$10:$K$10</c:f>
              <c:numCache>
                <c:formatCode>General</c:formatCode>
                <c:ptCount val="10"/>
                <c:pt idx="0">
                  <c:v>5.6883988259321674</c:v>
                </c:pt>
                <c:pt idx="1">
                  <c:v>2.3572947681837517</c:v>
                </c:pt>
                <c:pt idx="2">
                  <c:v>4.2639821029082778</c:v>
                </c:pt>
                <c:pt idx="3">
                  <c:v>7.2619254119687771</c:v>
                </c:pt>
                <c:pt idx="4">
                  <c:v>6.6561324303987961</c:v>
                </c:pt>
                <c:pt idx="5">
                  <c:v>7.0369955156950672</c:v>
                </c:pt>
                <c:pt idx="6">
                  <c:v>3.5643312101910829</c:v>
                </c:pt>
                <c:pt idx="7">
                  <c:v>5.9649365628604381</c:v>
                </c:pt>
                <c:pt idx="8">
                  <c:v>2.6090202651226573</c:v>
                </c:pt>
                <c:pt idx="9">
                  <c:v>3.3847239206095381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C-4C90-8232-7E8A178F3B6B}"/>
            </c:ext>
          </c:extLst>
        </c:ser>
        <c:ser>
          <c:idx val="2"/>
          <c:order val="2"/>
          <c:tx>
            <c:strRef>
              <c:f>'FINANCIAL RATIOS'!$A$11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RATIOS'!$B$11:$K$11</c:f>
              <c:numCache>
                <c:formatCode>General</c:formatCode>
                <c:ptCount val="10"/>
                <c:pt idx="0">
                  <c:v>0.17843518649587228</c:v>
                </c:pt>
                <c:pt idx="1">
                  <c:v>0.21179815209665956</c:v>
                </c:pt>
                <c:pt idx="2">
                  <c:v>0.43626482213438733</c:v>
                </c:pt>
                <c:pt idx="3">
                  <c:v>1.0615384615384615</c:v>
                </c:pt>
                <c:pt idx="4">
                  <c:v>0.19797468354430381</c:v>
                </c:pt>
                <c:pt idx="5">
                  <c:v>2.1318724320093914</c:v>
                </c:pt>
                <c:pt idx="6">
                  <c:v>7.118843503109766E-2</c:v>
                </c:pt>
                <c:pt idx="7">
                  <c:v>0.11322901849217638</c:v>
                </c:pt>
                <c:pt idx="8">
                  <c:v>0.17761123630836959</c:v>
                </c:pt>
                <c:pt idx="9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C-4C90-8232-7E8A178F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483336"/>
        <c:axId val="1119480816"/>
      </c:barChart>
      <c:catAx>
        <c:axId val="111948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0816"/>
        <c:crosses val="autoZero"/>
        <c:auto val="1"/>
        <c:lblAlgn val="ctr"/>
        <c:lblOffset val="100"/>
        <c:noMultiLvlLbl val="0"/>
      </c:catAx>
      <c:valAx>
        <c:axId val="11194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Leverage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RATIOS'!$A$13</c:f>
              <c:strCache>
                <c:ptCount val="1"/>
                <c:pt idx="0">
                  <c:v>Debt to Equity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RATIOS'!$B$13:$K$13</c:f>
              <c:numCache>
                <c:formatCode>General</c:formatCode>
                <c:ptCount val="10"/>
                <c:pt idx="0">
                  <c:v>0.63001297877628293</c:v>
                </c:pt>
                <c:pt idx="1">
                  <c:v>0.61764705882352944</c:v>
                </c:pt>
                <c:pt idx="2">
                  <c:v>0.69877438287588467</c:v>
                </c:pt>
                <c:pt idx="3">
                  <c:v>0.50461785570874051</c:v>
                </c:pt>
                <c:pt idx="4">
                  <c:v>0.42282166559623208</c:v>
                </c:pt>
                <c:pt idx="5">
                  <c:v>0.41879711569977057</c:v>
                </c:pt>
                <c:pt idx="6">
                  <c:v>0.7043153969099627</c:v>
                </c:pt>
                <c:pt idx="7">
                  <c:v>0.66041635352472572</c:v>
                </c:pt>
                <c:pt idx="8">
                  <c:v>0.8633545993393964</c:v>
                </c:pt>
                <c:pt idx="9">
                  <c:v>0.52934059286146395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CE1-9101-3CE720CCC8E1}"/>
            </c:ext>
          </c:extLst>
        </c:ser>
        <c:ser>
          <c:idx val="1"/>
          <c:order val="1"/>
          <c:tx>
            <c:strRef>
              <c:f>'FINANCIAL RATIOS'!$A$14</c:f>
              <c:strCache>
                <c:ptCount val="1"/>
                <c:pt idx="0">
                  <c:v>Debt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RATIOS'!$B$14:$K$14</c:f>
              <c:numCache>
                <c:formatCode>General</c:formatCode>
                <c:ptCount val="10"/>
                <c:pt idx="0">
                  <c:v>0.38650795237793706</c:v>
                </c:pt>
                <c:pt idx="1">
                  <c:v>0.38181818181818183</c:v>
                </c:pt>
                <c:pt idx="2">
                  <c:v>0.41134031094400975</c:v>
                </c:pt>
                <c:pt idx="3">
                  <c:v>0.33537941464282539</c:v>
                </c:pt>
                <c:pt idx="4">
                  <c:v>0.29717123081552815</c:v>
                </c:pt>
                <c:pt idx="5">
                  <c:v>0.29517759168351143</c:v>
                </c:pt>
                <c:pt idx="6">
                  <c:v>0.41325414191934978</c:v>
                </c:pt>
                <c:pt idx="7">
                  <c:v>0.39774141715889288</c:v>
                </c:pt>
                <c:pt idx="8">
                  <c:v>0.46333349521635664</c:v>
                </c:pt>
                <c:pt idx="9">
                  <c:v>0.346123417721519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CE1-9101-3CE720CC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189712"/>
        <c:axId val="806190792"/>
      </c:barChart>
      <c:catAx>
        <c:axId val="8061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90792"/>
        <c:crosses val="autoZero"/>
        <c:auto val="1"/>
        <c:lblAlgn val="ctr"/>
        <c:lblOffset val="100"/>
        <c:noMultiLvlLbl val="0"/>
      </c:catAx>
      <c:valAx>
        <c:axId val="8061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'Projected Financial statement'!$A$132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'Projected Financial statement'!$B$126:$K$126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'Projected Financial statement'!$B$132:$K$132</c:f>
              <c:numCache>
                <c:formatCode>[$$-C09]#,##0.00</c:formatCode>
                <c:ptCount val="10"/>
                <c:pt idx="2" formatCode="[$$-C09]#,##0">
                  <c:v>46113021.701549947</c:v>
                </c:pt>
                <c:pt idx="3" formatCode="[$$-C09]#,##0">
                  <c:v>35026709.253258377</c:v>
                </c:pt>
                <c:pt idx="4" formatCode="[$$-C09]#,##0">
                  <c:v>44071888.174631938</c:v>
                </c:pt>
                <c:pt idx="5" formatCode="[$$-C09]#,##0">
                  <c:v>60182751.242157839</c:v>
                </c:pt>
                <c:pt idx="6" formatCode="[$$-C09]#,##0">
                  <c:v>86999612.039313078</c:v>
                </c:pt>
                <c:pt idx="7" formatCode="[$$-C09]#,##0">
                  <c:v>116530644.27460331</c:v>
                </c:pt>
                <c:pt idx="8" formatCode="[$$-C09]#,##0">
                  <c:v>149254926.32048005</c:v>
                </c:pt>
                <c:pt idx="9" formatCode="[$$-C09]#,##0">
                  <c:v>183113707.52179223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D-470F-A93E-4D7FEF5F0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233008"/>
        <c:axId val="1613223408"/>
      </c:lineChart>
      <c:catAx>
        <c:axId val="161323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3408"/>
        <c:crosses val="autoZero"/>
        <c:auto val="1"/>
        <c:lblAlgn val="ctr"/>
        <c:lblOffset val="100"/>
        <c:noMultiLvlLbl val="0"/>
      </c:catAx>
      <c:valAx>
        <c:axId val="16132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3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'Projected Financial statement'!$A$133</c:f>
              <c:strCache>
                <c:ptCount val="1"/>
                <c:pt idx="0">
                  <c:v>Free Cash Flow Percentages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'Projected Financial statement'!$B$126:$K$126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'Projected Financial statement'!$B$133:$K$133</c:f>
              <c:numCache>
                <c:formatCode>General</c:formatCode>
                <c:ptCount val="10"/>
                <c:pt idx="3" formatCode="0.00%">
                  <c:v>-0.24041609157699018</c:v>
                </c:pt>
                <c:pt idx="4" formatCode="0.00%">
                  <c:v>0.258236617547283</c:v>
                </c:pt>
                <c:pt idx="5" formatCode="0.00%">
                  <c:v>0.36555872087185537</c:v>
                </c:pt>
                <c:pt idx="6" formatCode="0.00%">
                  <c:v>0.44559047640165228</c:v>
                </c:pt>
                <c:pt idx="7" formatCode="0.00%">
                  <c:v>0.33943866579480675</c:v>
                </c:pt>
                <c:pt idx="8" formatCode="0.00%">
                  <c:v>0.28082125735752639</c:v>
                </c:pt>
                <c:pt idx="9" formatCode="0.00%">
                  <c:v>0.22685201779277042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8-4117-A5A7-6937EC59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236848"/>
        <c:axId val="1613237808"/>
      </c:lineChart>
      <c:catAx>
        <c:axId val="16132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37808"/>
        <c:crosses val="autoZero"/>
        <c:auto val="1"/>
        <c:lblAlgn val="ctr"/>
        <c:lblOffset val="100"/>
        <c:noMultiLvlLbl val="0"/>
      </c:catAx>
      <c:valAx>
        <c:axId val="16132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3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Financial statement'!$A$52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'Projected Financial statement'!$B$49:$M$49</c:f>
              <c:numCache>
                <c:formatCode>General</c:formatCode>
                <c:ptCount val="1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'Projected Financial statement'!$B$52:$M$52</c:f>
              <c:numCache>
                <c:formatCode>0</c:formatCode>
                <c:ptCount val="12"/>
                <c:pt idx="0">
                  <c:v>26974000</c:v>
                </c:pt>
                <c:pt idx="1">
                  <c:v>60922000</c:v>
                </c:pt>
                <c:pt idx="2">
                  <c:v>71278740</c:v>
                </c:pt>
                <c:pt idx="3">
                  <c:v>88385637.599999994</c:v>
                </c:pt>
                <c:pt idx="4">
                  <c:v>118436754.384</c:v>
                </c:pt>
                <c:pt idx="5">
                  <c:v>174102028.94448</c:v>
                </c:pt>
                <c:pt idx="6">
                  <c:v>235037739.07504803</c:v>
                </c:pt>
                <c:pt idx="7">
                  <c:v>303198683.40681195</c:v>
                </c:pt>
                <c:pt idx="8">
                  <c:v>375966367.42444682</c:v>
                </c:pt>
                <c:pt idx="9">
                  <c:v>439880649.88660276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B-45E9-9B73-CF21E3A8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008440"/>
        <c:axId val="580008800"/>
      </c:barChart>
      <c:catAx>
        <c:axId val="58000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08800"/>
        <c:crosses val="autoZero"/>
        <c:auto val="1"/>
        <c:lblAlgn val="ctr"/>
        <c:lblOffset val="100"/>
        <c:noMultiLvlLbl val="0"/>
      </c:catAx>
      <c:valAx>
        <c:axId val="5800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08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Margin Comparision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COMPARISION!$A$5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COMPARISION!$B$1:$E$4</c15:sqref>
                  </c15:fullRef>
                  <c15:levelRef>
                    <c15:sqref>COMPARISION!$B$1:$E$1</c15:sqref>
                  </c15:levelRef>
                </c:ext>
              </c:extLst>
              <c:f>COMPARISION!$B$1:$E$1</c:f>
              <c:strCache>
                <c:ptCount val="4"/>
                <c:pt idx="0">
                  <c:v>NVDA</c:v>
                </c:pt>
                <c:pt idx="1">
                  <c:v>AMD</c:v>
                </c:pt>
                <c:pt idx="2">
                  <c:v>INTC</c:v>
                </c:pt>
                <c:pt idx="3">
                  <c:v>QCOM</c:v>
                </c:pt>
              </c:strCache>
            </c:strRef>
          </c:cat>
          <c:val>
            <c:numRef>
              <c:f>COMPARISION!$B$5:$E$5</c:f>
              <c:numCache>
                <c:formatCode>0.00%</c:formatCode>
                <c:ptCount val="4"/>
                <c:pt idx="0">
                  <c:v>0.75860000000000005</c:v>
                </c:pt>
                <c:pt idx="1">
                  <c:v>0.48380000000000001</c:v>
                </c:pt>
                <c:pt idx="2">
                  <c:v>0.34670000000000001</c:v>
                </c:pt>
                <c:pt idx="3">
                  <c:v>0.56210000000000004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0-4EAF-86F6-9EB9F083469B}"/>
            </c:ext>
          </c:extLst>
        </c:ser>
        <c:ser>
          <c:idx val="1"/>
          <c:order val="1"/>
          <c:tx>
            <c:strRef>
              <c:f>COMPARISION!$A$6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COMPARISION!$B$1:$E$4</c15:sqref>
                  </c15:fullRef>
                  <c15:levelRef>
                    <c15:sqref>COMPARISION!$B$1:$E$1</c15:sqref>
                  </c15:levelRef>
                </c:ext>
              </c:extLst>
              <c:f>COMPARISION!$B$1:$E$1</c:f>
              <c:strCache>
                <c:ptCount val="4"/>
                <c:pt idx="0">
                  <c:v>NVDA</c:v>
                </c:pt>
                <c:pt idx="1">
                  <c:v>AMD</c:v>
                </c:pt>
                <c:pt idx="2">
                  <c:v>INTC</c:v>
                </c:pt>
                <c:pt idx="3">
                  <c:v>QCOM</c:v>
                </c:pt>
              </c:strCache>
            </c:strRef>
          </c:cat>
          <c:val>
            <c:numRef>
              <c:f>COMPARISION!$B$6:$E$6</c:f>
              <c:numCache>
                <c:formatCode>0.00%</c:formatCode>
                <c:ptCount val="4"/>
                <c:pt idx="0">
                  <c:v>0.55689999999999995</c:v>
                </c:pt>
                <c:pt idx="1">
                  <c:v>7.5200000000000003E-2</c:v>
                </c:pt>
                <c:pt idx="2">
                  <c:v>-0.29420000000000002</c:v>
                </c:pt>
                <c:pt idx="3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0-4EAF-86F6-9EB9F0834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96016"/>
        <c:axId val="1023793496"/>
      </c:barChart>
      <c:catAx>
        <c:axId val="102379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93496"/>
        <c:crosses val="autoZero"/>
        <c:auto val="1"/>
        <c:lblAlgn val="ctr"/>
        <c:lblOffset val="100"/>
        <c:noMultiLvlLbl val="0"/>
      </c:catAx>
      <c:valAx>
        <c:axId val="102379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9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7B9551-4D2C-4A19-A6A4-458CE95EA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1</xdr:col>
      <xdr:colOff>238125</xdr:colOff>
      <xdr:row>40</xdr:row>
      <xdr:rowOff>138112</xdr:rowOff>
    </xdr:from>
    <xdr:to>
      <xdr:col>5</xdr:col>
      <xdr:colOff>47625</xdr:colOff>
      <xdr:row>57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C5A9B7-572E-3DE4-1DD1-54021AF36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40</xdr:row>
      <xdr:rowOff>185737</xdr:rowOff>
    </xdr:from>
    <xdr:to>
      <xdr:col>8</xdr:col>
      <xdr:colOff>1066800</xdr:colOff>
      <xdr:row>57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C32E87-8292-BEC2-3B33-8F6AFE292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41</xdr:row>
      <xdr:rowOff>4762</xdr:rowOff>
    </xdr:from>
    <xdr:to>
      <xdr:col>13</xdr:col>
      <xdr:colOff>390525</xdr:colOff>
      <xdr:row>57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7F1153-1CD8-633F-9C9D-E5520E7D5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228600</xdr:colOff>
      <xdr:row>58</xdr:row>
      <xdr:rowOff>4762</xdr:rowOff>
    </xdr:from>
    <xdr:to>
      <xdr:col>5</xdr:col>
      <xdr:colOff>38100</xdr:colOff>
      <xdr:row>74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F7750B-1209-2EC4-9EF5-FBA7B7B7E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314325</xdr:colOff>
      <xdr:row>58</xdr:row>
      <xdr:rowOff>109537</xdr:rowOff>
    </xdr:from>
    <xdr:to>
      <xdr:col>8</xdr:col>
      <xdr:colOff>1143000</xdr:colOff>
      <xdr:row>75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C7ECAF-6719-BE09-81B4-6719D723A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642392-BC79-4B96-B93A-2B8676075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6</xdr:col>
      <xdr:colOff>567690</xdr:colOff>
      <xdr:row>58</xdr:row>
      <xdr:rowOff>117157</xdr:rowOff>
    </xdr:from>
    <xdr:to>
      <xdr:col>12</xdr:col>
      <xdr:colOff>262890</xdr:colOff>
      <xdr:row>73</xdr:row>
      <xdr:rowOff>2857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48932-233A-8643-EA74-2E23798A3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710565</xdr:colOff>
      <xdr:row>56</xdr:row>
      <xdr:rowOff>2857</xdr:rowOff>
    </xdr:from>
    <xdr:to>
      <xdr:col>11</xdr:col>
      <xdr:colOff>481965</xdr:colOff>
      <xdr:row>70</xdr:row>
      <xdr:rowOff>79057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ED4178-6FFC-892A-AC79-BFE58587B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2314575</xdr:colOff>
      <xdr:row>66</xdr:row>
      <xdr:rowOff>61912</xdr:rowOff>
    </xdr:from>
    <xdr:to>
      <xdr:col>5</xdr:col>
      <xdr:colOff>352425</xdr:colOff>
      <xdr:row>80</xdr:row>
      <xdr:rowOff>130492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73B3C3-7EC9-3ED4-F91F-7A8746313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268605</xdr:colOff>
      <xdr:row>43</xdr:row>
      <xdr:rowOff>75247</xdr:rowOff>
    </xdr:from>
    <xdr:to>
      <xdr:col>19</xdr:col>
      <xdr:colOff>40005</xdr:colOff>
      <xdr:row>57</xdr:row>
      <xdr:rowOff>151447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7112A8-9649-60C1-F1F2-8641E805E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590550</xdr:colOff>
      <xdr:row>15</xdr:row>
      <xdr:rowOff>33337</xdr:rowOff>
    </xdr:from>
    <xdr:to>
      <xdr:col>17</xdr:col>
      <xdr:colOff>361950</xdr:colOff>
      <xdr:row>30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1D3B4-0DDC-D0C3-A5D3-9F722B50E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121920</xdr:colOff>
      <xdr:row>58</xdr:row>
      <xdr:rowOff>175260</xdr:rowOff>
    </xdr:from>
    <xdr:to>
      <xdr:col>17</xdr:col>
      <xdr:colOff>579120</xdr:colOff>
      <xdr:row>73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24B363-C702-8915-F1AF-2647F8AD0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41</xdr:row>
      <xdr:rowOff>113347</xdr:rowOff>
    </xdr:from>
    <xdr:to>
      <xdr:col>5</xdr:col>
      <xdr:colOff>133350</xdr:colOff>
      <xdr:row>56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C51C0-E896-6273-1A2A-E51D418A9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41</xdr:row>
      <xdr:rowOff>113347</xdr:rowOff>
    </xdr:from>
    <xdr:to>
      <xdr:col>11</xdr:col>
      <xdr:colOff>447675</xdr:colOff>
      <xdr:row>56</xdr:row>
      <xdr:rowOff>6667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D2878-54E9-665E-1CCD-871E4D3D3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581025</xdr:colOff>
      <xdr:row>41</xdr:row>
      <xdr:rowOff>103822</xdr:rowOff>
    </xdr:from>
    <xdr:to>
      <xdr:col>19</xdr:col>
      <xdr:colOff>276225</xdr:colOff>
      <xdr:row>55</xdr:row>
      <xdr:rowOff>180022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54B7D-847E-69A7-51D7-0A01C729C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523875</xdr:colOff>
      <xdr:row>1</xdr:row>
      <xdr:rowOff>119062</xdr:rowOff>
    </xdr:from>
    <xdr:to>
      <xdr:col>19</xdr:col>
      <xdr:colOff>219075</xdr:colOff>
      <xdr:row>17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CCBF9B-A20D-4859-5017-78E8E56F7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A56B6423-4B75-4DA9-8298-B1F12A30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209550</xdr:colOff>
      <xdr:row>1</xdr:row>
      <xdr:rowOff>63817</xdr:rowOff>
    </xdr:from>
    <xdr:to>
      <xdr:col>24</xdr:col>
      <xdr:colOff>514350</xdr:colOff>
      <xdr:row>15</xdr:row>
      <xdr:rowOff>113347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724B9-3F57-21C3-E919-C02B6D4E0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18</xdr:row>
      <xdr:rowOff>0</xdr:rowOff>
    </xdr:from>
    <xdr:to>
      <xdr:col>24</xdr:col>
      <xdr:colOff>57150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1CA049-B1F8-AF7E-9E8E-7ACBE5CE5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304800</xdr:colOff>
      <xdr:row>18</xdr:row>
      <xdr:rowOff>143827</xdr:rowOff>
    </xdr:from>
    <xdr:to>
      <xdr:col>32</xdr:col>
      <xdr:colOff>0</xdr:colOff>
      <xdr:row>29</xdr:row>
      <xdr:rowOff>37147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350C3-F70F-8EA3-DC59-1FF052CB2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1166813</xdr:colOff>
      <xdr:row>157</xdr:row>
      <xdr:rowOff>144470</xdr:rowOff>
    </xdr:from>
    <xdr:to>
      <xdr:col>7</xdr:col>
      <xdr:colOff>841375</xdr:colOff>
      <xdr:row>172</xdr:row>
      <xdr:rowOff>149233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449567-CC66-F869-4240-A3D6FEB5B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1047750</xdr:colOff>
      <xdr:row>157</xdr:row>
      <xdr:rowOff>160345</xdr:rowOff>
    </xdr:from>
    <xdr:to>
      <xdr:col>12</xdr:col>
      <xdr:colOff>0</xdr:colOff>
      <xdr:row>172</xdr:row>
      <xdr:rowOff>165108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390BCA-FF48-1073-A417-E1DBE4C39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12</xdr:row>
      <xdr:rowOff>0</xdr:rowOff>
    </xdr:from>
    <xdr:to>
      <xdr:col>16</xdr:col>
      <xdr:colOff>289386</xdr:colOff>
      <xdr:row>18</xdr:row>
      <xdr:rowOff>215042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C83A22-C1BC-8765-B55E-89994C894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7578" y="2321719"/>
          <a:ext cx="2938527" cy="1633870"/>
        </a:xfrm>
        <a:prstGeom prst="rect">
          <a:avLst/>
        </a:prstGeom>
      </xdr:spPr>
    </xdr:pic>
    <xdr:clientData/>
  </xdr:twoCellAnchor>
  <xdr:twoCellAnchor>
    <xdr:from>
      <xdr:col>12</xdr:col>
      <xdr:colOff>690563</xdr:colOff>
      <xdr:row>44</xdr:row>
      <xdr:rowOff>67071</xdr:rowOff>
    </xdr:from>
    <xdr:to>
      <xdr:col>20</xdr:col>
      <xdr:colOff>192485</xdr:colOff>
      <xdr:row>58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E9D7D-88EA-1028-BD82-B02CE793C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4762</xdr:rowOff>
    </xdr:from>
    <xdr:to>
      <xdr:col>13</xdr:col>
      <xdr:colOff>171450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5909E-1B0E-0317-EF54-2985DE5CD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E681C8CB-72D0-478A-882B-277B5602C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6AB8EB-1514-4E09-8A5C-9F5725BCC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45FE-D9AE-4373-B691-9A9FDB6D8C3E}">
  <dimension ref="A4:L44"/>
  <sheetViews>
    <sheetView topLeftCell="A28" zoomScale="60" zoomScaleNormal="60" workbookViewId="0">
      <selection sqref="A1:K40"/>
    </sheetView>
  </sheetViews>
  <sheetFormatPr defaultRowHeight="15"/>
  <cols>
    <col min="1" max="1" width="34.85546875" bestFit="1" customWidth="1"/>
    <col min="2" max="4" width="22" bestFit="1" customWidth="1"/>
    <col min="5" max="5" width="22.28515625" bestFit="1" customWidth="1"/>
    <col min="6" max="8" width="23.28515625" bestFit="1" customWidth="1"/>
    <col min="9" max="11" width="23.7109375" bestFit="1" customWidth="1"/>
    <col min="12" max="191" width="12" customWidth="1"/>
  </cols>
  <sheetData>
    <row r="4" spans="1:12">
      <c r="A4" s="8" t="s">
        <v>52</v>
      </c>
    </row>
    <row r="5" spans="1:12" ht="20.25">
      <c r="A5" s="7" t="s">
        <v>51</v>
      </c>
    </row>
    <row r="6" spans="1:12">
      <c r="A6" s="6" t="s">
        <v>50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</row>
    <row r="7" spans="1:12">
      <c r="A7" s="4" t="s">
        <v>49</v>
      </c>
      <c r="B7" s="5" t="s">
        <v>48</v>
      </c>
      <c r="C7" s="5" t="s">
        <v>47</v>
      </c>
      <c r="D7" s="5" t="s">
        <v>46</v>
      </c>
      <c r="E7" s="5" t="s">
        <v>45</v>
      </c>
      <c r="F7" s="5" t="s">
        <v>44</v>
      </c>
      <c r="G7" s="5" t="s">
        <v>43</v>
      </c>
      <c r="H7" s="5" t="s">
        <v>42</v>
      </c>
      <c r="I7" s="5" t="s">
        <v>41</v>
      </c>
      <c r="J7" s="5" t="s">
        <v>40</v>
      </c>
      <c r="K7" s="5" t="s">
        <v>39</v>
      </c>
      <c r="L7" s="4"/>
    </row>
    <row r="8" spans="1:12">
      <c r="A8" s="4" t="s">
        <v>38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4"/>
    </row>
    <row r="9" spans="1:12">
      <c r="A9" s="4" t="s">
        <v>34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33</v>
      </c>
      <c r="G9" s="5" t="s">
        <v>33</v>
      </c>
      <c r="H9" s="5" t="s">
        <v>33</v>
      </c>
      <c r="I9" s="5" t="s">
        <v>33</v>
      </c>
      <c r="J9" s="5" t="s">
        <v>33</v>
      </c>
      <c r="K9" s="5" t="s">
        <v>33</v>
      </c>
      <c r="L9" s="4"/>
    </row>
    <row r="10" spans="1:12">
      <c r="A10" s="4" t="s">
        <v>32</v>
      </c>
      <c r="B10" s="5" t="s">
        <v>31</v>
      </c>
      <c r="C10" s="5" t="s">
        <v>31</v>
      </c>
      <c r="D10" s="5" t="s">
        <v>31</v>
      </c>
      <c r="E10" s="5" t="s">
        <v>31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4"/>
    </row>
    <row r="11" spans="1:12">
      <c r="A11" s="1" t="s">
        <v>30</v>
      </c>
      <c r="B11" s="21">
        <v>496654</v>
      </c>
      <c r="C11" s="21">
        <v>596000</v>
      </c>
      <c r="D11" s="21">
        <v>1766000</v>
      </c>
      <c r="E11" s="21">
        <v>4002000</v>
      </c>
      <c r="F11" s="21">
        <v>782000</v>
      </c>
      <c r="G11" s="21">
        <v>10896000</v>
      </c>
      <c r="H11" s="21">
        <v>847000</v>
      </c>
      <c r="I11" s="21">
        <v>1990000</v>
      </c>
      <c r="J11" s="21">
        <v>3389000</v>
      </c>
      <c r="K11" s="21">
        <v>7280000</v>
      </c>
      <c r="L11" s="1"/>
    </row>
    <row r="12" spans="1:12">
      <c r="A12" s="1" t="s">
        <v>29</v>
      </c>
      <c r="B12" s="21">
        <v>4126685</v>
      </c>
      <c r="C12" s="21">
        <v>4441000</v>
      </c>
      <c r="D12" s="21">
        <v>5032000</v>
      </c>
      <c r="E12" s="21">
        <v>3106000</v>
      </c>
      <c r="F12" s="21">
        <v>6640000</v>
      </c>
      <c r="G12" s="21">
        <v>1000</v>
      </c>
      <c r="H12" s="21">
        <v>10714000</v>
      </c>
      <c r="I12" s="21">
        <v>19218000</v>
      </c>
      <c r="J12" s="21">
        <v>9907000</v>
      </c>
      <c r="K12" s="21">
        <v>18704000</v>
      </c>
      <c r="L12" s="1"/>
    </row>
    <row r="13" spans="1:12">
      <c r="A13" s="1" t="s">
        <v>28</v>
      </c>
      <c r="B13" s="21">
        <v>4623339</v>
      </c>
      <c r="C13" s="21">
        <v>5037000</v>
      </c>
      <c r="D13" s="21">
        <v>6798000</v>
      </c>
      <c r="E13" s="21">
        <v>7108000</v>
      </c>
      <c r="F13" s="21">
        <v>7422000</v>
      </c>
      <c r="G13" s="21">
        <v>10897000</v>
      </c>
      <c r="H13" s="21">
        <v>11561000</v>
      </c>
      <c r="I13" s="21">
        <v>21208000</v>
      </c>
      <c r="J13" s="21">
        <v>13296000</v>
      </c>
      <c r="K13" s="21">
        <v>25984000</v>
      </c>
      <c r="L13" s="1"/>
    </row>
    <row r="14" spans="1:12">
      <c r="A14" s="1" t="s">
        <v>27</v>
      </c>
      <c r="B14" s="21">
        <v>473637</v>
      </c>
      <c r="C14" s="21">
        <v>505000</v>
      </c>
      <c r="D14" s="21">
        <v>826000</v>
      </c>
      <c r="E14" s="21">
        <v>1265000</v>
      </c>
      <c r="F14" s="21">
        <v>1424000</v>
      </c>
      <c r="G14" s="21">
        <v>1657000</v>
      </c>
      <c r="H14" s="21">
        <v>2429000</v>
      </c>
      <c r="I14" s="21">
        <v>4650000</v>
      </c>
      <c r="J14" s="21">
        <v>3827000</v>
      </c>
      <c r="K14" s="21">
        <v>9999000</v>
      </c>
      <c r="L14" s="1"/>
    </row>
    <row r="15" spans="1:12">
      <c r="A15" s="1" t="s">
        <v>26</v>
      </c>
      <c r="B15" s="21">
        <v>482893</v>
      </c>
      <c r="C15" s="21">
        <v>418000</v>
      </c>
      <c r="D15" s="21">
        <v>794000</v>
      </c>
      <c r="E15" s="21">
        <v>796000</v>
      </c>
      <c r="F15" s="21">
        <v>1575000</v>
      </c>
      <c r="G15" s="21">
        <v>979000</v>
      </c>
      <c r="H15" s="21">
        <v>1826000</v>
      </c>
      <c r="I15" s="21">
        <v>2605000</v>
      </c>
      <c r="J15" s="21">
        <v>5159000</v>
      </c>
      <c r="K15" s="21">
        <v>5282000</v>
      </c>
      <c r="L15" s="1"/>
    </row>
    <row r="16" spans="1:12">
      <c r="A16" s="1" t="s">
        <v>25</v>
      </c>
      <c r="B16" s="21">
        <v>70174</v>
      </c>
      <c r="C16" s="21">
        <v>93000</v>
      </c>
      <c r="D16" s="21">
        <v>118000</v>
      </c>
      <c r="E16" s="21">
        <v>86000</v>
      </c>
      <c r="F16" s="21">
        <v>136000</v>
      </c>
      <c r="G16" s="21">
        <v>157000</v>
      </c>
      <c r="H16" s="21">
        <v>239000</v>
      </c>
      <c r="I16" s="21">
        <v>366000</v>
      </c>
      <c r="J16" s="21">
        <v>791000</v>
      </c>
      <c r="K16" s="21">
        <v>3080000</v>
      </c>
      <c r="L16" s="1"/>
    </row>
    <row r="17" spans="1:12" s="25" customFormat="1" ht="15.75">
      <c r="A17" s="23" t="s">
        <v>24</v>
      </c>
      <c r="B17" s="24">
        <v>5713297</v>
      </c>
      <c r="C17" s="24">
        <v>6053000</v>
      </c>
      <c r="D17" s="24">
        <v>8536000</v>
      </c>
      <c r="E17" s="24">
        <v>9255000</v>
      </c>
      <c r="F17" s="24">
        <v>10557000</v>
      </c>
      <c r="G17" s="24">
        <v>13690000</v>
      </c>
      <c r="H17" s="24">
        <v>16055000</v>
      </c>
      <c r="I17" s="24">
        <v>28829000</v>
      </c>
      <c r="J17" s="24">
        <v>23073000</v>
      </c>
      <c r="K17" s="24">
        <v>44345000</v>
      </c>
      <c r="L17" s="23"/>
    </row>
    <row r="18" spans="1:12">
      <c r="A18" s="1" t="s">
        <v>23</v>
      </c>
      <c r="B18" s="21">
        <v>1179257</v>
      </c>
      <c r="C18" s="21">
        <v>1100000</v>
      </c>
      <c r="D18" s="21">
        <v>1191000</v>
      </c>
      <c r="E18" s="21">
        <v>1737000</v>
      </c>
      <c r="F18" s="21">
        <v>2171000</v>
      </c>
      <c r="G18" s="21">
        <v>2685000</v>
      </c>
      <c r="H18" s="21">
        <v>3557000</v>
      </c>
      <c r="I18" s="21">
        <v>4681000</v>
      </c>
      <c r="J18" s="21">
        <v>6501000</v>
      </c>
      <c r="K18" s="21">
        <v>7423000</v>
      </c>
      <c r="L18" s="1"/>
    </row>
    <row r="19" spans="1:12">
      <c r="A19" s="1" t="s">
        <v>22</v>
      </c>
      <c r="B19" s="21">
        <v>621975</v>
      </c>
      <c r="C19" s="21">
        <v>634000</v>
      </c>
      <c r="D19" s="21">
        <v>670000</v>
      </c>
      <c r="E19" s="21">
        <v>740000</v>
      </c>
      <c r="F19" s="21">
        <v>767000</v>
      </c>
      <c r="G19" s="21">
        <v>1011000</v>
      </c>
      <c r="H19" s="21">
        <v>1408000</v>
      </c>
      <c r="I19" s="21">
        <v>1903000</v>
      </c>
      <c r="J19" s="21">
        <v>2694000</v>
      </c>
      <c r="K19" s="21">
        <v>3509000</v>
      </c>
      <c r="L19" s="1"/>
    </row>
    <row r="20" spans="1:12">
      <c r="A20" s="1" t="s">
        <v>21</v>
      </c>
      <c r="B20" s="21">
        <v>557282</v>
      </c>
      <c r="C20" s="21">
        <v>466000</v>
      </c>
      <c r="D20" s="21">
        <v>521000</v>
      </c>
      <c r="E20" s="21">
        <v>997000</v>
      </c>
      <c r="F20" s="21">
        <v>1404000</v>
      </c>
      <c r="G20" s="21">
        <v>1674000</v>
      </c>
      <c r="H20" s="21">
        <v>2149000</v>
      </c>
      <c r="I20" s="21">
        <v>2778000</v>
      </c>
      <c r="J20" s="21">
        <v>3807000</v>
      </c>
      <c r="K20" s="21">
        <v>3914000</v>
      </c>
      <c r="L20" s="1"/>
    </row>
    <row r="21" spans="1:12">
      <c r="A21" s="1" t="s">
        <v>20</v>
      </c>
      <c r="B21" s="21">
        <v>839893</v>
      </c>
      <c r="C21" s="21">
        <v>784000</v>
      </c>
      <c r="D21" s="21">
        <v>722000</v>
      </c>
      <c r="E21" s="21">
        <v>670000</v>
      </c>
      <c r="F21" s="21">
        <v>663000</v>
      </c>
      <c r="G21" s="21">
        <v>667000</v>
      </c>
      <c r="H21" s="21">
        <v>6930000</v>
      </c>
      <c r="I21" s="21">
        <v>6688000</v>
      </c>
      <c r="J21" s="21">
        <v>6048000</v>
      </c>
      <c r="K21" s="21">
        <v>5542000</v>
      </c>
      <c r="L21" s="1"/>
    </row>
    <row r="22" spans="1:12">
      <c r="A22" s="1" t="s">
        <v>19</v>
      </c>
      <c r="B22" s="21">
        <v>90896</v>
      </c>
      <c r="C22" s="21">
        <v>67000</v>
      </c>
      <c r="D22" s="21">
        <v>62000</v>
      </c>
      <c r="E22" s="21">
        <v>319000</v>
      </c>
      <c r="F22" s="21">
        <v>668000</v>
      </c>
      <c r="G22" s="21">
        <v>736000</v>
      </c>
      <c r="H22" s="21">
        <v>2851000</v>
      </c>
      <c r="I22" s="21">
        <v>2248000</v>
      </c>
      <c r="J22" s="21">
        <v>1183000</v>
      </c>
      <c r="K22" s="21">
        <v>5846000</v>
      </c>
      <c r="L22" s="1"/>
    </row>
    <row r="23" spans="1:12" s="11" customFormat="1">
      <c r="A23" s="9" t="s">
        <v>18</v>
      </c>
      <c r="B23" s="26">
        <v>7201368</v>
      </c>
      <c r="C23" s="26">
        <v>7370000</v>
      </c>
      <c r="D23" s="26">
        <v>9841000</v>
      </c>
      <c r="E23" s="26">
        <v>11241000</v>
      </c>
      <c r="F23" s="26">
        <v>13292000</v>
      </c>
      <c r="G23" s="26">
        <v>17315000</v>
      </c>
      <c r="H23" s="26">
        <v>28791000</v>
      </c>
      <c r="I23" s="26">
        <v>44187000</v>
      </c>
      <c r="J23" s="26">
        <v>41182000</v>
      </c>
      <c r="K23" s="26">
        <v>65728000</v>
      </c>
      <c r="L23" s="9"/>
    </row>
    <row r="24" spans="1:12">
      <c r="A24" s="1" t="s">
        <v>17</v>
      </c>
      <c r="B24" s="21">
        <v>573315</v>
      </c>
      <c r="C24" s="21">
        <v>587000</v>
      </c>
      <c r="D24" s="21">
        <v>861000</v>
      </c>
      <c r="E24" s="21">
        <v>1008000</v>
      </c>
      <c r="F24" s="21">
        <v>1051000</v>
      </c>
      <c r="G24" s="21">
        <v>1334000</v>
      </c>
      <c r="H24" s="21">
        <v>2128000</v>
      </c>
      <c r="I24" s="21">
        <v>3192000</v>
      </c>
      <c r="J24" s="21">
        <v>2919000</v>
      </c>
      <c r="K24" s="21">
        <v>7496000</v>
      </c>
      <c r="L24" s="1"/>
    </row>
    <row r="25" spans="1:12">
      <c r="A25" s="1" t="s">
        <v>16</v>
      </c>
      <c r="B25" s="21">
        <v>293223</v>
      </c>
      <c r="C25" s="21">
        <v>296000</v>
      </c>
      <c r="D25" s="21">
        <v>485000</v>
      </c>
      <c r="E25" s="21">
        <v>596000</v>
      </c>
      <c r="F25" s="21">
        <v>511000</v>
      </c>
      <c r="G25" s="21">
        <v>687000</v>
      </c>
      <c r="H25" s="21">
        <v>1201000</v>
      </c>
      <c r="I25" s="21">
        <v>1783000</v>
      </c>
      <c r="J25" s="21">
        <v>1193000</v>
      </c>
      <c r="K25" s="21">
        <v>2699000</v>
      </c>
      <c r="L25" s="1"/>
    </row>
    <row r="26" spans="1:12">
      <c r="A26" s="1" t="s">
        <v>15</v>
      </c>
      <c r="B26" s="21">
        <v>280092</v>
      </c>
      <c r="C26" s="21">
        <v>291000</v>
      </c>
      <c r="D26" s="21">
        <v>376000</v>
      </c>
      <c r="E26" s="21">
        <v>412000</v>
      </c>
      <c r="F26" s="21">
        <v>540000</v>
      </c>
      <c r="G26" s="21">
        <v>647000</v>
      </c>
      <c r="H26" s="21">
        <v>927000</v>
      </c>
      <c r="I26" s="21">
        <v>1409000</v>
      </c>
      <c r="J26" s="21">
        <v>1726000</v>
      </c>
      <c r="K26" s="21">
        <v>4797000</v>
      </c>
      <c r="L26" s="1"/>
    </row>
    <row r="27" spans="1:12">
      <c r="A27" s="1" t="s">
        <v>14</v>
      </c>
      <c r="B27" s="22">
        <v>0</v>
      </c>
      <c r="C27" s="21">
        <v>1413000</v>
      </c>
      <c r="D27" s="21">
        <v>796000</v>
      </c>
      <c r="E27" s="21">
        <v>15000</v>
      </c>
      <c r="F27" s="22">
        <v>0</v>
      </c>
      <c r="G27" s="22">
        <v>0</v>
      </c>
      <c r="H27" s="21">
        <v>999000</v>
      </c>
      <c r="I27" s="22">
        <v>0</v>
      </c>
      <c r="J27" s="21">
        <v>1250000</v>
      </c>
      <c r="K27" s="21">
        <v>1250000</v>
      </c>
      <c r="L27" s="1"/>
    </row>
    <row r="28" spans="1:12">
      <c r="A28" s="1" t="s">
        <v>13</v>
      </c>
      <c r="B28" s="21">
        <v>322715</v>
      </c>
      <c r="C28" s="21">
        <v>351000</v>
      </c>
      <c r="D28" s="21">
        <v>131000</v>
      </c>
      <c r="E28" s="21">
        <v>130000</v>
      </c>
      <c r="F28" s="21">
        <v>278000</v>
      </c>
      <c r="G28" s="21">
        <v>450000</v>
      </c>
      <c r="H28" s="21">
        <v>798000</v>
      </c>
      <c r="I28" s="21">
        <v>1143000</v>
      </c>
      <c r="J28" s="21">
        <v>2394000</v>
      </c>
      <c r="K28" s="21">
        <v>1885000</v>
      </c>
      <c r="L28" s="1"/>
    </row>
    <row r="29" spans="1:12" s="25" customFormat="1" ht="15.75">
      <c r="A29" s="23" t="s">
        <v>12</v>
      </c>
      <c r="B29" s="24">
        <v>896030</v>
      </c>
      <c r="C29" s="24">
        <v>2351000</v>
      </c>
      <c r="D29" s="24">
        <v>1788000</v>
      </c>
      <c r="E29" s="24">
        <v>1153000</v>
      </c>
      <c r="F29" s="24">
        <v>1329000</v>
      </c>
      <c r="G29" s="24">
        <v>1784000</v>
      </c>
      <c r="H29" s="24">
        <v>3925000</v>
      </c>
      <c r="I29" s="24">
        <v>4335000</v>
      </c>
      <c r="J29" s="24">
        <v>6563000</v>
      </c>
      <c r="K29" s="24">
        <v>10631000</v>
      </c>
      <c r="L29" s="23"/>
    </row>
    <row r="30" spans="1:12">
      <c r="A30" s="1" t="s">
        <v>11</v>
      </c>
      <c r="B30" s="21">
        <v>1398428</v>
      </c>
      <c r="C30" s="21">
        <v>10000</v>
      </c>
      <c r="D30" s="21">
        <v>1989000</v>
      </c>
      <c r="E30" s="21">
        <v>1985000</v>
      </c>
      <c r="F30" s="21">
        <v>1988000</v>
      </c>
      <c r="G30" s="21">
        <v>1991000</v>
      </c>
      <c r="H30" s="21">
        <v>5964000</v>
      </c>
      <c r="I30" s="21">
        <v>10946000</v>
      </c>
      <c r="J30" s="21">
        <v>9703000</v>
      </c>
      <c r="K30" s="21">
        <v>8459000</v>
      </c>
      <c r="L30" s="1"/>
    </row>
    <row r="31" spans="1:12">
      <c r="A31" s="1" t="s">
        <v>10</v>
      </c>
      <c r="B31" s="21">
        <v>340145</v>
      </c>
      <c r="C31" s="21">
        <v>345000</v>
      </c>
      <c r="D31" s="21">
        <v>145000</v>
      </c>
      <c r="E31" s="21">
        <v>33000</v>
      </c>
      <c r="F31" s="21">
        <v>65000</v>
      </c>
      <c r="G31" s="21">
        <v>89000</v>
      </c>
      <c r="H31" s="21">
        <v>404000</v>
      </c>
      <c r="I31" s="21">
        <v>447000</v>
      </c>
      <c r="J31" s="21">
        <v>465000</v>
      </c>
      <c r="K31" s="21">
        <v>1035000</v>
      </c>
      <c r="L31" s="1"/>
    </row>
    <row r="32" spans="1:12">
      <c r="A32" s="1" t="s">
        <v>9</v>
      </c>
      <c r="B32" s="21">
        <v>148783</v>
      </c>
      <c r="C32" s="21">
        <v>108000</v>
      </c>
      <c r="D32" s="21">
        <v>126000</v>
      </c>
      <c r="E32" s="21">
        <v>599000</v>
      </c>
      <c r="F32" s="21">
        <v>568000</v>
      </c>
      <c r="G32" s="21">
        <v>1247000</v>
      </c>
      <c r="H32" s="21">
        <v>1605000</v>
      </c>
      <c r="I32" s="21">
        <v>1847000</v>
      </c>
      <c r="J32" s="21">
        <v>2350000</v>
      </c>
      <c r="K32" s="21">
        <v>2625000</v>
      </c>
      <c r="L32" s="1"/>
    </row>
    <row r="33" spans="1:12" s="25" customFormat="1" ht="15.75">
      <c r="A33" s="23" t="s">
        <v>8</v>
      </c>
      <c r="B33" s="24">
        <v>2783386</v>
      </c>
      <c r="C33" s="24">
        <v>2814000</v>
      </c>
      <c r="D33" s="24">
        <v>4048000</v>
      </c>
      <c r="E33" s="24">
        <v>3770000</v>
      </c>
      <c r="F33" s="24">
        <v>3950000</v>
      </c>
      <c r="G33" s="24">
        <v>5111000</v>
      </c>
      <c r="H33" s="24">
        <v>11898000</v>
      </c>
      <c r="I33" s="24">
        <v>17575000</v>
      </c>
      <c r="J33" s="24">
        <v>19081000</v>
      </c>
      <c r="K33" s="24">
        <v>22750000</v>
      </c>
      <c r="L33" s="23"/>
    </row>
    <row r="34" spans="1:12">
      <c r="A34" s="1" t="s">
        <v>7</v>
      </c>
      <c r="B34" s="21">
        <v>754</v>
      </c>
      <c r="C34" s="21">
        <v>1000</v>
      </c>
      <c r="D34" s="21">
        <v>1000</v>
      </c>
      <c r="E34" s="21">
        <v>1000</v>
      </c>
      <c r="F34" s="21">
        <v>1000</v>
      </c>
      <c r="G34" s="21">
        <v>1000</v>
      </c>
      <c r="H34" s="21">
        <v>1000</v>
      </c>
      <c r="I34" s="21">
        <v>3000</v>
      </c>
      <c r="J34" s="21">
        <v>2000</v>
      </c>
      <c r="K34" s="21">
        <v>2000</v>
      </c>
      <c r="L34" s="1"/>
    </row>
    <row r="35" spans="1:12">
      <c r="A35" s="1" t="s">
        <v>6</v>
      </c>
      <c r="B35" s="21">
        <v>3855092</v>
      </c>
      <c r="C35" s="21">
        <v>4170000</v>
      </c>
      <c r="D35" s="21">
        <v>4708000</v>
      </c>
      <c r="E35" s="21">
        <v>5351000</v>
      </c>
      <c r="F35" s="21">
        <v>6051000</v>
      </c>
      <c r="G35" s="21">
        <v>7045000</v>
      </c>
      <c r="H35" s="21">
        <v>8721000</v>
      </c>
      <c r="I35" s="21">
        <v>10385000</v>
      </c>
      <c r="J35" s="21">
        <v>11971000</v>
      </c>
      <c r="K35" s="21">
        <v>13132000</v>
      </c>
      <c r="L35" s="1"/>
    </row>
    <row r="36" spans="1:12">
      <c r="A36" s="1" t="s">
        <v>5</v>
      </c>
      <c r="B36" s="21">
        <v>3948877</v>
      </c>
      <c r="C36" s="21">
        <v>4350000</v>
      </c>
      <c r="D36" s="21">
        <v>6108000</v>
      </c>
      <c r="E36" s="21">
        <v>8787000</v>
      </c>
      <c r="F36" s="21">
        <v>12565000</v>
      </c>
      <c r="G36" s="21">
        <v>14971000</v>
      </c>
      <c r="H36" s="21">
        <v>18908000</v>
      </c>
      <c r="I36" s="21">
        <v>16235000</v>
      </c>
      <c r="J36" s="21">
        <v>10171000</v>
      </c>
      <c r="K36" s="21">
        <v>29817000</v>
      </c>
      <c r="L36" s="1"/>
    </row>
    <row r="37" spans="1:12">
      <c r="A37" s="1" t="s">
        <v>4</v>
      </c>
      <c r="B37" s="21">
        <v>7844</v>
      </c>
      <c r="C37" s="21">
        <v>-4000</v>
      </c>
      <c r="D37" s="21">
        <v>-16000</v>
      </c>
      <c r="E37" s="21">
        <v>-18000</v>
      </c>
      <c r="F37" s="21">
        <v>-12000</v>
      </c>
      <c r="G37" s="21">
        <v>1000</v>
      </c>
      <c r="H37" s="21">
        <v>19000</v>
      </c>
      <c r="I37" s="21">
        <v>-11000</v>
      </c>
      <c r="J37" s="21">
        <v>-43000</v>
      </c>
      <c r="K37" s="21">
        <v>27000</v>
      </c>
      <c r="L37" s="1"/>
    </row>
    <row r="38" spans="1:12">
      <c r="A38" s="1" t="s">
        <v>3</v>
      </c>
      <c r="B38" s="21">
        <v>3394585</v>
      </c>
      <c r="C38" s="21">
        <v>4048000</v>
      </c>
      <c r="D38" s="21">
        <v>5039000</v>
      </c>
      <c r="E38" s="21">
        <v>6650000</v>
      </c>
      <c r="F38" s="21">
        <v>9263000</v>
      </c>
      <c r="G38" s="21">
        <v>9814000</v>
      </c>
      <c r="H38" s="21">
        <v>10756000</v>
      </c>
      <c r="I38" s="22">
        <v>0</v>
      </c>
      <c r="J38" s="22">
        <v>0</v>
      </c>
      <c r="K38" s="22">
        <v>0</v>
      </c>
      <c r="L38" s="1"/>
    </row>
    <row r="39" spans="1:12" s="25" customFormat="1" ht="15.75">
      <c r="A39" s="23" t="s">
        <v>1</v>
      </c>
      <c r="B39" s="24">
        <v>4417982</v>
      </c>
      <c r="C39" s="24">
        <v>4556000</v>
      </c>
      <c r="D39" s="24">
        <v>5793000</v>
      </c>
      <c r="E39" s="24">
        <v>7471000</v>
      </c>
      <c r="F39" s="24">
        <v>9342000</v>
      </c>
      <c r="G39" s="24">
        <v>12204000</v>
      </c>
      <c r="H39" s="24">
        <v>16893000</v>
      </c>
      <c r="I39" s="24">
        <v>26612000</v>
      </c>
      <c r="J39" s="24">
        <v>22101000</v>
      </c>
      <c r="K39" s="24">
        <v>42978000</v>
      </c>
      <c r="L39" s="23"/>
    </row>
    <row r="40" spans="1:12" s="25" customFormat="1" ht="15.75">
      <c r="A40" s="23" t="s">
        <v>0</v>
      </c>
      <c r="B40" s="24">
        <v>7201368</v>
      </c>
      <c r="C40" s="24">
        <v>7370000</v>
      </c>
      <c r="D40" s="24">
        <v>9841000</v>
      </c>
      <c r="E40" s="24">
        <v>11241000</v>
      </c>
      <c r="F40" s="24">
        <v>13292000</v>
      </c>
      <c r="G40" s="24">
        <v>17315000</v>
      </c>
      <c r="H40" s="24">
        <v>28791000</v>
      </c>
      <c r="I40" s="24">
        <v>44187000</v>
      </c>
      <c r="J40" s="24">
        <v>41182000</v>
      </c>
      <c r="K40" s="24">
        <v>65728000</v>
      </c>
      <c r="L40" s="23"/>
    </row>
    <row r="44" spans="1:12">
      <c r="A44" t="s">
        <v>192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41C6-FADA-4A24-9E45-CCAB14D11AB0}">
  <dimension ref="A1:K35"/>
  <sheetViews>
    <sheetView topLeftCell="A16" zoomScaleNormal="100" workbookViewId="0">
      <selection activeCell="A30" sqref="A30"/>
    </sheetView>
  </sheetViews>
  <sheetFormatPr defaultRowHeight="15"/>
  <cols>
    <col min="1" max="1" width="34.140625" bestFit="1" customWidth="1"/>
    <col min="2" max="4" width="14.28515625" bestFit="1" customWidth="1"/>
    <col min="5" max="11" width="16" bestFit="1" customWidth="1"/>
  </cols>
  <sheetData>
    <row r="1" spans="1:11" ht="25.5">
      <c r="A1" s="6" t="s">
        <v>50</v>
      </c>
      <c r="B1" s="27">
        <v>2015</v>
      </c>
      <c r="C1" s="27">
        <v>2016</v>
      </c>
      <c r="D1" s="27">
        <v>2017</v>
      </c>
      <c r="E1" s="27">
        <v>2018</v>
      </c>
      <c r="F1" s="27">
        <v>2019</v>
      </c>
      <c r="G1" s="27">
        <v>2020</v>
      </c>
      <c r="H1" s="27">
        <v>2021</v>
      </c>
      <c r="I1" s="27">
        <v>2022</v>
      </c>
      <c r="J1" s="27">
        <v>2023</v>
      </c>
      <c r="K1" s="27">
        <v>2024</v>
      </c>
    </row>
    <row r="2" spans="1:11">
      <c r="A2" s="4" t="s">
        <v>49</v>
      </c>
      <c r="B2" s="5" t="s">
        <v>48</v>
      </c>
      <c r="C2" s="5" t="s">
        <v>47</v>
      </c>
      <c r="D2" s="5" t="s">
        <v>46</v>
      </c>
      <c r="E2" s="5" t="s">
        <v>45</v>
      </c>
      <c r="F2" s="5" t="s">
        <v>44</v>
      </c>
      <c r="G2" s="5" t="s">
        <v>43</v>
      </c>
      <c r="H2" s="5" t="s">
        <v>42</v>
      </c>
      <c r="I2" s="5" t="s">
        <v>41</v>
      </c>
      <c r="J2" s="5" t="s">
        <v>40</v>
      </c>
      <c r="K2" s="5" t="s">
        <v>39</v>
      </c>
    </row>
    <row r="3" spans="1:11">
      <c r="A3" s="4" t="s">
        <v>38</v>
      </c>
      <c r="B3" s="5" t="s">
        <v>37</v>
      </c>
      <c r="C3" s="5" t="s">
        <v>37</v>
      </c>
      <c r="D3" s="5" t="s">
        <v>37</v>
      </c>
      <c r="E3" s="5" t="s">
        <v>37</v>
      </c>
      <c r="F3" s="5" t="s">
        <v>37</v>
      </c>
      <c r="G3" s="5" t="s">
        <v>37</v>
      </c>
      <c r="H3" s="5" t="s">
        <v>37</v>
      </c>
      <c r="I3" s="5" t="s">
        <v>37</v>
      </c>
      <c r="J3" s="5" t="s">
        <v>37</v>
      </c>
      <c r="K3" s="5" t="s">
        <v>37</v>
      </c>
    </row>
    <row r="4" spans="1:11">
      <c r="A4" s="4" t="s">
        <v>34</v>
      </c>
      <c r="B4" s="5" t="s">
        <v>33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</row>
    <row r="5" spans="1:11">
      <c r="A5" s="4" t="s">
        <v>32</v>
      </c>
      <c r="B5" s="5" t="s">
        <v>31</v>
      </c>
      <c r="C5" s="5" t="s">
        <v>31</v>
      </c>
      <c r="D5" s="5" t="s">
        <v>31</v>
      </c>
      <c r="E5" s="5" t="s">
        <v>31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</row>
    <row r="6" spans="1:11">
      <c r="A6" s="1" t="s">
        <v>30</v>
      </c>
      <c r="B6" s="19">
        <f>'BALANCE SHEET '!B11/'BALANCE SHEET '!$B$23</f>
        <v>6.8966618564694937E-2</v>
      </c>
      <c r="C6" s="19">
        <f>'BALANCE SHEET '!C11/'BALANCE SHEET '!$C$23</f>
        <v>8.0868385345997287E-2</v>
      </c>
      <c r="D6" s="19">
        <f>'BALANCE SHEET '!D11/'BALANCE SHEET '!$D$23</f>
        <v>0.179453307590692</v>
      </c>
      <c r="E6" s="19">
        <f>'BALANCE SHEET '!E11/'BALANCE SHEET '!$E$23</f>
        <v>0.35601814785161462</v>
      </c>
      <c r="F6" s="19">
        <f>'BALANCE SHEET '!F11/'BALANCE SHEET '!$F$23</f>
        <v>5.8832380379175445E-2</v>
      </c>
      <c r="G6" s="19">
        <f>'BALANCE SHEET '!G11/'BALANCE SHEET '!$G$23</f>
        <v>0.62928097025700258</v>
      </c>
      <c r="H6" s="19">
        <f>'BALANCE SHEET '!H11/'BALANCE SHEET '!$H$23</f>
        <v>2.9418915633357648E-2</v>
      </c>
      <c r="I6" s="19">
        <f>'BALANCE SHEET '!I11/'BALANCE SHEET '!$I$23</f>
        <v>4.5035870278588727E-2</v>
      </c>
      <c r="J6" s="19">
        <f>'BALANCE SHEET '!J11/'BALANCE SHEET '!$J$23</f>
        <v>8.2293234908455151E-2</v>
      </c>
      <c r="K6" s="19">
        <f>'BALANCE SHEET '!K11/'BALANCE SHEET '!$K$23</f>
        <v>0.11075949367088607</v>
      </c>
    </row>
    <row r="7" spans="1:11">
      <c r="A7" s="1" t="s">
        <v>29</v>
      </c>
      <c r="B7" s="19">
        <f>'BALANCE SHEET '!B12/'BALANCE SHEET '!$B$23</f>
        <v>0.57304181649930963</v>
      </c>
      <c r="C7" s="19">
        <f>'BALANCE SHEET '!C12/'BALANCE SHEET '!$C$23</f>
        <v>0.60257801899592944</v>
      </c>
      <c r="D7" s="19">
        <f>'BALANCE SHEET '!D12/'BALANCE SHEET '!$D$23</f>
        <v>0.51133014937506349</v>
      </c>
      <c r="E7" s="19">
        <f>'BALANCE SHEET '!E12/'BALANCE SHEET '!$E$23</f>
        <v>0.27630993683835958</v>
      </c>
      <c r="F7" s="19">
        <f>'BALANCE SHEET '!F12/'BALANCE SHEET '!$F$23</f>
        <v>0.49954860066205237</v>
      </c>
      <c r="G7" s="19">
        <f>'BALANCE SHEET '!G12/'BALANCE SHEET '!$G$23</f>
        <v>5.7753393011839443E-5</v>
      </c>
      <c r="H7" s="19">
        <f>'BALANCE SHEET '!H12/'BALANCE SHEET '!$H$23</f>
        <v>0.37213017957000449</v>
      </c>
      <c r="I7" s="19">
        <f>'BALANCE SHEET '!I12/'BALANCE SHEET '!$I$23</f>
        <v>0.43492429900196888</v>
      </c>
      <c r="J7" s="19">
        <f>'BALANCE SHEET '!J12/'BALANCE SHEET '!$J$23</f>
        <v>0.24056626681559906</v>
      </c>
      <c r="K7" s="19">
        <f>'BALANCE SHEET '!K12/'BALANCE SHEET '!$K$23</f>
        <v>0.28456669912366117</v>
      </c>
    </row>
    <row r="8" spans="1:11">
      <c r="A8" s="1" t="s">
        <v>28</v>
      </c>
      <c r="B8" s="19">
        <f>'BALANCE SHEET '!B13/'BALANCE SHEET '!$B$23</f>
        <v>0.64200843506400451</v>
      </c>
      <c r="C8" s="19">
        <f>'BALANCE SHEET '!C13/'BALANCE SHEET '!$C$23</f>
        <v>0.68344640434192672</v>
      </c>
      <c r="D8" s="19">
        <f>'BALANCE SHEET '!D13/'BALANCE SHEET '!$D$23</f>
        <v>0.69078345696575549</v>
      </c>
      <c r="E8" s="19">
        <f>'BALANCE SHEET '!E13/'BALANCE SHEET '!$E$23</f>
        <v>0.63232808468997426</v>
      </c>
      <c r="F8" s="19">
        <f>'BALANCE SHEET '!F13/'BALANCE SHEET '!$F$23</f>
        <v>0.5583809810412278</v>
      </c>
      <c r="G8" s="19">
        <f>'BALANCE SHEET '!G13/'BALANCE SHEET '!$G$23</f>
        <v>0.62933872365001442</v>
      </c>
      <c r="H8" s="19">
        <f>'BALANCE SHEET '!H13/'BALANCE SHEET '!$H$23</f>
        <v>0.40154909520336218</v>
      </c>
      <c r="I8" s="19">
        <f>'BALANCE SHEET '!I13/'BALANCE SHEET '!$I$23</f>
        <v>0.47996016928055762</v>
      </c>
      <c r="J8" s="19">
        <f>'BALANCE SHEET '!J13/'BALANCE SHEET '!$J$23</f>
        <v>0.3228595017240542</v>
      </c>
      <c r="K8" s="19">
        <f>'BALANCE SHEET '!K13/'BALANCE SHEET '!$K$23</f>
        <v>0.39532619279454723</v>
      </c>
    </row>
    <row r="9" spans="1:11">
      <c r="A9" s="1" t="s">
        <v>27</v>
      </c>
      <c r="B9" s="19">
        <f>'BALANCE SHEET '!B14/'BALANCE SHEET '!$B$23</f>
        <v>6.5770420286812167E-2</v>
      </c>
      <c r="C9" s="19">
        <f>'BALANCE SHEET '!C14/'BALANCE SHEET '!$C$23</f>
        <v>6.8521031207598365E-2</v>
      </c>
      <c r="D9" s="19">
        <f>'BALANCE SHEET '!D14/'BALANCE SHEET '!$D$23</f>
        <v>8.3934559495986175E-2</v>
      </c>
      <c r="E9" s="19">
        <f>'BALANCE SHEET '!E14/'BALANCE SHEET '!$E$23</f>
        <v>0.1125344720220621</v>
      </c>
      <c r="F9" s="19">
        <f>'BALANCE SHEET '!F14/'BALANCE SHEET '!$F$23</f>
        <v>0.10713210953957268</v>
      </c>
      <c r="G9" s="19">
        <f>'BALANCE SHEET '!G14/'BALANCE SHEET '!$G$23</f>
        <v>9.5697372220617957E-2</v>
      </c>
      <c r="H9" s="19">
        <f>'BALANCE SHEET '!H14/'BALANCE SHEET '!$H$23</f>
        <v>8.4366642353513252E-2</v>
      </c>
      <c r="I9" s="19">
        <f>'BALANCE SHEET '!I14/'BALANCE SHEET '!$I$23</f>
        <v>0.10523457125398873</v>
      </c>
      <c r="J9" s="19">
        <f>'BALANCE SHEET '!J14/'BALANCE SHEET '!$J$23</f>
        <v>9.2928949541061623E-2</v>
      </c>
      <c r="K9" s="19">
        <f>'BALANCE SHEET '!K14/'BALANCE SHEET '!$K$23</f>
        <v>0.15212694741966895</v>
      </c>
    </row>
    <row r="10" spans="1:11">
      <c r="A10" s="1" t="s">
        <v>26</v>
      </c>
      <c r="B10" s="19">
        <f>'BALANCE SHEET '!B15/'BALANCE SHEET '!$B$23</f>
        <v>6.7055731633211907E-2</v>
      </c>
      <c r="C10" s="19">
        <f>'BALANCE SHEET '!C15/'BALANCE SHEET '!$C$23</f>
        <v>5.6716417910447764E-2</v>
      </c>
      <c r="D10" s="19">
        <f>'BALANCE SHEET '!D15/'BALANCE SHEET '!$D$23</f>
        <v>8.0682857433187691E-2</v>
      </c>
      <c r="E10" s="19">
        <f>'BALANCE SHEET '!E15/'BALANCE SHEET '!$E$23</f>
        <v>7.0812205319811403E-2</v>
      </c>
      <c r="F10" s="19">
        <f>'BALANCE SHEET '!F15/'BALANCE SHEET '!$F$23</f>
        <v>0.11849232621125488</v>
      </c>
      <c r="G10" s="19">
        <f>'BALANCE SHEET '!G15/'BALANCE SHEET '!$G$23</f>
        <v>5.654057175859082E-2</v>
      </c>
      <c r="H10" s="19">
        <f>'BALANCE SHEET '!H15/'BALANCE SHEET '!$H$23</f>
        <v>6.3422597339446357E-2</v>
      </c>
      <c r="I10" s="19">
        <f>'BALANCE SHEET '!I15/'BALANCE SHEET '!$I$23</f>
        <v>5.8953990992825944E-2</v>
      </c>
      <c r="J10" s="19">
        <f>'BALANCE SHEET '!J15/'BALANCE SHEET '!$J$23</f>
        <v>0.1252731776018649</v>
      </c>
      <c r="K10" s="19">
        <f>'BALANCE SHEET '!K15/'BALANCE SHEET '!$K$23</f>
        <v>8.0361489776046735E-2</v>
      </c>
    </row>
    <row r="11" spans="1:11">
      <c r="A11" s="1" t="s">
        <v>25</v>
      </c>
      <c r="B11" s="19">
        <f>'BALANCE SHEET '!B16/'BALANCE SHEET '!$B$23</f>
        <v>9.7445374267778016E-3</v>
      </c>
      <c r="C11" s="19">
        <f>'BALANCE SHEET '!C16/'BALANCE SHEET '!$C$23</f>
        <v>1.2618724559023067E-2</v>
      </c>
      <c r="D11" s="19">
        <f>'BALANCE SHEET '!D16/'BALANCE SHEET '!$D$23</f>
        <v>1.1990651356569454E-2</v>
      </c>
      <c r="E11" s="19">
        <f>'BALANCE SHEET '!E16/'BALANCE SHEET '!$E$23</f>
        <v>7.6505648963615339E-3</v>
      </c>
      <c r="F11" s="19">
        <f>'BALANCE SHEET '!F16/'BALANCE SHEET '!$F$23</f>
        <v>1.0231718326813121E-2</v>
      </c>
      <c r="G11" s="19">
        <f>'BALANCE SHEET '!G16/'BALANCE SHEET '!$G$23</f>
        <v>9.0672827028587932E-3</v>
      </c>
      <c r="H11" s="19">
        <f>'BALANCE SHEET '!H16/'BALANCE SHEET '!$H$23</f>
        <v>8.3012052377479072E-3</v>
      </c>
      <c r="I11" s="19">
        <f>'BALANCE SHEET '!I16/'BALANCE SHEET '!$I$23</f>
        <v>8.2829791567655651E-3</v>
      </c>
      <c r="J11" s="19">
        <f>'BALANCE SHEET '!J16/'BALANCE SHEET '!$J$23</f>
        <v>1.9207420717789324E-2</v>
      </c>
      <c r="K11" s="19">
        <f>'BALANCE SHEET '!K16/'BALANCE SHEET '!$K$23</f>
        <v>4.6859785783836413E-2</v>
      </c>
    </row>
    <row r="12" spans="1:11" ht="15.75">
      <c r="A12" s="23" t="s">
        <v>24</v>
      </c>
      <c r="B12" s="19">
        <f>'BALANCE SHEET '!B17/'BALANCE SHEET '!$B$23</f>
        <v>0.79336273330289464</v>
      </c>
      <c r="C12" s="19">
        <f>'BALANCE SHEET '!C17/'BALANCE SHEET '!$C$23</f>
        <v>0.82130257801899598</v>
      </c>
      <c r="D12" s="19">
        <f>'BALANCE SHEET '!D17/'BALANCE SHEET '!$D$23</f>
        <v>0.86739152525149887</v>
      </c>
      <c r="E12" s="19">
        <f>'BALANCE SHEET '!E17/'BALANCE SHEET '!$E$23</f>
        <v>0.82332532692820926</v>
      </c>
      <c r="F12" s="19">
        <f>'BALANCE SHEET '!F17/'BALANCE SHEET '!$F$23</f>
        <v>0.79423713511886851</v>
      </c>
      <c r="G12" s="19">
        <f>'BALANCE SHEET '!G17/'BALANCE SHEET '!$G$23</f>
        <v>0.79064395033208201</v>
      </c>
      <c r="H12" s="19">
        <f>'BALANCE SHEET '!H17/'BALANCE SHEET '!$H$23</f>
        <v>0.55763954013406969</v>
      </c>
      <c r="I12" s="19">
        <f>'BALANCE SHEET '!I17/'BALANCE SHEET '!$I$23</f>
        <v>0.65243171068413786</v>
      </c>
      <c r="J12" s="19">
        <f>'BALANCE SHEET '!J17/'BALANCE SHEET '!$J$23</f>
        <v>0.56026904958477008</v>
      </c>
      <c r="K12" s="19">
        <f>'BALANCE SHEET '!K17/'BALANCE SHEET '!$K$23</f>
        <v>0.67467441577409937</v>
      </c>
    </row>
    <row r="13" spans="1:11">
      <c r="A13" s="1" t="s">
        <v>23</v>
      </c>
      <c r="B13" s="19">
        <f>'BALANCE SHEET '!B18/'BALANCE SHEET '!$B$23</f>
        <v>0.16375458107404037</v>
      </c>
      <c r="C13" s="19">
        <f>'BALANCE SHEET '!C18/'BALANCE SHEET '!$C$23</f>
        <v>0.14925373134328357</v>
      </c>
      <c r="D13" s="19">
        <f>'BALANCE SHEET '!D18/'BALANCE SHEET '!$D$23</f>
        <v>0.12102428614978153</v>
      </c>
      <c r="E13" s="19">
        <f>'BALANCE SHEET '!E18/'BALANCE SHEET '!$E$23</f>
        <v>0.15452361889511609</v>
      </c>
      <c r="F13" s="19">
        <f>'BALANCE SHEET '!F18/'BALANCE SHEET '!$F$23</f>
        <v>0.16333132711405357</v>
      </c>
      <c r="G13" s="19">
        <f>'BALANCE SHEET '!G18/'BALANCE SHEET '!$G$23</f>
        <v>0.15506786023678892</v>
      </c>
      <c r="H13" s="19">
        <f>'BALANCE SHEET '!H18/'BALANCE SHEET '!$H$23</f>
        <v>0.12354555242957868</v>
      </c>
      <c r="I13" s="19">
        <f>'BALANCE SHEET '!I18/'BALANCE SHEET '!$I$23</f>
        <v>0.10593613506234865</v>
      </c>
      <c r="J13" s="19">
        <f>'BALANCE SHEET '!J18/'BALANCE SHEET '!$J$23</f>
        <v>0.15786023019765918</v>
      </c>
      <c r="K13" s="19">
        <f>'BALANCE SHEET '!K18/'BALANCE SHEET '!$K$23</f>
        <v>0.11293512658227849</v>
      </c>
    </row>
    <row r="14" spans="1:11">
      <c r="A14" s="1" t="s">
        <v>22</v>
      </c>
      <c r="B14" s="19">
        <f>'BALANCE SHEET '!B19/'BALANCE SHEET '!$B$23</f>
        <v>8.6369006555421138E-2</v>
      </c>
      <c r="C14" s="19">
        <f>'BALANCE SHEET '!C19/'BALANCE SHEET '!$C$23</f>
        <v>8.6024423337856176E-2</v>
      </c>
      <c r="D14" s="19">
        <f>'BALANCE SHEET '!D19/'BALANCE SHEET '!$D$23</f>
        <v>6.8082511939843507E-2</v>
      </c>
      <c r="E14" s="19">
        <f>'BALANCE SHEET '!E19/'BALANCE SHEET '!$E$23</f>
        <v>6.5830442131482966E-2</v>
      </c>
      <c r="F14" s="19">
        <f>'BALANCE SHEET '!F19/'BALANCE SHEET '!$F$23</f>
        <v>5.7703882034306347E-2</v>
      </c>
      <c r="G14" s="19">
        <f>'BALANCE SHEET '!G19/'BALANCE SHEET '!$G$23</f>
        <v>5.8388680334969682E-2</v>
      </c>
      <c r="H14" s="19">
        <f>'BALANCE SHEET '!H19/'BALANCE SHEET '!$H$23</f>
        <v>4.8904171442464658E-2</v>
      </c>
      <c r="I14" s="19">
        <f>'BALANCE SHEET '!I19/'BALANCE SHEET '!$I$23</f>
        <v>4.3066965397062486E-2</v>
      </c>
      <c r="J14" s="19">
        <f>'BALANCE SHEET '!J19/'BALANCE SHEET '!$J$23</f>
        <v>6.5416929726579573E-2</v>
      </c>
      <c r="K14" s="19">
        <f>'BALANCE SHEET '!K19/'BALANCE SHEET '!$K$23</f>
        <v>5.3386684518013629E-2</v>
      </c>
    </row>
    <row r="15" spans="1:11">
      <c r="A15" s="1" t="s">
        <v>21</v>
      </c>
      <c r="B15" s="19">
        <f>'BALANCE SHEET '!B20/'BALANCE SHEET '!$B$23</f>
        <v>7.7385574518619243E-2</v>
      </c>
      <c r="C15" s="19">
        <f>'BALANCE SHEET '!C20/'BALANCE SHEET '!$C$23</f>
        <v>6.3229308005427406E-2</v>
      </c>
      <c r="D15" s="19">
        <f>'BALANCE SHEET '!D20/'BALANCE SHEET '!$D$23</f>
        <v>5.2941774209938015E-2</v>
      </c>
      <c r="E15" s="19">
        <f>'BALANCE SHEET '!E20/'BALANCE SHEET '!$E$23</f>
        <v>8.8693176763633128E-2</v>
      </c>
      <c r="F15" s="19">
        <f>'BALANCE SHEET '!F20/'BALANCE SHEET '!$F$23</f>
        <v>0.10562744507974722</v>
      </c>
      <c r="G15" s="19">
        <f>'BALANCE SHEET '!G20/'BALANCE SHEET '!$G$23</f>
        <v>9.6679179901819234E-2</v>
      </c>
      <c r="H15" s="19">
        <f>'BALANCE SHEET '!H20/'BALANCE SHEET '!$H$23</f>
        <v>7.4641380987114023E-2</v>
      </c>
      <c r="I15" s="19">
        <f>'BALANCE SHEET '!I20/'BALANCE SHEET '!$I$23</f>
        <v>6.2869169665286176E-2</v>
      </c>
      <c r="J15" s="19">
        <f>'BALANCE SHEET '!J20/'BALANCE SHEET '!$J$23</f>
        <v>9.2443300471079598E-2</v>
      </c>
      <c r="K15" s="19">
        <f>'BALANCE SHEET '!K20/'BALANCE SHEET '!$K$23</f>
        <v>5.954844206426485E-2</v>
      </c>
    </row>
    <row r="16" spans="1:11">
      <c r="A16" s="1" t="s">
        <v>20</v>
      </c>
      <c r="B16" s="19">
        <f>'BALANCE SHEET '!B21/'BALANCE SHEET '!$B$23</f>
        <v>0.11662964592283022</v>
      </c>
      <c r="C16" s="19">
        <f>'BALANCE SHEET '!C21/'BALANCE SHEET '!$C$23</f>
        <v>0.10637720488466756</v>
      </c>
      <c r="D16" s="19">
        <f>'BALANCE SHEET '!D21/'BALANCE SHEET '!$D$23</f>
        <v>7.3366527791891067E-2</v>
      </c>
      <c r="E16" s="19">
        <f>'BALANCE SHEET '!E21/'BALANCE SHEET '!$E$23</f>
        <v>5.9603238146072414E-2</v>
      </c>
      <c r="F16" s="19">
        <f>'BALANCE SHEET '!F21/'BALANCE SHEET '!$F$23</f>
        <v>4.987962684321396E-2</v>
      </c>
      <c r="G16" s="19">
        <f>'BALANCE SHEET '!G21/'BALANCE SHEET '!$G$23</f>
        <v>3.8521513138896908E-2</v>
      </c>
      <c r="H16" s="19">
        <f>'BALANCE SHEET '!H21/'BALANCE SHEET '!$H$23</f>
        <v>0.24070021881838075</v>
      </c>
      <c r="I16" s="19">
        <f>'BALANCE SHEET '!I21/'BALANCE SHEET '!$I$23</f>
        <v>0.15135673388100573</v>
      </c>
      <c r="J16" s="19">
        <f>'BALANCE SHEET '!J21/'BALANCE SHEET '!$J$23</f>
        <v>0.14686027876256616</v>
      </c>
      <c r="K16" s="19">
        <f>'BALANCE SHEET '!K21/'BALANCE SHEET '!$K$23</f>
        <v>8.4317185978578388E-2</v>
      </c>
    </row>
    <row r="17" spans="1:11">
      <c r="A17" s="1" t="s">
        <v>19</v>
      </c>
      <c r="B17" s="19">
        <f>'BALANCE SHEET '!B22/'BALANCE SHEET '!$B$23</f>
        <v>1.2622046255655869E-2</v>
      </c>
      <c r="C17" s="19">
        <f>'BALANCE SHEET '!C22/'BALANCE SHEET '!$C$23</f>
        <v>9.0909090909090905E-3</v>
      </c>
      <c r="D17" s="19">
        <f>'BALANCE SHEET '!D22/'BALANCE SHEET '!$D$23</f>
        <v>6.3001727466720859E-3</v>
      </c>
      <c r="E17" s="19">
        <f>'BALANCE SHEET '!E22/'BALANCE SHEET '!$E$23</f>
        <v>2.8378258162085224E-2</v>
      </c>
      <c r="F17" s="19">
        <f>'BALANCE SHEET '!F22/'BALANCE SHEET '!$F$23</f>
        <v>5.0255792958170328E-2</v>
      </c>
      <c r="G17" s="19">
        <f>'BALANCE SHEET '!G22/'BALANCE SHEET '!$G$23</f>
        <v>4.2506497256713835E-2</v>
      </c>
      <c r="H17" s="19">
        <f>'BALANCE SHEET '!H22/'BALANCE SHEET '!$H$23</f>
        <v>9.9024000555729227E-2</v>
      </c>
      <c r="I17" s="19">
        <f>'BALANCE SHEET '!I22/'BALANCE SHEET '!$I$23</f>
        <v>5.0874691651390677E-2</v>
      </c>
      <c r="J17" s="19">
        <f>'BALANCE SHEET '!J22/'BALANCE SHEET '!$J$23</f>
        <v>2.8726142489437133E-2</v>
      </c>
      <c r="K17" s="19">
        <f>'BALANCE SHEET '!K22/'BALANCE SHEET '!$K$23</f>
        <v>8.8942307692307696E-2</v>
      </c>
    </row>
    <row r="18" spans="1:11">
      <c r="A18" s="9" t="s">
        <v>18</v>
      </c>
      <c r="B18" s="19">
        <f>'BALANCE SHEET '!B23/'BALANCE SHEET '!$B$23</f>
        <v>1</v>
      </c>
      <c r="C18" s="19">
        <f>'BALANCE SHEET '!C23/'BALANCE SHEET '!$C$23</f>
        <v>1</v>
      </c>
      <c r="D18" s="19">
        <f>'BALANCE SHEET '!D23/'BALANCE SHEET '!$D$23</f>
        <v>1</v>
      </c>
      <c r="E18" s="19">
        <f>'BALANCE SHEET '!E23/'BALANCE SHEET '!$E$23</f>
        <v>1</v>
      </c>
      <c r="F18" s="19">
        <f>'BALANCE SHEET '!F23/'BALANCE SHEET '!$F$23</f>
        <v>1</v>
      </c>
      <c r="G18" s="19">
        <f>'BALANCE SHEET '!G23/'BALANCE SHEET '!$G$23</f>
        <v>1</v>
      </c>
      <c r="H18" s="19">
        <f>'BALANCE SHEET '!H23/'BALANCE SHEET '!$H$23</f>
        <v>1</v>
      </c>
      <c r="I18" s="19">
        <f>'BALANCE SHEET '!I23/'BALANCE SHEET '!$I$23</f>
        <v>1</v>
      </c>
      <c r="J18" s="19">
        <f>'BALANCE SHEET '!J23/'BALANCE SHEET '!$J$23</f>
        <v>1</v>
      </c>
      <c r="K18" s="19">
        <f>'BALANCE SHEET '!K23/'BALANCE SHEET '!$K$23</f>
        <v>1</v>
      </c>
    </row>
    <row r="19" spans="1:11">
      <c r="A19" s="1" t="s">
        <v>17</v>
      </c>
      <c r="B19" s="19">
        <f>'BALANCE SHEET '!B24/'BALANCE SHEET '!$B$23</f>
        <v>7.9611957061491656E-2</v>
      </c>
      <c r="C19" s="19">
        <f>'BALANCE SHEET '!C24/'BALANCE SHEET '!$C$23</f>
        <v>7.9647218453188603E-2</v>
      </c>
      <c r="D19" s="19">
        <f>'BALANCE SHEET '!D24/'BALANCE SHEET '!$D$23</f>
        <v>8.7491108627172035E-2</v>
      </c>
      <c r="E19" s="19">
        <f>'BALANCE SHEET '!E24/'BALANCE SHEET '!$E$23</f>
        <v>8.9671737389911924E-2</v>
      </c>
      <c r="F19" s="19">
        <f>'BALANCE SHEET '!F24/'BALANCE SHEET '!$F$23</f>
        <v>7.9070117363827866E-2</v>
      </c>
      <c r="G19" s="19">
        <f>'BALANCE SHEET '!G24/'BALANCE SHEET '!$G$23</f>
        <v>7.7043026277793816E-2</v>
      </c>
      <c r="H19" s="19">
        <f>'BALANCE SHEET '!H24/'BALANCE SHEET '!$H$23</f>
        <v>7.3911986384634087E-2</v>
      </c>
      <c r="I19" s="19">
        <f>'BALANCE SHEET '!I24/'BALANCE SHEET '!$I$23</f>
        <v>7.2238441170480006E-2</v>
      </c>
      <c r="J19" s="19">
        <f>'BALANCE SHEET '!J24/'BALANCE SHEET '!$J$23</f>
        <v>7.0880481763877429E-2</v>
      </c>
      <c r="K19" s="19">
        <f>'BALANCE SHEET '!K24/'BALANCE SHEET '!$K$23</f>
        <v>0.11404576436222005</v>
      </c>
    </row>
    <row r="20" spans="1:11">
      <c r="A20" s="1" t="s">
        <v>16</v>
      </c>
      <c r="B20" s="19">
        <f>'BALANCE SHEET '!B25/'BALANCE SHEET '!$B$23</f>
        <v>4.0717680307408258E-2</v>
      </c>
      <c r="C20" s="19">
        <f>'BALANCE SHEET '!C25/'BALANCE SHEET '!$C$23</f>
        <v>4.016282225237449E-2</v>
      </c>
      <c r="D20" s="19">
        <f>'BALANCE SHEET '!D25/'BALANCE SHEET '!$D$23</f>
        <v>4.9283609389289704E-2</v>
      </c>
      <c r="E20" s="19">
        <f>'BALANCE SHEET '!E25/'BALANCE SHEET '!$E$23</f>
        <v>5.302019393292412E-2</v>
      </c>
      <c r="F20" s="19">
        <f>'BALANCE SHEET '!F25/'BALANCE SHEET '!$F$23</f>
        <v>3.8444176948540479E-2</v>
      </c>
      <c r="G20" s="19">
        <f>'BALANCE SHEET '!G25/'BALANCE SHEET '!$G$23</f>
        <v>3.9676580999133702E-2</v>
      </c>
      <c r="H20" s="19">
        <f>'BALANCE SHEET '!H25/'BALANCE SHEET '!$H$23</f>
        <v>4.1714424646590947E-2</v>
      </c>
      <c r="I20" s="19">
        <f>'BALANCE SHEET '!I25/'BALANCE SHEET '!$I$23</f>
        <v>4.0351234525991805E-2</v>
      </c>
      <c r="J20" s="19">
        <f>'BALANCE SHEET '!J25/'BALANCE SHEET '!$J$23</f>
        <v>2.8968967024428149E-2</v>
      </c>
      <c r="K20" s="19">
        <f>'BALANCE SHEET '!K25/'BALANCE SHEET '!$K$23</f>
        <v>4.1063169425511199E-2</v>
      </c>
    </row>
    <row r="21" spans="1:11">
      <c r="A21" s="1" t="s">
        <v>15</v>
      </c>
      <c r="B21" s="19">
        <f>'BALANCE SHEET '!B26/'BALANCE SHEET '!$B$23</f>
        <v>3.8894276754083391E-2</v>
      </c>
      <c r="C21" s="19">
        <f>'BALANCE SHEET '!C26/'BALANCE SHEET '!$C$23</f>
        <v>3.9484396200814113E-2</v>
      </c>
      <c r="D21" s="19">
        <f>'BALANCE SHEET '!D26/'BALANCE SHEET '!$D$23</f>
        <v>3.8207499237882331E-2</v>
      </c>
      <c r="E21" s="19">
        <f>'BALANCE SHEET '!E26/'BALANCE SHEET '!$E$23</f>
        <v>3.665154345698781E-2</v>
      </c>
      <c r="F21" s="19">
        <f>'BALANCE SHEET '!F26/'BALANCE SHEET '!$F$23</f>
        <v>4.0625940415287394E-2</v>
      </c>
      <c r="G21" s="19">
        <f>'BALANCE SHEET '!G26/'BALANCE SHEET '!$G$23</f>
        <v>3.7366445278660121E-2</v>
      </c>
      <c r="H21" s="19">
        <f>'BALANCE SHEET '!H26/'BALANCE SHEET '!$H$23</f>
        <v>3.219756173804314E-2</v>
      </c>
      <c r="I21" s="19">
        <f>'BALANCE SHEET '!I26/'BALANCE SHEET '!$I$23</f>
        <v>3.18872066444882E-2</v>
      </c>
      <c r="J21" s="19">
        <f>'BALANCE SHEET '!J26/'BALANCE SHEET '!$J$23</f>
        <v>4.1911514739449277E-2</v>
      </c>
      <c r="K21" s="19">
        <f>'BALANCE SHEET '!K26/'BALANCE SHEET '!$K$23</f>
        <v>7.2982594936708861E-2</v>
      </c>
    </row>
    <row r="22" spans="1:11">
      <c r="A22" s="1" t="s">
        <v>14</v>
      </c>
      <c r="B22" s="19">
        <f>'BALANCE SHEET '!B27/'BALANCE SHEET '!$B$23</f>
        <v>0</v>
      </c>
      <c r="C22" s="19">
        <f>'BALANCE SHEET '!C27/'BALANCE SHEET '!$C$23</f>
        <v>0.19172320217096336</v>
      </c>
      <c r="D22" s="19">
        <f>'BALANCE SHEET '!D27/'BALANCE SHEET '!$D$23</f>
        <v>8.0886088812112594E-2</v>
      </c>
      <c r="E22" s="19">
        <f>'BALANCE SHEET '!E27/'BALANCE SHEET '!$E$23</f>
        <v>1.3344008540165466E-3</v>
      </c>
      <c r="F22" s="19">
        <f>'BALANCE SHEET '!F27/'BALANCE SHEET '!$F$23</f>
        <v>0</v>
      </c>
      <c r="G22" s="19">
        <f>'BALANCE SHEET '!G27/'BALANCE SHEET '!$G$23</f>
        <v>0</v>
      </c>
      <c r="H22" s="19">
        <f>'BALANCE SHEET '!H27/'BALANCE SHEET '!$H$23</f>
        <v>3.4698343232260079E-2</v>
      </c>
      <c r="I22" s="19">
        <f>'BALANCE SHEET '!I27/'BALANCE SHEET '!$I$23</f>
        <v>0</v>
      </c>
      <c r="J22" s="19">
        <f>'BALANCE SHEET '!J27/'BALANCE SHEET '!$J$23</f>
        <v>3.0353066873876938E-2</v>
      </c>
      <c r="K22" s="19">
        <f>'BALANCE SHEET '!K27/'BALANCE SHEET '!$K$23</f>
        <v>1.9017770204479065E-2</v>
      </c>
    </row>
    <row r="23" spans="1:11">
      <c r="A23" s="1" t="s">
        <v>13</v>
      </c>
      <c r="B23" s="19">
        <f>'BALANCE SHEET '!B28/'BALANCE SHEET '!$B$23</f>
        <v>4.4813013305249783E-2</v>
      </c>
      <c r="C23" s="19">
        <f>'BALANCE SHEET '!C28/'BALANCE SHEET '!$C$23</f>
        <v>4.762550881953867E-2</v>
      </c>
      <c r="D23" s="19">
        <f>'BALANCE SHEET '!D28/'BALANCE SHEET '!$D$23</f>
        <v>1.3311655319581343E-2</v>
      </c>
      <c r="E23" s="19">
        <f>'BALANCE SHEET '!E28/'BALANCE SHEET '!$E$23</f>
        <v>1.1564807401476737E-2</v>
      </c>
      <c r="F23" s="19">
        <f>'BALANCE SHEET '!F28/'BALANCE SHEET '!$F$23</f>
        <v>2.0914835991573878E-2</v>
      </c>
      <c r="G23" s="19">
        <f>'BALANCE SHEET '!G28/'BALANCE SHEET '!$G$23</f>
        <v>2.5989026855327751E-2</v>
      </c>
      <c r="H23" s="19">
        <f>'BALANCE SHEET '!H28/'BALANCE SHEET '!$H$23</f>
        <v>2.7716994894237783E-2</v>
      </c>
      <c r="I23" s="19">
        <f>'BALANCE SHEET '!I28/'BALANCE SHEET '!$I$23</f>
        <v>2.5867336546948196E-2</v>
      </c>
      <c r="J23" s="19">
        <f>'BALANCE SHEET '!J28/'BALANCE SHEET '!$J$23</f>
        <v>5.813219367684911E-2</v>
      </c>
      <c r="K23" s="19">
        <f>'BALANCE SHEET '!K28/'BALANCE SHEET '!$K$23</f>
        <v>2.8678797468354431E-2</v>
      </c>
    </row>
    <row r="24" spans="1:11" ht="15.75">
      <c r="A24" s="23" t="s">
        <v>12</v>
      </c>
      <c r="B24" s="19">
        <f>'BALANCE SHEET '!B29/'BALANCE SHEET '!$B$23</f>
        <v>0.12442497036674142</v>
      </c>
      <c r="C24" s="19">
        <f>'BALANCE SHEET '!C29/'BALANCE SHEET '!$C$23</f>
        <v>0.31899592944369065</v>
      </c>
      <c r="D24" s="19">
        <f>'BALANCE SHEET '!D29/'BALANCE SHEET '!$D$23</f>
        <v>0.18168885275886598</v>
      </c>
      <c r="E24" s="19">
        <f>'BALANCE SHEET '!E29/'BALANCE SHEET '!$E$23</f>
        <v>0.10257094564540521</v>
      </c>
      <c r="F24" s="19">
        <f>'BALANCE SHEET '!F29/'BALANCE SHEET '!$F$23</f>
        <v>9.9984953355401751E-2</v>
      </c>
      <c r="G24" s="19">
        <f>'BALANCE SHEET '!G29/'BALANCE SHEET '!$G$23</f>
        <v>0.10303205313312157</v>
      </c>
      <c r="H24" s="19">
        <f>'BALANCE SHEET '!H29/'BALANCE SHEET '!$H$23</f>
        <v>0.13632732451113194</v>
      </c>
      <c r="I24" s="19">
        <f>'BALANCE SHEET '!I29/'BALANCE SHEET '!$I$23</f>
        <v>9.8105777717428205E-2</v>
      </c>
      <c r="J24" s="19">
        <f>'BALANCE SHEET '!J29/'BALANCE SHEET '!$J$23</f>
        <v>0.15936574231460346</v>
      </c>
      <c r="K24" s="19">
        <f>'BALANCE SHEET '!K29/'BALANCE SHEET '!$K$23</f>
        <v>0.16174233203505356</v>
      </c>
    </row>
    <row r="25" spans="1:11">
      <c r="A25" s="1" t="s">
        <v>11</v>
      </c>
      <c r="B25" s="19">
        <f>'BALANCE SHEET '!B30/'BALANCE SHEET '!$B$23</f>
        <v>0.19418921516023066</v>
      </c>
      <c r="C25" s="19">
        <f>'BALANCE SHEET '!C30/'BALANCE SHEET '!$C$23</f>
        <v>1.3568521031207597E-3</v>
      </c>
      <c r="D25" s="19">
        <f>'BALANCE SHEET '!D30/'BALANCE SHEET '!$D$23</f>
        <v>0.20211360634081901</v>
      </c>
      <c r="E25" s="19">
        <f>'BALANCE SHEET '!E30/'BALANCE SHEET '!$E$23</f>
        <v>0.17658571301485632</v>
      </c>
      <c r="F25" s="19">
        <f>'BALANCE SHEET '!F30/'BALANCE SHEET '!$F$23</f>
        <v>0.14956364730665062</v>
      </c>
      <c r="G25" s="19">
        <f>'BALANCE SHEET '!G30/'BALANCE SHEET '!$G$23</f>
        <v>0.11498700548657234</v>
      </c>
      <c r="H25" s="19">
        <f>'BALANCE SHEET '!H30/'BALANCE SHEET '!$H$23</f>
        <v>0.20714806710430342</v>
      </c>
      <c r="I25" s="19">
        <f>'BALANCE SHEET '!I30/'BALANCE SHEET '!$I$23</f>
        <v>0.24771991762283024</v>
      </c>
      <c r="J25" s="19">
        <f>'BALANCE SHEET '!J30/'BALANCE SHEET '!$J$23</f>
        <v>0.23561264630178233</v>
      </c>
      <c r="K25" s="19">
        <f>'BALANCE SHEET '!K30/'BALANCE SHEET '!$K$23</f>
        <v>0.12869705452775074</v>
      </c>
    </row>
    <row r="26" spans="1:11">
      <c r="A26" s="1" t="s">
        <v>10</v>
      </c>
      <c r="B26" s="19">
        <f>'BALANCE SHEET '!B31/'BALANCE SHEET '!$B$23</f>
        <v>4.7233386767625264E-2</v>
      </c>
      <c r="C26" s="19">
        <f>'BALANCE SHEET '!C31/'BALANCE SHEET '!$C$23</f>
        <v>4.6811397557666216E-2</v>
      </c>
      <c r="D26" s="19">
        <f>'BALANCE SHEET '!D31/'BALANCE SHEET '!$D$23</f>
        <v>1.4734274972055685E-2</v>
      </c>
      <c r="E26" s="19">
        <f>'BALANCE SHEET '!E31/'BALANCE SHEET '!$E$23</f>
        <v>2.9356818788364024E-3</v>
      </c>
      <c r="F26" s="19">
        <f>'BALANCE SHEET '!F31/'BALANCE SHEET '!$F$23</f>
        <v>4.8901594944327411E-3</v>
      </c>
      <c r="G26" s="19">
        <f>'BALANCE SHEET '!G31/'BALANCE SHEET '!$G$23</f>
        <v>5.1400519780537106E-3</v>
      </c>
      <c r="H26" s="19">
        <f>'BALANCE SHEET '!H31/'BALANCE SHEET '!$H$23</f>
        <v>1.4032162828661734E-2</v>
      </c>
      <c r="I26" s="19">
        <f>'BALANCE SHEET '!I31/'BALANCE SHEET '!$I$23</f>
        <v>1.0116097494738272E-2</v>
      </c>
      <c r="J26" s="19">
        <f>'BALANCE SHEET '!J31/'BALANCE SHEET '!$J$23</f>
        <v>1.129134087708222E-2</v>
      </c>
      <c r="K26" s="19">
        <f>'BALANCE SHEET '!K31/'BALANCE SHEET '!$K$23</f>
        <v>1.5746713729308665E-2</v>
      </c>
    </row>
    <row r="27" spans="1:11">
      <c r="A27" s="1" t="s">
        <v>9</v>
      </c>
      <c r="B27" s="19">
        <f>'BALANCE SHEET '!B32/'BALANCE SHEET '!$B$23</f>
        <v>2.066038008333972E-2</v>
      </c>
      <c r="C27" s="19">
        <f>'BALANCE SHEET '!C32/'BALANCE SHEET '!$C$23</f>
        <v>1.4654002713704206E-2</v>
      </c>
      <c r="D27" s="19">
        <f>'BALANCE SHEET '!D32/'BALANCE SHEET '!$D$23</f>
        <v>1.2803576872269079E-2</v>
      </c>
      <c r="E27" s="19">
        <f>'BALANCE SHEET '!E32/'BALANCE SHEET '!$E$23</f>
        <v>5.3287074103727426E-2</v>
      </c>
      <c r="F27" s="19">
        <f>'BALANCE SHEET '!F32/'BALANCE SHEET '!$F$23</f>
        <v>4.273247065904303E-2</v>
      </c>
      <c r="G27" s="19">
        <f>'BALANCE SHEET '!G32/'BALANCE SHEET '!$G$23</f>
        <v>7.2018481085763794E-2</v>
      </c>
      <c r="H27" s="19">
        <f>'BALANCE SHEET '!H32/'BALANCE SHEET '!$H$23</f>
        <v>5.5746587475252685E-2</v>
      </c>
      <c r="I27" s="19">
        <f>'BALANCE SHEET '!I32/'BALANCE SHEET '!$I$23</f>
        <v>4.1799624323896167E-2</v>
      </c>
      <c r="J27" s="19">
        <f>'BALANCE SHEET '!J32/'BALANCE SHEET '!$J$23</f>
        <v>5.706376572288864E-2</v>
      </c>
      <c r="K27" s="19">
        <f>'BALANCE SHEET '!K32/'BALANCE SHEET '!$K$23</f>
        <v>3.9937317429406038E-2</v>
      </c>
    </row>
    <row r="28" spans="1:11" ht="15.75">
      <c r="A28" s="23" t="s">
        <v>8</v>
      </c>
      <c r="B28" s="19">
        <f>'BALANCE SHEET '!B33/'BALANCE SHEET '!$B$23</f>
        <v>0.38650795237793706</v>
      </c>
      <c r="C28" s="19">
        <f>'BALANCE SHEET '!C33/'BALANCE SHEET '!$C$23</f>
        <v>0.38181818181818183</v>
      </c>
      <c r="D28" s="19">
        <f>'BALANCE SHEET '!D33/'BALANCE SHEET '!$D$23</f>
        <v>0.41134031094400975</v>
      </c>
      <c r="E28" s="19">
        <f>'BALANCE SHEET '!E33/'BALANCE SHEET '!$E$23</f>
        <v>0.33537941464282539</v>
      </c>
      <c r="F28" s="19">
        <f>'BALANCE SHEET '!F33/'BALANCE SHEET '!$F$23</f>
        <v>0.29717123081552815</v>
      </c>
      <c r="G28" s="19">
        <f>'BALANCE SHEET '!G33/'BALANCE SHEET '!$G$23</f>
        <v>0.29517759168351143</v>
      </c>
      <c r="H28" s="19">
        <f>'BALANCE SHEET '!H33/'BALANCE SHEET '!$H$23</f>
        <v>0.41325414191934978</v>
      </c>
      <c r="I28" s="19">
        <f>'BALANCE SHEET '!I33/'BALANCE SHEET '!$I$23</f>
        <v>0.39774141715889288</v>
      </c>
      <c r="J28" s="19">
        <f>'BALANCE SHEET '!J33/'BALANCE SHEET '!$J$23</f>
        <v>0.46333349521635664</v>
      </c>
      <c r="K28" s="19">
        <f>'BALANCE SHEET '!K33/'BALANCE SHEET '!$K$23</f>
        <v>0.346123417721519</v>
      </c>
    </row>
    <row r="29" spans="1:11">
      <c r="A29" s="1" t="s">
        <v>7</v>
      </c>
      <c r="B29" s="19">
        <f>'BALANCE SHEET '!B34/'BALANCE SHEET '!$B$23</f>
        <v>1.0470232877975407E-4</v>
      </c>
      <c r="C29" s="19">
        <f>'BALANCE SHEET '!C34/'BALANCE SHEET '!$C$23</f>
        <v>1.3568521031207599E-4</v>
      </c>
      <c r="D29" s="19">
        <f>'BALANCE SHEET '!D34/'BALANCE SHEET '!$D$23</f>
        <v>1.01615689462453E-4</v>
      </c>
      <c r="E29" s="19">
        <f>'BALANCE SHEET '!E34/'BALANCE SHEET '!$E$23</f>
        <v>8.8960056934436443E-5</v>
      </c>
      <c r="F29" s="19">
        <f>'BALANCE SHEET '!F34/'BALANCE SHEET '!$F$23</f>
        <v>7.5233222991272951E-5</v>
      </c>
      <c r="G29" s="19">
        <f>'BALANCE SHEET '!G34/'BALANCE SHEET '!$G$23</f>
        <v>5.7753393011839443E-5</v>
      </c>
      <c r="H29" s="19">
        <f>'BALANCE SHEET '!H34/'BALANCE SHEET '!$H$23</f>
        <v>3.473307630856865E-5</v>
      </c>
      <c r="I29" s="19">
        <f>'BALANCE SHEET '!I34/'BALANCE SHEET '!$I$23</f>
        <v>6.7893271776766926E-5</v>
      </c>
      <c r="J29" s="19">
        <f>'BALANCE SHEET '!J34/'BALANCE SHEET '!$J$23</f>
        <v>4.8564906998203096E-5</v>
      </c>
      <c r="K29" s="19">
        <f>'BALANCE SHEET '!K34/'BALANCE SHEET '!$K$23</f>
        <v>3.0428432327166505E-5</v>
      </c>
    </row>
    <row r="30" spans="1:11">
      <c r="A30" s="1" t="s">
        <v>6</v>
      </c>
      <c r="B30" s="19">
        <f>'BALANCE SHEET '!B35/'BALANCE SHEET '!$B$23</f>
        <v>0.53532773217533114</v>
      </c>
      <c r="C30" s="19">
        <f>'BALANCE SHEET '!C35/'BALANCE SHEET '!$C$23</f>
        <v>0.56580732700135683</v>
      </c>
      <c r="D30" s="19">
        <f>'BALANCE SHEET '!D35/'BALANCE SHEET '!$D$23</f>
        <v>0.47840666598922876</v>
      </c>
      <c r="E30" s="19">
        <f>'BALANCE SHEET '!E35/'BALANCE SHEET '!$E$23</f>
        <v>0.4760252646561694</v>
      </c>
      <c r="F30" s="19">
        <f>'BALANCE SHEET '!F35/'BALANCE SHEET '!$F$23</f>
        <v>0.45523623232019261</v>
      </c>
      <c r="G30" s="19">
        <f>'BALANCE SHEET '!G35/'BALANCE SHEET '!$G$23</f>
        <v>0.40687265376840892</v>
      </c>
      <c r="H30" s="19">
        <f>'BALANCE SHEET '!H35/'BALANCE SHEET '!$H$23</f>
        <v>0.30290715848702721</v>
      </c>
      <c r="I30" s="19">
        <f>'BALANCE SHEET '!I35/'BALANCE SHEET '!$I$23</f>
        <v>0.23502387580057482</v>
      </c>
      <c r="J30" s="19">
        <f>'BALANCE SHEET '!J35/'BALANCE SHEET '!$J$23</f>
        <v>0.29068525083774466</v>
      </c>
      <c r="K30" s="19">
        <f>'BALANCE SHEET '!K35/'BALANCE SHEET '!$K$23</f>
        <v>0.19979308666017526</v>
      </c>
    </row>
    <row r="31" spans="1:11">
      <c r="A31" s="1" t="s">
        <v>5</v>
      </c>
      <c r="B31" s="19">
        <f>'BALANCE SHEET '!B36/'BALANCE SHEET '!$B$23</f>
        <v>0.54835095220796937</v>
      </c>
      <c r="C31" s="19">
        <f>'BALANCE SHEET '!C36/'BALANCE SHEET '!$C$23</f>
        <v>0.59023066485753051</v>
      </c>
      <c r="D31" s="19">
        <f>'BALANCE SHEET '!D36/'BALANCE SHEET '!$D$23</f>
        <v>0.62066863123666294</v>
      </c>
      <c r="E31" s="19">
        <f>'BALANCE SHEET '!E36/'BALANCE SHEET '!$E$23</f>
        <v>0.78169202028289297</v>
      </c>
      <c r="F31" s="19">
        <f>'BALANCE SHEET '!F36/'BALANCE SHEET '!$F$23</f>
        <v>0.94530544688534457</v>
      </c>
      <c r="G31" s="19">
        <f>'BALANCE SHEET '!G36/'BALANCE SHEET '!$G$23</f>
        <v>0.86462604678024835</v>
      </c>
      <c r="H31" s="19">
        <f>'BALANCE SHEET '!H36/'BALANCE SHEET '!$H$23</f>
        <v>0.65673300684241598</v>
      </c>
      <c r="I31" s="19">
        <f>'BALANCE SHEET '!I36/'BALANCE SHEET '!$I$23</f>
        <v>0.3674157557652703</v>
      </c>
      <c r="J31" s="19">
        <f>'BALANCE SHEET '!J36/'BALANCE SHEET '!$J$23</f>
        <v>0.24697683453936187</v>
      </c>
      <c r="K31" s="19">
        <f>'BALANCE SHEET '!K36/'BALANCE SHEET '!$K$23</f>
        <v>0.4536422833495618</v>
      </c>
    </row>
    <row r="32" spans="1:11">
      <c r="A32" s="1" t="s">
        <v>4</v>
      </c>
      <c r="B32" s="19">
        <f>'BALANCE SHEET '!B37/'BALANCE SHEET '!$B$23</f>
        <v>1.0892374893214734E-3</v>
      </c>
      <c r="C32" s="19">
        <f>'BALANCE SHEET '!C37/'BALANCE SHEET '!$C$23</f>
        <v>-5.4274084124830398E-4</v>
      </c>
      <c r="D32" s="19">
        <f>'BALANCE SHEET '!D37/'BALANCE SHEET '!$D$23</f>
        <v>-1.625851031399248E-3</v>
      </c>
      <c r="E32" s="19">
        <f>'BALANCE SHEET '!E37/'BALANCE SHEET '!$E$23</f>
        <v>-1.6012810248198558E-3</v>
      </c>
      <c r="F32" s="19">
        <f>'BALANCE SHEET '!F37/'BALANCE SHEET '!$F$23</f>
        <v>-9.0279867589527531E-4</v>
      </c>
      <c r="G32" s="19">
        <f>'BALANCE SHEET '!G37/'BALANCE SHEET '!$G$23</f>
        <v>5.7753393011839443E-5</v>
      </c>
      <c r="H32" s="19">
        <f>'BALANCE SHEET '!H37/'BALANCE SHEET '!$H$23</f>
        <v>6.599284498628044E-4</v>
      </c>
      <c r="I32" s="19">
        <f>'BALANCE SHEET '!I37/'BALANCE SHEET '!$I$23</f>
        <v>-2.4894199651481205E-4</v>
      </c>
      <c r="J32" s="19">
        <f>'BALANCE SHEET '!J37/'BALANCE SHEET '!$J$23</f>
        <v>-1.0441455004613666E-3</v>
      </c>
      <c r="K32" s="19">
        <f>'BALANCE SHEET '!K37/'BALANCE SHEET '!$K$23</f>
        <v>4.1078383641674783E-4</v>
      </c>
    </row>
    <row r="33" spans="1:11">
      <c r="A33" s="1" t="s">
        <v>3</v>
      </c>
      <c r="B33" s="19">
        <f>'BALANCE SHEET '!B38/'BALANCE SHEET '!$B$23</f>
        <v>0.47138057657933879</v>
      </c>
      <c r="C33" s="19">
        <f>'BALANCE SHEET '!C38/'BALANCE SHEET '!$C$23</f>
        <v>0.54925373134328359</v>
      </c>
      <c r="D33" s="19">
        <f>'BALANCE SHEET '!D38/'BALANCE SHEET '!$D$23</f>
        <v>0.51204145920130073</v>
      </c>
      <c r="E33" s="19">
        <f>'BALANCE SHEET '!E38/'BALANCE SHEET '!$E$23</f>
        <v>0.59158437861400226</v>
      </c>
      <c r="F33" s="19">
        <f>'BALANCE SHEET '!F38/'BALANCE SHEET '!$F$23</f>
        <v>0.69688534456816131</v>
      </c>
      <c r="G33" s="19">
        <f>'BALANCE SHEET '!G38/'BALANCE SHEET '!$G$23</f>
        <v>0.56679179901819232</v>
      </c>
      <c r="H33" s="19">
        <f>'BALANCE SHEET '!H38/'BALANCE SHEET '!$H$23</f>
        <v>0.37358896877496439</v>
      </c>
      <c r="I33" s="19">
        <f>'BALANCE SHEET '!I38/'BALANCE SHEET '!$I$23</f>
        <v>0</v>
      </c>
      <c r="J33" s="19">
        <f>'BALANCE SHEET '!J38/'BALANCE SHEET '!$J$23</f>
        <v>0</v>
      </c>
      <c r="K33" s="19">
        <f>'BALANCE SHEET '!K38/'BALANCE SHEET '!$K$23</f>
        <v>0</v>
      </c>
    </row>
    <row r="34" spans="1:11" ht="15.75">
      <c r="A34" s="23" t="s">
        <v>1</v>
      </c>
      <c r="B34" s="19">
        <f>'BALANCE SHEET '!B39/'BALANCE SHEET '!$B$23</f>
        <v>0.61349204762206289</v>
      </c>
      <c r="C34" s="19">
        <f>'BALANCE SHEET '!C39/'BALANCE SHEET '!$C$23</f>
        <v>0.61818181818181817</v>
      </c>
      <c r="D34" s="19">
        <f>'BALANCE SHEET '!D39/'BALANCE SHEET '!$D$23</f>
        <v>0.5886596890559902</v>
      </c>
      <c r="E34" s="19">
        <f>'BALANCE SHEET '!E39/'BALANCE SHEET '!$E$23</f>
        <v>0.66462058535717461</v>
      </c>
      <c r="F34" s="19">
        <f>'BALANCE SHEET '!F39/'BALANCE SHEET '!$F$23</f>
        <v>0.7028287691844719</v>
      </c>
      <c r="G34" s="19">
        <f>'BALANCE SHEET '!G39/'BALANCE SHEET '!$G$23</f>
        <v>0.70482240831648857</v>
      </c>
      <c r="H34" s="19">
        <f>'BALANCE SHEET '!H39/'BALANCE SHEET '!$H$23</f>
        <v>0.58674585808065016</v>
      </c>
      <c r="I34" s="19">
        <f>'BALANCE SHEET '!I39/'BALANCE SHEET '!$I$23</f>
        <v>0.60225858284110712</v>
      </c>
      <c r="J34" s="19">
        <f>'BALANCE SHEET '!J39/'BALANCE SHEET '!$J$23</f>
        <v>0.53666650478364331</v>
      </c>
      <c r="K34" s="19">
        <f>'BALANCE SHEET '!K39/'BALANCE SHEET '!$K$23</f>
        <v>0.653876582278481</v>
      </c>
    </row>
    <row r="35" spans="1:11" ht="15.75">
      <c r="A35" s="23" t="s">
        <v>0</v>
      </c>
      <c r="B35" s="19">
        <f>'BALANCE SHEET '!B40/'BALANCE SHEET '!$B$23</f>
        <v>1</v>
      </c>
      <c r="C35" s="19">
        <f>'BALANCE SHEET '!C40/'BALANCE SHEET '!$C$23</f>
        <v>1</v>
      </c>
      <c r="D35" s="19">
        <f>'BALANCE SHEET '!D40/'BALANCE SHEET '!$D$23</f>
        <v>1</v>
      </c>
      <c r="E35" s="19">
        <f>'BALANCE SHEET '!E40/'BALANCE SHEET '!$E$23</f>
        <v>1</v>
      </c>
      <c r="F35" s="19">
        <f>'BALANCE SHEET '!F40/'BALANCE SHEET '!$F$23</f>
        <v>1</v>
      </c>
      <c r="G35" s="19">
        <f>'BALANCE SHEET '!G40/'BALANCE SHEET '!$G$23</f>
        <v>1</v>
      </c>
      <c r="H35" s="19">
        <f>'BALANCE SHEET '!H40/'BALANCE SHEET '!$H$23</f>
        <v>1</v>
      </c>
      <c r="I35" s="19">
        <f>'BALANCE SHEET '!I40/'BALANCE SHEET '!$I$23</f>
        <v>1</v>
      </c>
      <c r="J35" s="19">
        <f>'BALANCE SHEET '!J40/'BALANCE SHEET '!$J$23</f>
        <v>1</v>
      </c>
      <c r="K35" s="19">
        <f>'BALANCE SHEET '!K40/'BALANCE SHEET '!$K$23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1C36-61A2-4D87-8215-24EDCFFD7684}">
  <dimension ref="A4:S64"/>
  <sheetViews>
    <sheetView topLeftCell="A46" zoomScale="70" zoomScaleNormal="70" workbookViewId="0">
      <selection activeCell="G38" sqref="G38"/>
    </sheetView>
  </sheetViews>
  <sheetFormatPr defaultRowHeight="15"/>
  <cols>
    <col min="1" max="1" width="43.42578125" bestFit="1" customWidth="1"/>
    <col min="2" max="2" width="17.140625" bestFit="1" customWidth="1"/>
    <col min="3" max="4" width="17.42578125" bestFit="1" customWidth="1"/>
    <col min="5" max="6" width="17.85546875" bestFit="1" customWidth="1"/>
    <col min="7" max="10" width="18.28515625" bestFit="1" customWidth="1"/>
    <col min="11" max="11" width="20.5703125" bestFit="1" customWidth="1"/>
    <col min="12" max="12" width="17.7109375" bestFit="1" customWidth="1"/>
    <col min="13" max="13" width="11.140625" bestFit="1" customWidth="1"/>
    <col min="14" max="191" width="12" customWidth="1"/>
  </cols>
  <sheetData>
    <row r="4" spans="1:13">
      <c r="A4" s="8" t="s">
        <v>52</v>
      </c>
    </row>
    <row r="5" spans="1:13" ht="20.25">
      <c r="A5" s="7" t="s">
        <v>51</v>
      </c>
    </row>
    <row r="6" spans="1:13">
      <c r="A6" s="6" t="s">
        <v>274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</row>
    <row r="7" spans="1:13">
      <c r="A7" s="4" t="s">
        <v>49</v>
      </c>
      <c r="B7" s="5" t="s">
        <v>48</v>
      </c>
      <c r="C7" s="5" t="s">
        <v>47</v>
      </c>
      <c r="D7" s="5" t="s">
        <v>46</v>
      </c>
      <c r="E7" s="5" t="s">
        <v>45</v>
      </c>
      <c r="F7" s="5" t="s">
        <v>44</v>
      </c>
      <c r="G7" s="5" t="s">
        <v>43</v>
      </c>
      <c r="H7" s="5" t="s">
        <v>42</v>
      </c>
      <c r="I7" s="5" t="s">
        <v>41</v>
      </c>
      <c r="J7" s="5" t="s">
        <v>40</v>
      </c>
      <c r="K7" s="5" t="s">
        <v>39</v>
      </c>
      <c r="L7" s="4"/>
    </row>
    <row r="8" spans="1:13">
      <c r="A8" s="4" t="s">
        <v>38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4"/>
    </row>
    <row r="9" spans="1:1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4"/>
    </row>
    <row r="10" spans="1:1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4"/>
    </row>
    <row r="11" spans="1:13">
      <c r="A11" s="4" t="s">
        <v>36</v>
      </c>
      <c r="B11" s="5" t="s">
        <v>35</v>
      </c>
      <c r="C11" s="5" t="s">
        <v>35</v>
      </c>
      <c r="D11" s="5" t="s">
        <v>35</v>
      </c>
      <c r="E11" s="5" t="s">
        <v>35</v>
      </c>
      <c r="F11" s="5" t="s">
        <v>35</v>
      </c>
      <c r="G11" s="5" t="s">
        <v>35</v>
      </c>
      <c r="H11" s="5" t="s">
        <v>35</v>
      </c>
      <c r="I11" s="5" t="s">
        <v>35</v>
      </c>
      <c r="J11" s="5" t="s">
        <v>35</v>
      </c>
      <c r="K11" s="5" t="s">
        <v>35</v>
      </c>
      <c r="L11" s="4" t="s">
        <v>232</v>
      </c>
      <c r="M11" s="5" t="s">
        <v>233</v>
      </c>
    </row>
    <row r="12" spans="1:13">
      <c r="A12" s="98" t="s">
        <v>53</v>
      </c>
      <c r="B12" s="5"/>
      <c r="C12" s="69">
        <f>(C17-B17)/B17</f>
        <v>7.0168217200145169E-2</v>
      </c>
      <c r="D12" s="69">
        <f t="shared" ref="D12:K12" si="0">(D17-C17)/C17</f>
        <v>0.37924151696606784</v>
      </c>
      <c r="E12" s="69">
        <f t="shared" si="0"/>
        <v>0.4057887120115774</v>
      </c>
      <c r="F12" s="69">
        <f t="shared" si="0"/>
        <v>0.20609429689108502</v>
      </c>
      <c r="G12" s="69">
        <f t="shared" si="0"/>
        <v>-6.8111983612154314E-2</v>
      </c>
      <c r="H12" s="69">
        <f t="shared" si="0"/>
        <v>0.52729437625938813</v>
      </c>
      <c r="I12" s="69">
        <f t="shared" si="0"/>
        <v>0.61403298350824587</v>
      </c>
      <c r="J12" s="69">
        <f t="shared" si="0"/>
        <v>2.2293230289068887E-3</v>
      </c>
      <c r="K12" s="69">
        <f t="shared" si="0"/>
        <v>1.2585452658115222</v>
      </c>
      <c r="L12" s="97">
        <f>AVERAGE(C12:K12)</f>
        <v>0.37725363422942049</v>
      </c>
      <c r="M12" s="69">
        <f>_xlfn.STDEV.S(C12:K12)</f>
        <v>0.40599577682674665</v>
      </c>
    </row>
    <row r="13" spans="1: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</row>
    <row r="14" spans="1:13">
      <c r="A14" s="4" t="s">
        <v>34</v>
      </c>
      <c r="B14" s="5" t="s">
        <v>33</v>
      </c>
      <c r="C14" s="5" t="s">
        <v>33</v>
      </c>
      <c r="D14" s="5" t="s">
        <v>33</v>
      </c>
      <c r="E14" s="5" t="s">
        <v>33</v>
      </c>
      <c r="F14" s="5" t="s">
        <v>33</v>
      </c>
      <c r="G14" s="5" t="s">
        <v>33</v>
      </c>
      <c r="H14" s="5" t="s">
        <v>33</v>
      </c>
      <c r="I14" s="5" t="s">
        <v>33</v>
      </c>
      <c r="J14" s="5" t="s">
        <v>33</v>
      </c>
      <c r="K14" s="5" t="s">
        <v>33</v>
      </c>
      <c r="L14" s="4"/>
    </row>
    <row r="15" spans="1:13">
      <c r="A15" s="4" t="s">
        <v>32</v>
      </c>
      <c r="B15" s="5" t="s">
        <v>31</v>
      </c>
      <c r="C15" s="5" t="s">
        <v>31</v>
      </c>
      <c r="D15" s="5" t="s">
        <v>31</v>
      </c>
      <c r="E15" s="5" t="s">
        <v>31</v>
      </c>
      <c r="F15" s="5" t="s">
        <v>31</v>
      </c>
      <c r="G15" s="5" t="s">
        <v>31</v>
      </c>
      <c r="H15" s="5" t="s">
        <v>31</v>
      </c>
      <c r="I15" s="5" t="s">
        <v>31</v>
      </c>
      <c r="J15" s="5" t="s">
        <v>31</v>
      </c>
      <c r="K15" s="5" t="s">
        <v>31</v>
      </c>
      <c r="L15" s="4"/>
    </row>
    <row r="16" spans="1:13">
      <c r="A16" s="1" t="s">
        <v>54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  <c r="J16" s="3" t="s">
        <v>2</v>
      </c>
      <c r="K16" s="2">
        <v>60922000</v>
      </c>
      <c r="L16" s="1"/>
    </row>
    <row r="17" spans="1:12" s="11" customFormat="1">
      <c r="A17" s="9" t="s">
        <v>55</v>
      </c>
      <c r="B17" s="10">
        <v>4681507</v>
      </c>
      <c r="C17" s="10">
        <v>5010000</v>
      </c>
      <c r="D17" s="10">
        <v>6910000</v>
      </c>
      <c r="E17" s="10">
        <v>9714000</v>
      </c>
      <c r="F17" s="10">
        <v>11716000</v>
      </c>
      <c r="G17" s="10">
        <v>10918000</v>
      </c>
      <c r="H17" s="10">
        <v>16675000</v>
      </c>
      <c r="I17" s="10">
        <v>26914000</v>
      </c>
      <c r="J17" s="10">
        <v>26974000</v>
      </c>
      <c r="K17" s="10">
        <v>60922000</v>
      </c>
      <c r="L17" s="9"/>
    </row>
    <row r="18" spans="1:12">
      <c r="A18" s="1" t="s">
        <v>56</v>
      </c>
      <c r="B18" s="2">
        <v>2082030</v>
      </c>
      <c r="C18" s="2">
        <v>2199000</v>
      </c>
      <c r="D18" s="2">
        <v>2847000</v>
      </c>
      <c r="E18" s="2">
        <v>3892000</v>
      </c>
      <c r="F18" s="2">
        <v>4545000</v>
      </c>
      <c r="G18" s="2">
        <v>4150000</v>
      </c>
      <c r="H18" s="2">
        <v>6279000</v>
      </c>
      <c r="I18" s="2">
        <v>9439000</v>
      </c>
      <c r="J18" s="2">
        <v>11618000</v>
      </c>
      <c r="K18" s="2">
        <v>16621000</v>
      </c>
      <c r="L18" s="1"/>
    </row>
    <row r="19" spans="1:12" s="14" customFormat="1" ht="15.75">
      <c r="A19" s="12" t="s">
        <v>57</v>
      </c>
      <c r="B19" s="13">
        <v>2599477</v>
      </c>
      <c r="C19" s="13">
        <v>2811000</v>
      </c>
      <c r="D19" s="13">
        <v>4063000</v>
      </c>
      <c r="E19" s="13">
        <v>5822000</v>
      </c>
      <c r="F19" s="13">
        <v>7171000</v>
      </c>
      <c r="G19" s="13">
        <v>6768000</v>
      </c>
      <c r="H19" s="13">
        <v>10396000</v>
      </c>
      <c r="I19" s="13">
        <v>17475000</v>
      </c>
      <c r="J19" s="13">
        <v>15356000</v>
      </c>
      <c r="K19" s="13">
        <v>44301000</v>
      </c>
      <c r="L19" s="12"/>
    </row>
    <row r="20" spans="1:12">
      <c r="A20" s="1" t="s">
        <v>58</v>
      </c>
      <c r="B20" s="2">
        <v>480763</v>
      </c>
      <c r="C20" s="2">
        <v>602000</v>
      </c>
      <c r="D20" s="2">
        <v>663000</v>
      </c>
      <c r="E20" s="2">
        <v>815000</v>
      </c>
      <c r="F20" s="2">
        <v>991000</v>
      </c>
      <c r="G20" s="2">
        <v>1093000</v>
      </c>
      <c r="H20" s="2">
        <v>1940000</v>
      </c>
      <c r="I20" s="2">
        <v>2166000</v>
      </c>
      <c r="J20" s="2">
        <v>2440000</v>
      </c>
      <c r="K20" s="2">
        <v>2654000</v>
      </c>
      <c r="L20" s="1"/>
    </row>
    <row r="21" spans="1:12">
      <c r="A21" s="1" t="s">
        <v>59</v>
      </c>
      <c r="B21" s="2">
        <v>1359725</v>
      </c>
      <c r="C21" s="2">
        <v>1331000</v>
      </c>
      <c r="D21" s="2">
        <v>1463000</v>
      </c>
      <c r="E21" s="2">
        <v>1797000</v>
      </c>
      <c r="F21" s="2">
        <v>2376000</v>
      </c>
      <c r="G21" s="2">
        <v>2829000</v>
      </c>
      <c r="H21" s="2">
        <v>3924000</v>
      </c>
      <c r="I21" s="2">
        <v>5268000</v>
      </c>
      <c r="J21" s="2">
        <v>7339000</v>
      </c>
      <c r="K21" s="2">
        <v>8675000</v>
      </c>
      <c r="L21" s="1"/>
    </row>
    <row r="22" spans="1:12">
      <c r="A22" s="1" t="s">
        <v>61</v>
      </c>
      <c r="B22" s="2">
        <v>1840488</v>
      </c>
      <c r="C22" s="2">
        <v>2064000</v>
      </c>
      <c r="D22" s="2">
        <v>2129000</v>
      </c>
      <c r="E22" s="2">
        <v>2612000</v>
      </c>
      <c r="F22" s="2">
        <v>3367000</v>
      </c>
      <c r="G22" s="2">
        <v>3922000</v>
      </c>
      <c r="H22" s="2">
        <v>5864000</v>
      </c>
      <c r="I22" s="2">
        <v>7434000</v>
      </c>
      <c r="J22" s="2">
        <v>11132000</v>
      </c>
      <c r="K22" s="2">
        <v>11329000</v>
      </c>
      <c r="L22" s="1"/>
    </row>
    <row r="23" spans="1:12">
      <c r="A23" s="20" t="s">
        <v>212</v>
      </c>
      <c r="B23" s="2">
        <v>758989</v>
      </c>
      <c r="C23" s="2">
        <v>747000</v>
      </c>
      <c r="D23" s="2">
        <v>1934000</v>
      </c>
      <c r="E23" s="2">
        <v>3210000</v>
      </c>
      <c r="F23" s="2">
        <v>3804000</v>
      </c>
      <c r="G23" s="2">
        <v>2846000</v>
      </c>
      <c r="H23" s="2">
        <v>4532000</v>
      </c>
      <c r="I23" s="2">
        <v>10041000</v>
      </c>
      <c r="J23" s="2">
        <v>4224000</v>
      </c>
      <c r="K23" s="2">
        <v>32972000</v>
      </c>
      <c r="L23" s="1"/>
    </row>
    <row r="24" spans="1:12">
      <c r="A24" s="1" t="s">
        <v>63</v>
      </c>
      <c r="B24" s="2">
        <v>-18043</v>
      </c>
      <c r="C24" s="2">
        <v>-8000</v>
      </c>
      <c r="D24" s="2">
        <v>-4000</v>
      </c>
      <c r="E24" s="2">
        <v>8000</v>
      </c>
      <c r="F24" s="2">
        <v>78000</v>
      </c>
      <c r="G24" s="2">
        <v>126000</v>
      </c>
      <c r="H24" s="2">
        <v>-127000</v>
      </c>
      <c r="I24" s="2">
        <v>-207000</v>
      </c>
      <c r="J24" s="2">
        <v>5000</v>
      </c>
      <c r="K24" s="2">
        <v>609000</v>
      </c>
      <c r="L24" s="1"/>
    </row>
    <row r="25" spans="1:12">
      <c r="A25" s="1" t="s">
        <v>64</v>
      </c>
      <c r="B25" s="2">
        <v>13890</v>
      </c>
      <c r="C25" s="2">
        <v>4000</v>
      </c>
      <c r="D25" s="2">
        <v>-25000</v>
      </c>
      <c r="E25" s="2">
        <v>-22000</v>
      </c>
      <c r="F25" s="2">
        <v>14000</v>
      </c>
      <c r="G25" s="2">
        <v>-2000</v>
      </c>
      <c r="H25" s="2">
        <v>4000</v>
      </c>
      <c r="I25" s="2">
        <v>107000</v>
      </c>
      <c r="J25" s="2">
        <v>-48000</v>
      </c>
      <c r="K25" s="2">
        <v>237000</v>
      </c>
      <c r="L25" s="1"/>
    </row>
    <row r="26" spans="1:12">
      <c r="A26" s="1" t="s">
        <v>65</v>
      </c>
      <c r="B26" s="2">
        <v>-4153</v>
      </c>
      <c r="C26" s="2">
        <v>-4000</v>
      </c>
      <c r="D26" s="2">
        <v>-29000</v>
      </c>
      <c r="E26" s="2">
        <v>-14000</v>
      </c>
      <c r="F26" s="2">
        <v>92000</v>
      </c>
      <c r="G26" s="2">
        <v>124000</v>
      </c>
      <c r="H26" s="2">
        <v>-123000</v>
      </c>
      <c r="I26" s="2">
        <v>-100000</v>
      </c>
      <c r="J26" s="2">
        <v>-43000</v>
      </c>
      <c r="K26" s="2">
        <v>846000</v>
      </c>
      <c r="L26" s="1"/>
    </row>
    <row r="27" spans="1:12">
      <c r="A27" s="20" t="s">
        <v>213</v>
      </c>
      <c r="B27" s="28">
        <v>754836</v>
      </c>
      <c r="C27" s="28">
        <v>743000</v>
      </c>
      <c r="D27" s="28">
        <v>1905000</v>
      </c>
      <c r="E27" s="28">
        <v>3196000</v>
      </c>
      <c r="F27" s="28">
        <v>3896000</v>
      </c>
      <c r="G27" s="28">
        <v>2970000</v>
      </c>
      <c r="H27" s="28">
        <v>4409000</v>
      </c>
      <c r="I27" s="28">
        <v>9941000</v>
      </c>
      <c r="J27" s="28">
        <v>4181000</v>
      </c>
      <c r="K27" s="28">
        <v>33818000</v>
      </c>
      <c r="L27" s="1"/>
    </row>
    <row r="28" spans="1:12">
      <c r="A28" s="86" t="s">
        <v>150</v>
      </c>
      <c r="B28" s="87">
        <v>124249</v>
      </c>
      <c r="C28" s="87">
        <v>129000</v>
      </c>
      <c r="D28" s="87">
        <v>239000</v>
      </c>
      <c r="E28" s="87">
        <v>149000</v>
      </c>
      <c r="F28" s="87">
        <v>-245000</v>
      </c>
      <c r="G28" s="87">
        <v>174000</v>
      </c>
      <c r="H28" s="2">
        <v>77000</v>
      </c>
      <c r="I28" s="2">
        <v>189000</v>
      </c>
      <c r="J28" s="87">
        <v>-187000</v>
      </c>
      <c r="K28" s="87">
        <v>4058000</v>
      </c>
      <c r="L28" s="1"/>
    </row>
    <row r="29" spans="1:12" s="29" customFormat="1">
      <c r="A29" s="20" t="s">
        <v>67</v>
      </c>
      <c r="B29" s="28">
        <v>630587</v>
      </c>
      <c r="C29" s="28">
        <v>614000</v>
      </c>
      <c r="D29" s="28">
        <v>1666000</v>
      </c>
      <c r="E29" s="28">
        <v>3047000</v>
      </c>
      <c r="F29" s="28">
        <v>4141000</v>
      </c>
      <c r="G29" s="28">
        <v>2796000</v>
      </c>
      <c r="H29" s="28">
        <v>4332000</v>
      </c>
      <c r="I29" s="28">
        <v>9752000</v>
      </c>
      <c r="J29" s="28">
        <v>4368000</v>
      </c>
      <c r="K29" s="28">
        <v>29760000</v>
      </c>
      <c r="L29" s="20"/>
    </row>
    <row r="30" spans="1:12">
      <c r="A30" s="1" t="s">
        <v>68</v>
      </c>
      <c r="B30" s="2">
        <v>630587</v>
      </c>
      <c r="C30" s="2">
        <v>614000</v>
      </c>
      <c r="D30" s="2">
        <v>1666000</v>
      </c>
      <c r="E30" s="2">
        <v>3047000</v>
      </c>
      <c r="F30" s="2">
        <v>4141000</v>
      </c>
      <c r="G30" s="2">
        <v>2796000</v>
      </c>
      <c r="H30" s="2">
        <v>4332000</v>
      </c>
      <c r="I30" s="2">
        <v>9752000</v>
      </c>
      <c r="J30" s="2">
        <v>4368000</v>
      </c>
      <c r="K30" s="2">
        <v>29760000</v>
      </c>
      <c r="L30" s="1"/>
    </row>
    <row r="31" spans="1:12">
      <c r="A31" s="1" t="s">
        <v>69</v>
      </c>
      <c r="B31" s="2">
        <v>22092760</v>
      </c>
      <c r="C31" s="2">
        <v>21720000</v>
      </c>
      <c r="D31" s="2">
        <v>21640000</v>
      </c>
      <c r="E31" s="2">
        <v>23960000</v>
      </c>
      <c r="F31" s="2">
        <v>24320000</v>
      </c>
      <c r="G31" s="2">
        <v>24360000</v>
      </c>
      <c r="H31" s="2">
        <v>24680000</v>
      </c>
      <c r="I31" s="2">
        <v>24960000</v>
      </c>
      <c r="J31" s="2">
        <v>24870000</v>
      </c>
      <c r="K31" s="2">
        <v>24690000</v>
      </c>
      <c r="L31" s="1"/>
    </row>
    <row r="32" spans="1:12">
      <c r="A32" s="1" t="s">
        <v>70</v>
      </c>
      <c r="B32" s="15">
        <v>0.03</v>
      </c>
      <c r="C32" s="15">
        <v>0.03</v>
      </c>
      <c r="D32" s="15">
        <v>0.08</v>
      </c>
      <c r="E32" s="15">
        <v>0.13</v>
      </c>
      <c r="F32" s="15">
        <v>0.17</v>
      </c>
      <c r="G32" s="15">
        <v>0.11</v>
      </c>
      <c r="H32" s="15">
        <v>0.18</v>
      </c>
      <c r="I32" s="15">
        <v>0.39</v>
      </c>
      <c r="J32" s="15">
        <v>0.18</v>
      </c>
      <c r="K32" s="15">
        <v>1.21</v>
      </c>
      <c r="L32" s="1"/>
    </row>
    <row r="33" spans="1:19">
      <c r="A33" s="1" t="s">
        <v>71</v>
      </c>
      <c r="B33" s="15">
        <v>0.03</v>
      </c>
      <c r="C33" s="15">
        <v>0.03</v>
      </c>
      <c r="D33" s="15">
        <v>0.08</v>
      </c>
      <c r="E33" s="15">
        <v>0.13</v>
      </c>
      <c r="F33" s="15">
        <v>0.17</v>
      </c>
      <c r="G33" s="15">
        <v>0.11</v>
      </c>
      <c r="H33" s="15">
        <v>0.18</v>
      </c>
      <c r="I33" s="15">
        <v>0.39</v>
      </c>
      <c r="J33" s="15">
        <v>0.18</v>
      </c>
      <c r="K33" s="15">
        <v>1.21</v>
      </c>
      <c r="L33" s="1"/>
    </row>
    <row r="34" spans="1:19">
      <c r="A34" s="1" t="s">
        <v>72</v>
      </c>
      <c r="B34" s="2">
        <v>22522720</v>
      </c>
      <c r="C34" s="2">
        <v>22760000</v>
      </c>
      <c r="D34" s="2">
        <v>25960000</v>
      </c>
      <c r="E34" s="2">
        <v>25280000</v>
      </c>
      <c r="F34" s="2">
        <v>25000000</v>
      </c>
      <c r="G34" s="2">
        <v>24720000</v>
      </c>
      <c r="H34" s="2">
        <v>25120000</v>
      </c>
      <c r="I34" s="2">
        <v>25350000</v>
      </c>
      <c r="J34" s="2">
        <v>25070000</v>
      </c>
      <c r="K34" s="2">
        <v>24940000</v>
      </c>
      <c r="L34" s="1"/>
    </row>
    <row r="35" spans="1:19">
      <c r="A35" s="1" t="s">
        <v>73</v>
      </c>
      <c r="B35" s="15">
        <v>0.03</v>
      </c>
      <c r="C35" s="15">
        <v>0.03</v>
      </c>
      <c r="D35" s="15">
        <v>0.06</v>
      </c>
      <c r="E35" s="15">
        <v>0.12</v>
      </c>
      <c r="F35" s="15">
        <v>0.17</v>
      </c>
      <c r="G35" s="15">
        <v>0.11</v>
      </c>
      <c r="H35" s="15">
        <v>0.17</v>
      </c>
      <c r="I35" s="15">
        <v>0.39</v>
      </c>
      <c r="J35" s="15">
        <v>0.17</v>
      </c>
      <c r="K35" s="15">
        <v>1.19</v>
      </c>
      <c r="L35" s="1"/>
    </row>
    <row r="36" spans="1:19">
      <c r="A36" s="1" t="s">
        <v>74</v>
      </c>
      <c r="B36" s="15">
        <v>0.03</v>
      </c>
      <c r="C36" s="15">
        <v>0.03</v>
      </c>
      <c r="D36" s="15">
        <v>0.06</v>
      </c>
      <c r="E36" s="15">
        <v>0.12</v>
      </c>
      <c r="F36" s="15">
        <v>0.17</v>
      </c>
      <c r="G36" s="15">
        <v>0.11</v>
      </c>
      <c r="H36" s="15">
        <v>0.17</v>
      </c>
      <c r="I36" s="15">
        <v>0.39</v>
      </c>
      <c r="J36" s="15">
        <v>0.17</v>
      </c>
      <c r="K36" s="15">
        <v>1.19</v>
      </c>
      <c r="L36" s="1"/>
    </row>
    <row r="37" spans="1:19">
      <c r="A37" s="1" t="s">
        <v>75</v>
      </c>
      <c r="B37" s="2">
        <v>21796520</v>
      </c>
      <c r="C37" s="2">
        <v>21560000</v>
      </c>
      <c r="D37" s="2">
        <v>23400000</v>
      </c>
      <c r="E37" s="2">
        <v>24240000</v>
      </c>
      <c r="F37" s="2">
        <v>24240000</v>
      </c>
      <c r="G37" s="2">
        <v>24480000</v>
      </c>
      <c r="H37" s="2">
        <v>24800000</v>
      </c>
      <c r="I37" s="2">
        <v>25060000</v>
      </c>
      <c r="J37" s="2">
        <v>24660000</v>
      </c>
      <c r="K37" s="2">
        <v>24640000</v>
      </c>
      <c r="L37" s="1"/>
    </row>
    <row r="38" spans="1:19">
      <c r="A38" s="1" t="s">
        <v>193</v>
      </c>
      <c r="B38" s="15">
        <v>740</v>
      </c>
      <c r="C38" s="15">
        <v>10007</v>
      </c>
      <c r="D38" s="15">
        <v>973</v>
      </c>
      <c r="E38" s="15">
        <v>2121</v>
      </c>
      <c r="F38" s="15">
        <v>3409</v>
      </c>
      <c r="G38" s="15">
        <v>4066</v>
      </c>
      <c r="H38" s="15">
        <v>3227</v>
      </c>
      <c r="I38" s="15">
        <v>5630</v>
      </c>
      <c r="J38" s="15">
        <v>5768</v>
      </c>
      <c r="K38" s="15">
        <v>34480</v>
      </c>
    </row>
    <row r="39" spans="1:19">
      <c r="A39" s="1" t="s">
        <v>333</v>
      </c>
      <c r="B39" s="119">
        <v>0.57499999999999996</v>
      </c>
      <c r="C39" s="119">
        <v>1.3218000000000001</v>
      </c>
      <c r="D39" s="119">
        <v>3.7025000000000001</v>
      </c>
      <c r="E39" s="119">
        <v>5.7587999999999999</v>
      </c>
      <c r="F39" s="119">
        <v>4.3385999999999996</v>
      </c>
      <c r="G39" s="119">
        <v>9.8598999999999997</v>
      </c>
      <c r="H39" s="119">
        <v>19.483799999999999</v>
      </c>
      <c r="I39" s="119">
        <v>18.544499999999999</v>
      </c>
      <c r="J39" s="119">
        <v>36.552500000000002</v>
      </c>
      <c r="K39" s="119">
        <v>107.8096</v>
      </c>
    </row>
    <row r="40" spans="1:19">
      <c r="A40" s="1" t="s">
        <v>334</v>
      </c>
      <c r="B40" s="118">
        <f>B39*B37</f>
        <v>12532998.999999998</v>
      </c>
      <c r="C40" s="118">
        <f t="shared" ref="C40:K40" si="1">C39*C37</f>
        <v>28498008</v>
      </c>
      <c r="D40" s="118">
        <f t="shared" si="1"/>
        <v>86638500</v>
      </c>
      <c r="E40" s="118">
        <f t="shared" si="1"/>
        <v>139593312</v>
      </c>
      <c r="F40" s="118">
        <f t="shared" si="1"/>
        <v>105167663.99999999</v>
      </c>
      <c r="G40" s="118">
        <f t="shared" si="1"/>
        <v>241370352</v>
      </c>
      <c r="H40" s="118">
        <f t="shared" si="1"/>
        <v>483198239.99999994</v>
      </c>
      <c r="I40" s="118">
        <f t="shared" si="1"/>
        <v>464725170</v>
      </c>
      <c r="J40" s="118">
        <f t="shared" si="1"/>
        <v>901384650</v>
      </c>
      <c r="K40" s="118">
        <f t="shared" si="1"/>
        <v>2656428544</v>
      </c>
      <c r="M40" s="86"/>
      <c r="O40" s="86"/>
      <c r="Q40" s="86"/>
      <c r="S40" s="86"/>
    </row>
    <row r="41" spans="1:19">
      <c r="A41" s="1" t="s">
        <v>206</v>
      </c>
    </row>
    <row r="43" spans="1:19">
      <c r="A43" s="1" t="s">
        <v>207</v>
      </c>
      <c r="B43" s="2" t="e">
        <f>B23+('BALANCE SHEET '!B19-'BALANCE SHEET '!A19)-'INCOME STATEMENT'!B28</f>
        <v>#VALUE!</v>
      </c>
      <c r="C43" s="2">
        <f>C23+('BALANCE SHEET '!C19-'BALANCE SHEET '!B19)-'INCOME STATEMENT'!C28</f>
        <v>630025</v>
      </c>
      <c r="D43" s="2">
        <f>D23+('BALANCE SHEET '!D19-'BALANCE SHEET '!C19)-'INCOME STATEMENT'!D28</f>
        <v>1731000</v>
      </c>
      <c r="E43" s="2">
        <f>E23+('BALANCE SHEET '!E19-'BALANCE SHEET '!D19)-'INCOME STATEMENT'!E28</f>
        <v>3131000</v>
      </c>
      <c r="F43" s="2">
        <f>F23+('BALANCE SHEET '!F19-'BALANCE SHEET '!E19)-'INCOME STATEMENT'!F28</f>
        <v>4076000</v>
      </c>
      <c r="G43" s="2">
        <f>G23+('BALANCE SHEET '!G19-'BALANCE SHEET '!F19)-'INCOME STATEMENT'!G28</f>
        <v>2916000</v>
      </c>
      <c r="H43" s="2">
        <f>H23+('BALANCE SHEET '!H19-'BALANCE SHEET '!G19)-'INCOME STATEMENT'!H28</f>
        <v>4852000</v>
      </c>
      <c r="I43" s="2">
        <f>I23+('BALANCE SHEET '!I19-'BALANCE SHEET '!H19)-'INCOME STATEMENT'!I28</f>
        <v>10347000</v>
      </c>
      <c r="J43" s="2">
        <f>J23+('BALANCE SHEET '!J19-'BALANCE SHEET '!I19)-'INCOME STATEMENT'!J28</f>
        <v>5202000</v>
      </c>
      <c r="K43" s="2">
        <f>K23+('BALANCE SHEET '!K19-'BALANCE SHEET '!J19)-'INCOME STATEMENT'!K28</f>
        <v>29729000</v>
      </c>
    </row>
    <row r="44" spans="1:19">
      <c r="A44" t="s">
        <v>208</v>
      </c>
      <c r="B44" t="e">
        <f>'BALANCE SHEET '!B18-'BALANCE SHEET '!A18</f>
        <v>#VALUE!</v>
      </c>
      <c r="C44">
        <f>'BALANCE SHEET '!C18-'BALANCE SHEET '!B18</f>
        <v>-79257</v>
      </c>
      <c r="D44">
        <f>'BALANCE SHEET '!D18-'BALANCE SHEET '!C18</f>
        <v>91000</v>
      </c>
      <c r="E44">
        <f>'BALANCE SHEET '!E18-'BALANCE SHEET '!D18</f>
        <v>546000</v>
      </c>
      <c r="F44">
        <f>'BALANCE SHEET '!F18-'BALANCE SHEET '!E18</f>
        <v>434000</v>
      </c>
      <c r="G44">
        <f>'BALANCE SHEET '!G18-'BALANCE SHEET '!F18</f>
        <v>514000</v>
      </c>
      <c r="H44">
        <f>'BALANCE SHEET '!H18-'BALANCE SHEET '!G18</f>
        <v>872000</v>
      </c>
      <c r="I44">
        <f>'BALANCE SHEET '!I18-'BALANCE SHEET '!H18</f>
        <v>1124000</v>
      </c>
      <c r="J44">
        <f>'BALANCE SHEET '!J18-'BALANCE SHEET '!I18</f>
        <v>1820000</v>
      </c>
      <c r="K44">
        <f>'BALANCE SHEET '!K18-'BALANCE SHEET '!J18</f>
        <v>922000</v>
      </c>
    </row>
    <row r="45" spans="1:19">
      <c r="A45" s="1" t="s">
        <v>209</v>
      </c>
      <c r="B45" t="e">
        <f>('BALANCE SHEET '!B17-'BALANCE SHEET '!B29)-('BALANCE SHEET '!A17-'BALANCE SHEET '!A29)</f>
        <v>#VALUE!</v>
      </c>
      <c r="C45">
        <f>('BALANCE SHEET '!C17-'BALANCE SHEET '!C29)-('BALANCE SHEET '!B17-'BALANCE SHEET '!B29)</f>
        <v>-1115267</v>
      </c>
      <c r="D45">
        <f>('BALANCE SHEET '!D17-'BALANCE SHEET '!D29)-('BALANCE SHEET '!C17-'BALANCE SHEET '!C29)</f>
        <v>3046000</v>
      </c>
      <c r="E45">
        <f>('BALANCE SHEET '!E17-'BALANCE SHEET '!E29)-('BALANCE SHEET '!D17-'BALANCE SHEET '!D29)</f>
        <v>1354000</v>
      </c>
      <c r="F45">
        <f>('BALANCE SHEET '!F17-'BALANCE SHEET '!F29)-('BALANCE SHEET '!E17-'BALANCE SHEET '!E29)</f>
        <v>1126000</v>
      </c>
      <c r="G45">
        <f>('BALANCE SHEET '!G17-'BALANCE SHEET '!G29)-('BALANCE SHEET '!F17-'BALANCE SHEET '!F29)</f>
        <v>2678000</v>
      </c>
      <c r="H45">
        <f>('BALANCE SHEET '!H17-'BALANCE SHEET '!H29)-('BALANCE SHEET '!G17-'BALANCE SHEET '!G29)</f>
        <v>224000</v>
      </c>
      <c r="I45">
        <f>('BALANCE SHEET '!I17-'BALANCE SHEET '!I29)-('BALANCE SHEET '!H17-'BALANCE SHEET '!H29)</f>
        <v>12364000</v>
      </c>
      <c r="J45">
        <f>('BALANCE SHEET '!J17-'BALANCE SHEET '!J29)-('BALANCE SHEET '!I17-'BALANCE SHEET '!I29)</f>
        <v>-7984000</v>
      </c>
      <c r="K45">
        <f>('BALANCE SHEET '!K17-'BALANCE SHEET '!K29)-('BALANCE SHEET '!J17-'BALANCE SHEET '!J29)</f>
        <v>17204000</v>
      </c>
    </row>
    <row r="47" spans="1:19">
      <c r="A47" s="1" t="s">
        <v>210</v>
      </c>
      <c r="B47" s="2" t="e">
        <f>B43-B44-B45</f>
        <v>#VALUE!</v>
      </c>
      <c r="C47" s="2">
        <f t="shared" ref="C47:K47" si="2">C43-C44-C45</f>
        <v>1824549</v>
      </c>
      <c r="D47" s="2">
        <f t="shared" si="2"/>
        <v>-1406000</v>
      </c>
      <c r="E47" s="2">
        <f t="shared" si="2"/>
        <v>1231000</v>
      </c>
      <c r="F47" s="2">
        <f t="shared" si="2"/>
        <v>2516000</v>
      </c>
      <c r="G47" s="2">
        <f t="shared" si="2"/>
        <v>-276000</v>
      </c>
      <c r="H47" s="2">
        <f t="shared" si="2"/>
        <v>3756000</v>
      </c>
      <c r="I47" s="2">
        <f t="shared" si="2"/>
        <v>-3141000</v>
      </c>
      <c r="J47" s="2">
        <f t="shared" si="2"/>
        <v>11366000</v>
      </c>
      <c r="K47" s="2">
        <f t="shared" si="2"/>
        <v>11603000</v>
      </c>
    </row>
    <row r="49" spans="1:13">
      <c r="A49" s="1" t="s">
        <v>211</v>
      </c>
      <c r="B49" s="27">
        <v>2015</v>
      </c>
      <c r="C49" s="27">
        <v>2016</v>
      </c>
      <c r="D49" s="27">
        <v>2017</v>
      </c>
      <c r="E49" s="27">
        <v>2018</v>
      </c>
      <c r="F49" s="27">
        <v>2019</v>
      </c>
      <c r="G49" s="27">
        <v>2020</v>
      </c>
      <c r="H49" s="27">
        <v>2021</v>
      </c>
      <c r="I49" s="27">
        <v>2022</v>
      </c>
      <c r="J49" s="27">
        <v>2023</v>
      </c>
      <c r="K49" s="27">
        <v>2024</v>
      </c>
    </row>
    <row r="51" spans="1:13">
      <c r="A51" t="s">
        <v>214</v>
      </c>
      <c r="M51" t="s">
        <v>230</v>
      </c>
    </row>
    <row r="52" spans="1:13">
      <c r="A52" t="s">
        <v>231</v>
      </c>
      <c r="C52" s="69">
        <f>(C17-B17)/B17</f>
        <v>7.0168217200145169E-2</v>
      </c>
      <c r="D52" s="69">
        <f t="shared" ref="D52:K52" si="3">(D17-C17)/C17</f>
        <v>0.37924151696606784</v>
      </c>
      <c r="E52" s="69">
        <f t="shared" si="3"/>
        <v>0.4057887120115774</v>
      </c>
      <c r="F52" s="69">
        <f t="shared" si="3"/>
        <v>0.20609429689108502</v>
      </c>
      <c r="G52" s="69">
        <f t="shared" si="3"/>
        <v>-6.8111983612154314E-2</v>
      </c>
      <c r="H52" s="69">
        <f t="shared" si="3"/>
        <v>0.52729437625938813</v>
      </c>
      <c r="I52" s="69">
        <f t="shared" si="3"/>
        <v>0.61403298350824587</v>
      </c>
      <c r="J52" s="69">
        <f t="shared" si="3"/>
        <v>2.2293230289068887E-3</v>
      </c>
      <c r="K52" s="69">
        <f t="shared" si="3"/>
        <v>1.2585452658115222</v>
      </c>
      <c r="M52" s="71">
        <f>AVERAGE(C52:K52)</f>
        <v>0.37725363422942049</v>
      </c>
    </row>
    <row r="53" spans="1:13">
      <c r="A53" t="s">
        <v>215</v>
      </c>
      <c r="C53" s="69">
        <f>(AMD!C100+INTEL!C101+QUALCOMM!C104)/3</f>
        <v>-6.2701687013011946E-3</v>
      </c>
      <c r="D53" s="69">
        <f>(AMD!D100+INTEL!D101+QUALCOMM!D104)/3</f>
        <v>3.1010396459816642E-2</v>
      </c>
      <c r="E53" s="69">
        <f>(AMD!E100+INTEL!E101+QUALCOMM!E104)/3</f>
        <v>-0.13108000062869565</v>
      </c>
      <c r="F53" s="69">
        <f>(AMD!F100+INTEL!F101+QUALCOMM!F104)/3</f>
        <v>-0.20805487896530428</v>
      </c>
      <c r="G53" s="69">
        <f>(AMD!G100+INTEL!G101+QUALCOMM!G104)/3</f>
        <v>-2.7432006201031839E-2</v>
      </c>
      <c r="H53" s="69">
        <f>(AMD!H100+INTEL!H101+QUALCOMM!H104)/3</f>
        <v>-8.5332009692257627E-2</v>
      </c>
      <c r="I53" s="69">
        <f>(AMD!I100+INTEL!I101+QUALCOMM!I104)/3</f>
        <v>-0.11063146665553732</v>
      </c>
      <c r="J53" s="69">
        <f>(AMD!J100+INTEL!J101+QUALCOMM!J104)/3</f>
        <v>-2.0959005155198496E-2</v>
      </c>
      <c r="K53" s="69">
        <f>(AMD!K100+INTEL!K101+QUALCOMM!K104)/3</f>
        <v>0.12834378072294292</v>
      </c>
      <c r="M53" s="71">
        <f>AVERAGE(C53:K53)</f>
        <v>-4.7822817646285216E-2</v>
      </c>
    </row>
    <row r="55" spans="1:13">
      <c r="B55" s="119">
        <v>0.57499999999999996</v>
      </c>
    </row>
    <row r="56" spans="1:13">
      <c r="A56" s="109">
        <v>2016</v>
      </c>
      <c r="B56" s="119">
        <v>1.3218000000000001</v>
      </c>
    </row>
    <row r="57" spans="1:13">
      <c r="A57" s="109">
        <v>2017</v>
      </c>
      <c r="B57" s="119">
        <v>3.7025000000000001</v>
      </c>
    </row>
    <row r="58" spans="1:13">
      <c r="A58" s="109">
        <v>2018</v>
      </c>
      <c r="B58" s="119">
        <v>5.7587999999999999</v>
      </c>
    </row>
    <row r="59" spans="1:13">
      <c r="A59" s="109">
        <v>2019</v>
      </c>
      <c r="B59" s="119">
        <v>4.3385999999999996</v>
      </c>
    </row>
    <row r="60" spans="1:13">
      <c r="A60" s="109">
        <v>2020</v>
      </c>
      <c r="B60" s="119">
        <v>9.8598999999999997</v>
      </c>
    </row>
    <row r="61" spans="1:13">
      <c r="A61" s="109">
        <v>2021</v>
      </c>
      <c r="B61" s="119">
        <v>19.483799999999999</v>
      </c>
    </row>
    <row r="62" spans="1:13">
      <c r="A62" s="109">
        <v>2022</v>
      </c>
      <c r="B62" s="119">
        <v>18.544499999999999</v>
      </c>
    </row>
    <row r="63" spans="1:13">
      <c r="A63" s="109">
        <v>2023</v>
      </c>
      <c r="B63" s="119">
        <v>36.552500000000002</v>
      </c>
    </row>
    <row r="64" spans="1:13">
      <c r="A64" s="109">
        <v>2024</v>
      </c>
      <c r="B64" s="119">
        <v>107.8096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312A-7B2C-4E9F-B76A-3E568A6CEA39}">
  <dimension ref="A2:K33"/>
  <sheetViews>
    <sheetView workbookViewId="0">
      <selection activeCell="G27" sqref="G27"/>
    </sheetView>
  </sheetViews>
  <sheetFormatPr defaultRowHeight="15"/>
  <cols>
    <col min="1" max="1" width="28.28515625" bestFit="1" customWidth="1"/>
    <col min="2" max="2" width="10.28515625" bestFit="1" customWidth="1"/>
    <col min="3" max="3" width="11.140625" bestFit="1" customWidth="1"/>
    <col min="4" max="7" width="10.28515625" bestFit="1" customWidth="1"/>
    <col min="8" max="11" width="11.5703125" bestFit="1" customWidth="1"/>
  </cols>
  <sheetData>
    <row r="2" spans="1:11">
      <c r="B2" s="27">
        <v>2015</v>
      </c>
      <c r="C2" s="27">
        <v>2016</v>
      </c>
      <c r="D2" s="27">
        <v>2017</v>
      </c>
      <c r="E2" s="27">
        <v>2018</v>
      </c>
      <c r="F2" s="27">
        <v>2019</v>
      </c>
      <c r="G2" s="27">
        <v>2020</v>
      </c>
      <c r="H2" s="27">
        <v>2021</v>
      </c>
      <c r="I2" s="27">
        <v>2022</v>
      </c>
      <c r="J2" s="27">
        <v>2023</v>
      </c>
      <c r="K2" s="27">
        <v>2024</v>
      </c>
    </row>
    <row r="3" spans="1:11">
      <c r="A3" s="4" t="s">
        <v>49</v>
      </c>
      <c r="B3" s="5" t="s">
        <v>48</v>
      </c>
      <c r="C3" s="5" t="s">
        <v>47</v>
      </c>
      <c r="D3" s="5" t="s">
        <v>46</v>
      </c>
      <c r="E3" s="5" t="s">
        <v>45</v>
      </c>
      <c r="F3" s="5" t="s">
        <v>44</v>
      </c>
      <c r="G3" s="5" t="s">
        <v>43</v>
      </c>
      <c r="H3" s="5" t="s">
        <v>42</v>
      </c>
      <c r="I3" s="5" t="s">
        <v>41</v>
      </c>
      <c r="J3" s="5" t="s">
        <v>40</v>
      </c>
      <c r="K3" s="5" t="s">
        <v>39</v>
      </c>
    </row>
    <row r="4" spans="1:11">
      <c r="A4" s="9" t="s">
        <v>55</v>
      </c>
      <c r="B4" s="19">
        <f>'INCOME STATEMENT'!B17/'INCOME STATEMENT'!B$17</f>
        <v>1</v>
      </c>
      <c r="C4" s="19">
        <f>'INCOME STATEMENT'!C17/'INCOME STATEMENT'!C$17</f>
        <v>1</v>
      </c>
      <c r="D4" s="19">
        <f>'INCOME STATEMENT'!D17/'INCOME STATEMENT'!D$17</f>
        <v>1</v>
      </c>
      <c r="E4" s="19">
        <f>'INCOME STATEMENT'!E17/'INCOME STATEMENT'!E$17</f>
        <v>1</v>
      </c>
      <c r="F4" s="19">
        <f>'INCOME STATEMENT'!F17/'INCOME STATEMENT'!F$17</f>
        <v>1</v>
      </c>
      <c r="G4" s="19">
        <f>'INCOME STATEMENT'!G17/'INCOME STATEMENT'!G$17</f>
        <v>1</v>
      </c>
      <c r="H4" s="19">
        <f>'INCOME STATEMENT'!H17/'INCOME STATEMENT'!H$17</f>
        <v>1</v>
      </c>
      <c r="I4" s="19">
        <f>'INCOME STATEMENT'!I17/'INCOME STATEMENT'!I$17</f>
        <v>1</v>
      </c>
      <c r="J4" s="19">
        <f>'INCOME STATEMENT'!J17/'INCOME STATEMENT'!J$17</f>
        <v>1</v>
      </c>
      <c r="K4" s="19">
        <f>'INCOME STATEMENT'!K17/'INCOME STATEMENT'!K$17</f>
        <v>1</v>
      </c>
    </row>
    <row r="5" spans="1:11">
      <c r="A5" s="1" t="s">
        <v>56</v>
      </c>
      <c r="B5" s="19">
        <f>'INCOME STATEMENT'!B18/'INCOME STATEMENT'!B$17</f>
        <v>0.44473499665812738</v>
      </c>
      <c r="C5" s="19">
        <f>'INCOME STATEMENT'!C18/'INCOME STATEMENT'!C$17</f>
        <v>0.43892215568862275</v>
      </c>
      <c r="D5" s="19">
        <f>'INCOME STATEMENT'!D18/'INCOME STATEMENT'!D$17</f>
        <v>0.41201157742402317</v>
      </c>
      <c r="E5" s="19">
        <f>'INCOME STATEMENT'!E18/'INCOME STATEMENT'!E$17</f>
        <v>0.40065884290714432</v>
      </c>
      <c r="F5" s="19">
        <f>'INCOME STATEMENT'!F18/'INCOME STATEMENT'!F$17</f>
        <v>0.38793103448275862</v>
      </c>
      <c r="G5" s="19">
        <f>'INCOME STATEMENT'!G18/'INCOME STATEMENT'!G$17</f>
        <v>0.38010624656530501</v>
      </c>
      <c r="H5" s="19">
        <f>'INCOME STATEMENT'!H18/'INCOME STATEMENT'!H$17</f>
        <v>0.37655172413793103</v>
      </c>
      <c r="I5" s="19">
        <f>'INCOME STATEMENT'!I18/'INCOME STATEMENT'!I$17</f>
        <v>0.35070966783086871</v>
      </c>
      <c r="J5" s="19">
        <f>'INCOME STATEMENT'!J18/'INCOME STATEMENT'!J$17</f>
        <v>0.43071105509008673</v>
      </c>
      <c r="K5" s="19">
        <f>'INCOME STATEMENT'!K18/'INCOME STATEMENT'!K$17</f>
        <v>0.27282426709563046</v>
      </c>
    </row>
    <row r="6" spans="1:11" ht="15.75">
      <c r="A6" s="12" t="s">
        <v>57</v>
      </c>
      <c r="B6" s="19">
        <f>'INCOME STATEMENT'!B19/'INCOME STATEMENT'!B$17</f>
        <v>0.55526500334187257</v>
      </c>
      <c r="C6" s="19">
        <f>'INCOME STATEMENT'!C19/'INCOME STATEMENT'!C$17</f>
        <v>0.56107784431137719</v>
      </c>
      <c r="D6" s="19">
        <f>'INCOME STATEMENT'!D19/'INCOME STATEMENT'!D$17</f>
        <v>0.58798842257597683</v>
      </c>
      <c r="E6" s="19">
        <f>'INCOME STATEMENT'!E19/'INCOME STATEMENT'!E$17</f>
        <v>0.59934115709285563</v>
      </c>
      <c r="F6" s="19">
        <f>'INCOME STATEMENT'!F19/'INCOME STATEMENT'!F$17</f>
        <v>0.61206896551724133</v>
      </c>
      <c r="G6" s="19">
        <f>'INCOME STATEMENT'!G19/'INCOME STATEMENT'!G$17</f>
        <v>0.61989375343469499</v>
      </c>
      <c r="H6" s="19">
        <f>'INCOME STATEMENT'!H19/'INCOME STATEMENT'!H$17</f>
        <v>0.62344827586206897</v>
      </c>
      <c r="I6" s="19">
        <f>'INCOME STATEMENT'!I19/'INCOME STATEMENT'!I$17</f>
        <v>0.64929033216913135</v>
      </c>
      <c r="J6" s="19">
        <f>'INCOME STATEMENT'!J19/'INCOME STATEMENT'!J$17</f>
        <v>0.56928894490991322</v>
      </c>
      <c r="K6" s="19">
        <f>'INCOME STATEMENT'!K19/'INCOME STATEMENT'!K$17</f>
        <v>0.72717573290436954</v>
      </c>
    </row>
    <row r="7" spans="1:11">
      <c r="A7" s="1" t="s">
        <v>58</v>
      </c>
      <c r="B7" s="19">
        <f>'INCOME STATEMENT'!B20/'INCOME STATEMENT'!B$17</f>
        <v>0.10269406838438989</v>
      </c>
      <c r="C7" s="19">
        <f>'INCOME STATEMENT'!C20/'INCOME STATEMENT'!C$17</f>
        <v>0.12015968063872255</v>
      </c>
      <c r="D7" s="19">
        <f>'INCOME STATEMENT'!D20/'INCOME STATEMENT'!D$17</f>
        <v>9.5947901591895798E-2</v>
      </c>
      <c r="E7" s="19">
        <f>'INCOME STATEMENT'!E20/'INCOME STATEMENT'!E$17</f>
        <v>8.3899526456660489E-2</v>
      </c>
      <c r="F7" s="19">
        <f>'INCOME STATEMENT'!F20/'INCOME STATEMENT'!F$17</f>
        <v>8.4585182656196647E-2</v>
      </c>
      <c r="G7" s="19">
        <f>'INCOME STATEMENT'!G20/'INCOME STATEMENT'!G$17</f>
        <v>0.10010991023997069</v>
      </c>
      <c r="H7" s="19">
        <f>'INCOME STATEMENT'!H20/'INCOME STATEMENT'!H$17</f>
        <v>0.11634182908545727</v>
      </c>
      <c r="I7" s="19">
        <f>'INCOME STATEMENT'!I20/'INCOME STATEMENT'!I$17</f>
        <v>8.0478561343538674E-2</v>
      </c>
      <c r="J7" s="19">
        <f>'INCOME STATEMENT'!J20/'INCOME STATEMENT'!J$17</f>
        <v>9.0457477570994288E-2</v>
      </c>
      <c r="K7" s="19">
        <f>'INCOME STATEMENT'!K20/'INCOME STATEMENT'!K$17</f>
        <v>4.3563901382095135E-2</v>
      </c>
    </row>
    <row r="8" spans="1:11">
      <c r="A8" s="1" t="s">
        <v>59</v>
      </c>
      <c r="B8" s="19">
        <f>'INCOME STATEMENT'!B21/'INCOME STATEMENT'!B$17</f>
        <v>0.29044600381885577</v>
      </c>
      <c r="C8" s="19">
        <f>'INCOME STATEMENT'!C21/'INCOME STATEMENT'!C$17</f>
        <v>0.26566866267465072</v>
      </c>
      <c r="D8" s="19">
        <f>'INCOME STATEMENT'!D21/'INCOME STATEMENT'!D$17</f>
        <v>0.21172214182344429</v>
      </c>
      <c r="E8" s="19">
        <f>'INCOME STATEMENT'!E21/'INCOME STATEMENT'!E$17</f>
        <v>0.18499073502161828</v>
      </c>
      <c r="F8" s="19">
        <f>'INCOME STATEMENT'!F21/'INCOME STATEMENT'!F$17</f>
        <v>0.20279959030385797</v>
      </c>
      <c r="G8" s="19">
        <f>'INCOME STATEMENT'!G21/'INCOME STATEMENT'!G$17</f>
        <v>0.25911339073090311</v>
      </c>
      <c r="H8" s="19">
        <f>'INCOME STATEMENT'!H21/'INCOME STATEMENT'!H$17</f>
        <v>0.2353223388305847</v>
      </c>
      <c r="I8" s="19">
        <f>'INCOME STATEMENT'!I21/'INCOME STATEMENT'!I$17</f>
        <v>0.19573456193802483</v>
      </c>
      <c r="J8" s="19">
        <f>'INCOME STATEMENT'!J21/'INCOME STATEMENT'!J$17</f>
        <v>0.27207681471046191</v>
      </c>
      <c r="K8" s="19">
        <f>'INCOME STATEMENT'!K21/'INCOME STATEMENT'!K$17</f>
        <v>0.14239519385443683</v>
      </c>
    </row>
    <row r="9" spans="1:11" hidden="1">
      <c r="A9" s="1" t="s">
        <v>60</v>
      </c>
      <c r="B9" s="19" t="e">
        <f>'INCOME STATEMENT'!#REF!/'INCOME STATEMENT'!B$17</f>
        <v>#REF!</v>
      </c>
      <c r="C9" s="19" t="e">
        <f>'INCOME STATEMENT'!#REF!/'INCOME STATEMENT'!C$17</f>
        <v>#REF!</v>
      </c>
      <c r="D9" s="19" t="e">
        <f>'INCOME STATEMENT'!#REF!/'INCOME STATEMENT'!D$17</f>
        <v>#REF!</v>
      </c>
      <c r="E9" s="19" t="e">
        <f>'INCOME STATEMENT'!#REF!/'INCOME STATEMENT'!E$17</f>
        <v>#REF!</v>
      </c>
      <c r="F9" s="19" t="e">
        <f>'INCOME STATEMENT'!#REF!/'INCOME STATEMENT'!F$17</f>
        <v>#REF!</v>
      </c>
      <c r="G9" s="19" t="e">
        <f>'INCOME STATEMENT'!#REF!/'INCOME STATEMENT'!G$17</f>
        <v>#REF!</v>
      </c>
      <c r="H9" s="19" t="e">
        <f>'INCOME STATEMENT'!#REF!/'INCOME STATEMENT'!H$17</f>
        <v>#REF!</v>
      </c>
      <c r="I9" s="19" t="e">
        <f>'INCOME STATEMENT'!#REF!/'INCOME STATEMENT'!I$17</f>
        <v>#REF!</v>
      </c>
      <c r="J9" s="19" t="e">
        <f>'INCOME STATEMENT'!#REF!/'INCOME STATEMENT'!J$17</f>
        <v>#REF!</v>
      </c>
      <c r="K9" s="19" t="e">
        <f>'INCOME STATEMENT'!#REF!/'INCOME STATEMENT'!K$17</f>
        <v>#REF!</v>
      </c>
    </row>
    <row r="10" spans="1:11">
      <c r="A10" s="1" t="s">
        <v>61</v>
      </c>
      <c r="B10" s="19">
        <f>'INCOME STATEMENT'!B22/'INCOME STATEMENT'!B$17</f>
        <v>0.39314007220324565</v>
      </c>
      <c r="C10" s="19">
        <f>'INCOME STATEMENT'!C22/'INCOME STATEMENT'!C$17</f>
        <v>0.41197604790419162</v>
      </c>
      <c r="D10" s="19">
        <f>'INCOME STATEMENT'!D22/'INCOME STATEMENT'!D$17</f>
        <v>0.30810419681620838</v>
      </c>
      <c r="E10" s="19">
        <f>'INCOME STATEMENT'!E22/'INCOME STATEMENT'!E$17</f>
        <v>0.26889026147827877</v>
      </c>
      <c r="F10" s="19">
        <f>'INCOME STATEMENT'!F22/'INCOME STATEMENT'!F$17</f>
        <v>0.2873847729600546</v>
      </c>
      <c r="G10" s="19">
        <f>'INCOME STATEMENT'!G22/'INCOME STATEMENT'!G$17</f>
        <v>0.35922330097087379</v>
      </c>
      <c r="H10" s="19">
        <f>'INCOME STATEMENT'!H22/'INCOME STATEMENT'!H$17</f>
        <v>0.35166416791604199</v>
      </c>
      <c r="I10" s="19">
        <f>'INCOME STATEMENT'!I22/'INCOME STATEMENT'!I$17</f>
        <v>0.2762131232815635</v>
      </c>
      <c r="J10" s="19">
        <f>'INCOME STATEMENT'!J22/'INCOME STATEMENT'!J$17</f>
        <v>0.41269370504930675</v>
      </c>
      <c r="K10" s="19">
        <f>'INCOME STATEMENT'!K22/'INCOME STATEMENT'!K$17</f>
        <v>0.18595909523653195</v>
      </c>
    </row>
    <row r="11" spans="1:11">
      <c r="A11" s="20" t="s">
        <v>212</v>
      </c>
      <c r="B11" s="19">
        <f>'INCOME STATEMENT'!B23/'INCOME STATEMENT'!B$17</f>
        <v>0.16212493113862694</v>
      </c>
      <c r="C11" s="19">
        <f>'INCOME STATEMENT'!C23/'INCOME STATEMENT'!C$17</f>
        <v>0.14910179640718563</v>
      </c>
      <c r="D11" s="19">
        <f>'INCOME STATEMENT'!D23/'INCOME STATEMENT'!D$17</f>
        <v>0.27988422575976846</v>
      </c>
      <c r="E11" s="19">
        <f>'INCOME STATEMENT'!E23/'INCOME STATEMENT'!E$17</f>
        <v>0.33045089561457691</v>
      </c>
      <c r="F11" s="19">
        <f>'INCOME STATEMENT'!F23/'INCOME STATEMENT'!F$17</f>
        <v>0.32468419255718678</v>
      </c>
      <c r="G11" s="19">
        <f>'INCOME STATEMENT'!G23/'INCOME STATEMENT'!G$17</f>
        <v>0.2606704524638212</v>
      </c>
      <c r="H11" s="19">
        <f>'INCOME STATEMENT'!H23/'INCOME STATEMENT'!H$17</f>
        <v>0.27178410794602698</v>
      </c>
      <c r="I11" s="19">
        <f>'INCOME STATEMENT'!I23/'INCOME STATEMENT'!I$17</f>
        <v>0.37307720888756779</v>
      </c>
      <c r="J11" s="19">
        <f>'INCOME STATEMENT'!J23/'INCOME STATEMENT'!J$17</f>
        <v>0.1565952398606065</v>
      </c>
      <c r="K11" s="19">
        <f>'INCOME STATEMENT'!K23/'INCOME STATEMENT'!K$17</f>
        <v>0.54121663766783756</v>
      </c>
    </row>
    <row r="12" spans="1:11">
      <c r="A12" s="1" t="s">
        <v>63</v>
      </c>
      <c r="B12" s="19">
        <f>'INCOME STATEMENT'!B24/'INCOME STATEMENT'!B$17</f>
        <v>-3.8541008269345747E-3</v>
      </c>
      <c r="C12" s="19">
        <f>'INCOME STATEMENT'!C24/'INCOME STATEMENT'!C$17</f>
        <v>-1.5968063872255488E-3</v>
      </c>
      <c r="D12" s="19">
        <f>'INCOME STATEMENT'!D24/'INCOME STATEMENT'!D$17</f>
        <v>-5.7887120115774238E-4</v>
      </c>
      <c r="E12" s="19">
        <f>'INCOME STATEMENT'!E24/'INCOME STATEMENT'!E$17</f>
        <v>8.2355363393040967E-4</v>
      </c>
      <c r="F12" s="19">
        <f>'INCOME STATEMENT'!F24/'INCOME STATEMENT'!F$17</f>
        <v>6.6575623079549338E-3</v>
      </c>
      <c r="G12" s="19">
        <f>'INCOME STATEMENT'!G24/'INCOME STATEMENT'!G$17</f>
        <v>1.1540575196922514E-2</v>
      </c>
      <c r="H12" s="19">
        <f>'INCOME STATEMENT'!H24/'INCOME STATEMENT'!H$17</f>
        <v>-7.6161919040479758E-3</v>
      </c>
      <c r="I12" s="19">
        <f>'INCOME STATEMENT'!I24/'INCOME STATEMENT'!I$17</f>
        <v>-7.6911644497287658E-3</v>
      </c>
      <c r="J12" s="19">
        <f>'INCOME STATEMENT'!J24/'INCOME STATEMENT'!J$17</f>
        <v>1.8536368354711945E-4</v>
      </c>
      <c r="K12" s="19">
        <f>'INCOME STATEMENT'!K24/'INCOME STATEMENT'!K$17</f>
        <v>9.996388825054988E-3</v>
      </c>
    </row>
    <row r="13" spans="1:11">
      <c r="A13" s="1" t="s">
        <v>64</v>
      </c>
      <c r="B13" s="19">
        <f>'INCOME STATEMENT'!B25/'INCOME STATEMENT'!B$17</f>
        <v>2.966993320740522E-3</v>
      </c>
      <c r="C13" s="19">
        <f>'INCOME STATEMENT'!C25/'INCOME STATEMENT'!C$17</f>
        <v>7.9840319361277441E-4</v>
      </c>
      <c r="D13" s="19">
        <f>'INCOME STATEMENT'!D25/'INCOME STATEMENT'!D$17</f>
        <v>-3.6179450072358899E-3</v>
      </c>
      <c r="E13" s="19">
        <f>'INCOME STATEMENT'!E25/'INCOME STATEMENT'!E$17</f>
        <v>-2.2647724933086266E-3</v>
      </c>
      <c r="F13" s="19">
        <f>'INCOME STATEMENT'!F25/'INCOME STATEMENT'!F$17</f>
        <v>1.1949470809149881E-3</v>
      </c>
      <c r="G13" s="19">
        <f>'INCOME STATEMENT'!G25/'INCOME STATEMENT'!G$17</f>
        <v>-1.8318373328448433E-4</v>
      </c>
      <c r="H13" s="19">
        <f>'INCOME STATEMENT'!H25/'INCOME STATEMENT'!H$17</f>
        <v>2.39880059970015E-4</v>
      </c>
      <c r="I13" s="19">
        <f>'INCOME STATEMENT'!I25/'INCOME STATEMENT'!I$17</f>
        <v>3.9756260682172846E-3</v>
      </c>
      <c r="J13" s="19">
        <f>'INCOME STATEMENT'!J25/'INCOME STATEMENT'!J$17</f>
        <v>-1.7794913620523467E-3</v>
      </c>
      <c r="K13" s="19">
        <f>'INCOME STATEMENT'!K25/'INCOME STATEMENT'!K$17</f>
        <v>3.8902202816716459E-3</v>
      </c>
    </row>
    <row r="14" spans="1:11">
      <c r="A14" s="1" t="s">
        <v>65</v>
      </c>
      <c r="B14" s="19">
        <f>'INCOME STATEMENT'!B26/'INCOME STATEMENT'!B$17</f>
        <v>-8.8710750619405243E-4</v>
      </c>
      <c r="C14" s="19">
        <f>'INCOME STATEMENT'!C26/'INCOME STATEMENT'!C$17</f>
        <v>-7.9840319361277441E-4</v>
      </c>
      <c r="D14" s="19">
        <f>'INCOME STATEMENT'!D26/'INCOME STATEMENT'!D$17</f>
        <v>-4.1968162083936321E-3</v>
      </c>
      <c r="E14" s="19">
        <f>'INCOME STATEMENT'!E26/'INCOME STATEMENT'!E$17</f>
        <v>-1.441218859378217E-3</v>
      </c>
      <c r="F14" s="19">
        <f>'INCOME STATEMENT'!F26/'INCOME STATEMENT'!F$17</f>
        <v>7.8525093888699212E-3</v>
      </c>
      <c r="G14" s="19">
        <f>'INCOME STATEMENT'!G26/'INCOME STATEMENT'!G$17</f>
        <v>1.1357391463638029E-2</v>
      </c>
      <c r="H14" s="19">
        <f>'INCOME STATEMENT'!H26/'INCOME STATEMENT'!H$17</f>
        <v>-7.3763118440779612E-3</v>
      </c>
      <c r="I14" s="19">
        <f>'INCOME STATEMENT'!I26/'INCOME STATEMENT'!I$17</f>
        <v>-3.7155383815114808E-3</v>
      </c>
      <c r="J14" s="19">
        <f>'INCOME STATEMENT'!J26/'INCOME STATEMENT'!J$17</f>
        <v>-1.5941276785052274E-3</v>
      </c>
      <c r="K14" s="19">
        <f>'INCOME STATEMENT'!K26/'INCOME STATEMENT'!K$17</f>
        <v>1.3886609106726634E-2</v>
      </c>
    </row>
    <row r="15" spans="1:11">
      <c r="A15" s="20" t="s">
        <v>213</v>
      </c>
      <c r="B15" s="19">
        <f>'INCOME STATEMENT'!B27/'INCOME STATEMENT'!B$17</f>
        <v>0.16123782363243289</v>
      </c>
      <c r="C15" s="19">
        <f>'INCOME STATEMENT'!C27/'INCOME STATEMENT'!C$17</f>
        <v>0.14830339321357286</v>
      </c>
      <c r="D15" s="19">
        <f>'INCOME STATEMENT'!D27/'INCOME STATEMENT'!D$17</f>
        <v>0.27568740955137483</v>
      </c>
      <c r="E15" s="19">
        <f>'INCOME STATEMENT'!E27/'INCOME STATEMENT'!E$17</f>
        <v>0.32900967675519871</v>
      </c>
      <c r="F15" s="19">
        <f>'INCOME STATEMENT'!F27/'INCOME STATEMENT'!F$17</f>
        <v>0.33253670194605667</v>
      </c>
      <c r="G15" s="19">
        <f>'INCOME STATEMENT'!G27/'INCOME STATEMENT'!G$17</f>
        <v>0.27202784392745927</v>
      </c>
      <c r="H15" s="19">
        <f>'INCOME STATEMENT'!H27/'INCOME STATEMENT'!H$17</f>
        <v>0.26440779610194903</v>
      </c>
      <c r="I15" s="19">
        <f>'INCOME STATEMENT'!I27/'INCOME STATEMENT'!I$17</f>
        <v>0.36936167050605634</v>
      </c>
      <c r="J15" s="19">
        <f>'INCOME STATEMENT'!J27/'INCOME STATEMENT'!J$17</f>
        <v>0.15500111218210127</v>
      </c>
      <c r="K15" s="19">
        <f>'INCOME STATEMENT'!K27/'INCOME STATEMENT'!K$17</f>
        <v>0.55510324677456424</v>
      </c>
    </row>
    <row r="16" spans="1:11">
      <c r="A16" s="86" t="s">
        <v>150</v>
      </c>
      <c r="B16" s="99">
        <f>'INCOME STATEMENT'!B28/'INCOME STATEMENT'!B17</f>
        <v>2.6540385392994179E-2</v>
      </c>
      <c r="C16" s="99">
        <f>'INCOME STATEMENT'!C28/'INCOME STATEMENT'!C17</f>
        <v>2.5748502994011976E-2</v>
      </c>
      <c r="D16" s="99">
        <f>'INCOME STATEMENT'!D28/'INCOME STATEMENT'!D17</f>
        <v>3.4587554269175105E-2</v>
      </c>
      <c r="E16" s="99">
        <f>'INCOME STATEMENT'!E28/'INCOME STATEMENT'!E17</f>
        <v>1.5338686431953881E-2</v>
      </c>
      <c r="F16" s="99">
        <f>'INCOME STATEMENT'!F28/'INCOME STATEMENT'!F17</f>
        <v>-2.091157391601229E-2</v>
      </c>
      <c r="G16" s="99">
        <f>'INCOME STATEMENT'!G28/'INCOME STATEMENT'!G17</f>
        <v>1.5936984795750137E-2</v>
      </c>
      <c r="H16" s="99">
        <f>'INCOME STATEMENT'!H28/'INCOME STATEMENT'!H17</f>
        <v>4.6176911544227889E-3</v>
      </c>
      <c r="I16" s="99">
        <f>'INCOME STATEMENT'!I28/'INCOME STATEMENT'!I17</f>
        <v>7.0223675410566993E-3</v>
      </c>
      <c r="J16" s="99">
        <f>'INCOME STATEMENT'!J28/'INCOME STATEMENT'!J17</f>
        <v>-6.9326017646622676E-3</v>
      </c>
      <c r="K16" s="99">
        <f>'INCOME STATEMENT'!K28/'INCOME STATEMENT'!K17</f>
        <v>6.6609763303896785E-2</v>
      </c>
    </row>
    <row r="17" spans="1:11">
      <c r="A17" s="20" t="s">
        <v>67</v>
      </c>
      <c r="B17" s="19">
        <f>'INCOME STATEMENT'!B29/'INCOME STATEMENT'!B$17</f>
        <v>0.13469743823943872</v>
      </c>
      <c r="C17" s="19">
        <f>'INCOME STATEMENT'!C29/'INCOME STATEMENT'!C$17</f>
        <v>0.12255489021956088</v>
      </c>
      <c r="D17" s="19">
        <f>'INCOME STATEMENT'!D29/'INCOME STATEMENT'!D$17</f>
        <v>0.24109985528219971</v>
      </c>
      <c r="E17" s="19">
        <f>'INCOME STATEMENT'!E29/'INCOME STATEMENT'!E$17</f>
        <v>0.3136709903232448</v>
      </c>
      <c r="F17" s="19">
        <f>'INCOME STATEMENT'!F29/'INCOME STATEMENT'!F$17</f>
        <v>0.35344827586206895</v>
      </c>
      <c r="G17" s="19">
        <f>'INCOME STATEMENT'!G29/'INCOME STATEMENT'!G$17</f>
        <v>0.25609085913170909</v>
      </c>
      <c r="H17" s="19">
        <f>'INCOME STATEMENT'!H29/'INCOME STATEMENT'!H$17</f>
        <v>0.25979010494752625</v>
      </c>
      <c r="I17" s="19">
        <f>'INCOME STATEMENT'!I29/'INCOME STATEMENT'!I$17</f>
        <v>0.36233930296499961</v>
      </c>
      <c r="J17" s="19">
        <f>'INCOME STATEMENT'!J29/'INCOME STATEMENT'!J$17</f>
        <v>0.16193371394676356</v>
      </c>
      <c r="K17" s="19">
        <f>'INCOME STATEMENT'!K29/'INCOME STATEMENT'!K$17</f>
        <v>0.4884934834706674</v>
      </c>
    </row>
    <row r="20" spans="1:1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>
      <c r="A21" s="86"/>
      <c r="B21" s="87"/>
      <c r="C21" s="87"/>
      <c r="D21" s="87"/>
      <c r="E21" s="87"/>
      <c r="F21" s="87"/>
      <c r="G21" s="87"/>
      <c r="H21" s="2"/>
      <c r="I21" s="2"/>
      <c r="J21" s="87"/>
      <c r="K21" s="87"/>
    </row>
    <row r="22" spans="1:1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1"/>
      <c r="B24" s="69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0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>
      <c r="A32" s="86"/>
      <c r="B32" s="87"/>
      <c r="C32" s="87"/>
      <c r="D32" s="87"/>
      <c r="E32" s="87"/>
      <c r="F32" s="87"/>
      <c r="G32" s="87"/>
      <c r="H32" s="2"/>
      <c r="I32" s="2"/>
      <c r="J32" s="87"/>
      <c r="K32" s="87"/>
    </row>
    <row r="33" spans="1:11">
      <c r="A33" s="20"/>
      <c r="B33" s="28"/>
      <c r="C33" s="28"/>
      <c r="D33" s="28"/>
      <c r="E33" s="28"/>
      <c r="F33" s="28"/>
      <c r="G33" s="28"/>
      <c r="H33" s="28"/>
      <c r="I33" s="28"/>
      <c r="J33" s="28"/>
      <c r="K33" s="2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E3B3-0A25-47A8-B3C6-AF46A7E78297}">
  <dimension ref="A3:X31"/>
  <sheetViews>
    <sheetView topLeftCell="A14" zoomScale="76" workbookViewId="0">
      <selection activeCell="N17" sqref="N17"/>
    </sheetView>
  </sheetViews>
  <sheetFormatPr defaultRowHeight="15"/>
  <cols>
    <col min="1" max="1" width="39" bestFit="1" customWidth="1"/>
    <col min="2" max="11" width="10.7109375" bestFit="1" customWidth="1"/>
    <col min="12" max="13" width="12" customWidth="1"/>
    <col min="14" max="14" width="27.42578125" bestFit="1" customWidth="1"/>
    <col min="15" max="24" width="10.7109375" bestFit="1" customWidth="1"/>
    <col min="25" max="191" width="12" customWidth="1"/>
  </cols>
  <sheetData>
    <row r="3" spans="1:24">
      <c r="N3" s="6"/>
    </row>
    <row r="4" spans="1:24">
      <c r="A4" s="8" t="s">
        <v>52</v>
      </c>
      <c r="N4" s="4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0.25">
      <c r="A5" s="7" t="s">
        <v>51</v>
      </c>
      <c r="N5" s="4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6" t="s">
        <v>76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  <c r="N6" s="4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4" t="s">
        <v>49</v>
      </c>
      <c r="B7" s="5" t="s">
        <v>48</v>
      </c>
      <c r="C7" s="5" t="s">
        <v>47</v>
      </c>
      <c r="D7" s="5" t="s">
        <v>46</v>
      </c>
      <c r="E7" s="5" t="s">
        <v>45</v>
      </c>
      <c r="F7" s="5" t="s">
        <v>44</v>
      </c>
      <c r="G7" s="5" t="s">
        <v>43</v>
      </c>
      <c r="H7" s="5" t="s">
        <v>42</v>
      </c>
      <c r="I7" s="5" t="s">
        <v>41</v>
      </c>
      <c r="J7" s="5" t="s">
        <v>40</v>
      </c>
      <c r="K7" s="5" t="s">
        <v>39</v>
      </c>
      <c r="L7" s="4"/>
      <c r="N7" s="4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4" t="s">
        <v>38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4"/>
      <c r="N8" s="4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25.5">
      <c r="A9" s="4" t="s">
        <v>36</v>
      </c>
      <c r="B9" s="5" t="s">
        <v>35</v>
      </c>
      <c r="C9" s="5" t="s">
        <v>35</v>
      </c>
      <c r="D9" s="5" t="s">
        <v>35</v>
      </c>
      <c r="E9" s="5" t="s">
        <v>35</v>
      </c>
      <c r="F9" s="5" t="s">
        <v>35</v>
      </c>
      <c r="G9" s="5" t="s">
        <v>35</v>
      </c>
      <c r="H9" s="5" t="s">
        <v>35</v>
      </c>
      <c r="I9" s="5" t="s">
        <v>35</v>
      </c>
      <c r="J9" s="5" t="s">
        <v>35</v>
      </c>
      <c r="K9" s="5" t="s">
        <v>35</v>
      </c>
      <c r="L9" s="4"/>
      <c r="N9" s="1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4" t="s">
        <v>34</v>
      </c>
      <c r="B10" s="5" t="s">
        <v>33</v>
      </c>
      <c r="C10" s="5" t="s">
        <v>33</v>
      </c>
      <c r="D10" s="5" t="s">
        <v>33</v>
      </c>
      <c r="E10" s="5" t="s">
        <v>33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5" t="s">
        <v>33</v>
      </c>
      <c r="L10" s="4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4" t="s">
        <v>32</v>
      </c>
      <c r="B11" s="5" t="s">
        <v>31</v>
      </c>
      <c r="C11" s="5" t="s">
        <v>31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4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1" t="s">
        <v>67</v>
      </c>
      <c r="B12" s="2">
        <v>630587</v>
      </c>
      <c r="C12" s="2">
        <v>614000</v>
      </c>
      <c r="D12" s="2">
        <v>1666000</v>
      </c>
      <c r="E12" s="2">
        <v>3047000</v>
      </c>
      <c r="F12" s="2">
        <v>4141000</v>
      </c>
      <c r="G12" s="2">
        <v>2796000</v>
      </c>
      <c r="H12" s="2">
        <v>4332000</v>
      </c>
      <c r="I12" s="2">
        <v>9752000</v>
      </c>
      <c r="J12" s="2">
        <v>4368000</v>
      </c>
      <c r="K12" s="2">
        <v>29760000</v>
      </c>
      <c r="L12" s="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1" t="s">
        <v>77</v>
      </c>
      <c r="B13" s="2">
        <v>477596</v>
      </c>
      <c r="C13" s="2">
        <v>612000</v>
      </c>
      <c r="D13" s="2">
        <v>685000</v>
      </c>
      <c r="E13" s="2">
        <v>270000</v>
      </c>
      <c r="F13" s="2">
        <v>459000</v>
      </c>
      <c r="G13" s="2">
        <v>1248000</v>
      </c>
      <c r="H13" s="2">
        <v>2193000</v>
      </c>
      <c r="I13" s="2">
        <v>2719000</v>
      </c>
      <c r="J13" s="2">
        <v>3480000</v>
      </c>
      <c r="K13" s="2">
        <v>2052000</v>
      </c>
      <c r="L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1" t="s">
        <v>78</v>
      </c>
      <c r="B14" s="2">
        <v>-202527</v>
      </c>
      <c r="C14" s="2">
        <v>-51000</v>
      </c>
      <c r="D14" s="2">
        <v>-679000</v>
      </c>
      <c r="E14" s="2">
        <v>185000</v>
      </c>
      <c r="F14" s="2">
        <v>-857000</v>
      </c>
      <c r="G14" s="2">
        <v>717000</v>
      </c>
      <c r="H14" s="2">
        <v>-703000</v>
      </c>
      <c r="I14" s="2">
        <v>-3363000</v>
      </c>
      <c r="J14" s="2">
        <v>-2207000</v>
      </c>
      <c r="K14" s="2">
        <v>-3722000</v>
      </c>
      <c r="L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1" t="s">
        <v>79</v>
      </c>
      <c r="B15" s="2">
        <v>905656</v>
      </c>
      <c r="C15" s="2">
        <v>1175000</v>
      </c>
      <c r="D15" s="2">
        <v>1672000</v>
      </c>
      <c r="E15" s="2">
        <v>3502000</v>
      </c>
      <c r="F15" s="2">
        <v>3743000</v>
      </c>
      <c r="G15" s="2">
        <v>4761000</v>
      </c>
      <c r="H15" s="2">
        <v>5822000</v>
      </c>
      <c r="I15" s="2">
        <v>9108000</v>
      </c>
      <c r="J15" s="2">
        <v>5641000</v>
      </c>
      <c r="K15" s="2">
        <v>28090000</v>
      </c>
      <c r="L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1" t="s">
        <v>80</v>
      </c>
      <c r="B16" s="2">
        <v>-122381</v>
      </c>
      <c r="C16" s="2">
        <v>-86000</v>
      </c>
      <c r="D16" s="2">
        <v>-176000</v>
      </c>
      <c r="E16" s="2">
        <v>-593000</v>
      </c>
      <c r="F16" s="2">
        <v>-600000</v>
      </c>
      <c r="G16" s="2">
        <v>-489000</v>
      </c>
      <c r="H16" s="2">
        <v>-1128000</v>
      </c>
      <c r="I16" s="2">
        <v>-976000</v>
      </c>
      <c r="J16" s="2">
        <v>-1833000</v>
      </c>
      <c r="K16" s="2">
        <v>-1069000</v>
      </c>
      <c r="L16" s="1"/>
      <c r="N16" s="1"/>
      <c r="O16" s="3"/>
      <c r="P16" s="3"/>
      <c r="Q16" s="3"/>
      <c r="R16" s="3"/>
      <c r="S16" s="3"/>
      <c r="T16" s="3"/>
      <c r="U16" s="2"/>
      <c r="V16" s="2"/>
      <c r="W16" s="2"/>
      <c r="X16" s="2"/>
    </row>
    <row r="17" spans="1:24">
      <c r="A17" s="1" t="s">
        <v>81</v>
      </c>
      <c r="B17" s="2">
        <v>-2861809</v>
      </c>
      <c r="C17" s="2">
        <v>-3477000</v>
      </c>
      <c r="D17" s="2">
        <v>-3134000</v>
      </c>
      <c r="E17" s="2">
        <v>-36000</v>
      </c>
      <c r="F17" s="2">
        <v>-11157000</v>
      </c>
      <c r="G17" s="2">
        <v>-1461000</v>
      </c>
      <c r="H17" s="2">
        <v>-19308000</v>
      </c>
      <c r="I17" s="2">
        <v>-24787000</v>
      </c>
      <c r="J17" s="2">
        <v>-11897000</v>
      </c>
      <c r="K17" s="2">
        <v>-18211000</v>
      </c>
      <c r="L17" s="1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1" t="s">
        <v>82</v>
      </c>
      <c r="B18" s="2">
        <v>2236780</v>
      </c>
      <c r="C18" s="2">
        <v>3138000</v>
      </c>
      <c r="D18" s="2">
        <v>2515000</v>
      </c>
      <c r="E18" s="2">
        <v>1941000</v>
      </c>
      <c r="F18" s="2">
        <v>7660000</v>
      </c>
      <c r="G18" s="2">
        <v>8109000</v>
      </c>
      <c r="H18" s="2">
        <v>9319000</v>
      </c>
      <c r="I18" s="2">
        <v>16220000</v>
      </c>
      <c r="J18" s="2">
        <v>21231000</v>
      </c>
      <c r="K18" s="2">
        <v>9782000</v>
      </c>
      <c r="L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1" t="s">
        <v>83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2">
        <v>-8524000</v>
      </c>
      <c r="I19" s="2">
        <v>-263000</v>
      </c>
      <c r="J19" s="2">
        <v>-49000</v>
      </c>
      <c r="K19" s="2">
        <v>-83000</v>
      </c>
      <c r="L19" s="1"/>
      <c r="N19" s="1"/>
      <c r="O19" s="2"/>
      <c r="P19" s="2"/>
      <c r="Q19" s="2"/>
      <c r="R19" s="2"/>
      <c r="S19" s="2"/>
      <c r="T19" s="3"/>
      <c r="U19" s="2"/>
      <c r="V19" s="2"/>
      <c r="W19" s="3"/>
      <c r="X19" s="2"/>
    </row>
    <row r="20" spans="1:24">
      <c r="A20" s="1" t="s">
        <v>84</v>
      </c>
      <c r="B20" s="2">
        <v>20362</v>
      </c>
      <c r="C20" s="2">
        <v>25000</v>
      </c>
      <c r="D20" s="2">
        <v>2000</v>
      </c>
      <c r="E20" s="2">
        <v>-34000</v>
      </c>
      <c r="F20" s="2">
        <v>0</v>
      </c>
      <c r="G20" s="2">
        <v>-14000</v>
      </c>
      <c r="H20" s="2">
        <v>-34000</v>
      </c>
      <c r="I20" s="2">
        <v>-24000</v>
      </c>
      <c r="J20" s="2">
        <v>-77000</v>
      </c>
      <c r="K20" s="2">
        <v>-985000</v>
      </c>
      <c r="L20" s="1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1" t="s">
        <v>85</v>
      </c>
      <c r="B21" s="2">
        <v>-727048</v>
      </c>
      <c r="C21" s="2">
        <v>-400000</v>
      </c>
      <c r="D21" s="2">
        <v>-793000</v>
      </c>
      <c r="E21" s="2">
        <v>1278000</v>
      </c>
      <c r="F21" s="2">
        <v>-4097000</v>
      </c>
      <c r="G21" s="2">
        <v>6145000</v>
      </c>
      <c r="H21" s="2">
        <v>-19675000</v>
      </c>
      <c r="I21" s="2">
        <v>-9830000</v>
      </c>
      <c r="J21" s="2">
        <v>7375000</v>
      </c>
      <c r="K21" s="2">
        <v>-10566000</v>
      </c>
      <c r="L21" s="1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1" t="s">
        <v>86</v>
      </c>
      <c r="B22" s="2">
        <v>-2917</v>
      </c>
      <c r="C22" s="2">
        <v>-3000</v>
      </c>
      <c r="D22" s="2">
        <v>1315000</v>
      </c>
      <c r="E22" s="2">
        <v>-812000</v>
      </c>
      <c r="F22" s="2">
        <v>-16000</v>
      </c>
      <c r="G22" s="3">
        <v>0</v>
      </c>
      <c r="H22" s="2">
        <v>4968000</v>
      </c>
      <c r="I22" s="2">
        <v>3977000</v>
      </c>
      <c r="J22" s="3">
        <v>0</v>
      </c>
      <c r="K22" s="2">
        <v>-1250000</v>
      </c>
      <c r="L22" s="1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1" t="s">
        <v>87</v>
      </c>
      <c r="B23" s="2">
        <v>-813600</v>
      </c>
      <c r="C23" s="2">
        <v>-587000</v>
      </c>
      <c r="D23" s="2">
        <v>-739000</v>
      </c>
      <c r="E23" s="2">
        <v>-909000</v>
      </c>
      <c r="F23" s="2">
        <v>-1442000</v>
      </c>
      <c r="G23" s="2">
        <v>149000</v>
      </c>
      <c r="H23" s="2">
        <v>194000</v>
      </c>
      <c r="I23" s="2">
        <v>281000</v>
      </c>
      <c r="J23" s="2">
        <v>-9684000</v>
      </c>
      <c r="K23" s="2">
        <v>-9130000</v>
      </c>
      <c r="L23" s="1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1" t="s">
        <v>88</v>
      </c>
      <c r="B24" s="2">
        <v>-186452</v>
      </c>
      <c r="C24" s="2">
        <v>-213000</v>
      </c>
      <c r="D24" s="2">
        <v>-261000</v>
      </c>
      <c r="E24" s="2">
        <v>-341000</v>
      </c>
      <c r="F24" s="2">
        <v>-371000</v>
      </c>
      <c r="G24" s="2">
        <v>-390000</v>
      </c>
      <c r="H24" s="2">
        <v>-395000</v>
      </c>
      <c r="I24" s="2">
        <v>-399000</v>
      </c>
      <c r="J24" s="2">
        <v>-398000</v>
      </c>
      <c r="K24" s="2">
        <v>-395000</v>
      </c>
      <c r="L24" s="1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1" t="s">
        <v>89</v>
      </c>
      <c r="B25" s="2">
        <v>169428</v>
      </c>
      <c r="C25" s="2">
        <v>127000</v>
      </c>
      <c r="D25" s="2">
        <v>-24000</v>
      </c>
      <c r="E25" s="2">
        <v>-482000</v>
      </c>
      <c r="F25" s="2">
        <v>-1037000</v>
      </c>
      <c r="G25" s="2">
        <v>-551000</v>
      </c>
      <c r="H25" s="2">
        <v>-963000</v>
      </c>
      <c r="I25" s="2">
        <v>-1994000</v>
      </c>
      <c r="J25" s="2">
        <v>-1535000</v>
      </c>
      <c r="K25" s="2">
        <v>-2858000</v>
      </c>
      <c r="L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1" t="s">
        <v>90</v>
      </c>
      <c r="B26" s="2">
        <v>-833541</v>
      </c>
      <c r="C26" s="2">
        <v>-676000</v>
      </c>
      <c r="D26" s="2">
        <v>291000</v>
      </c>
      <c r="E26" s="2">
        <v>-2544000</v>
      </c>
      <c r="F26" s="2">
        <v>-2866000</v>
      </c>
      <c r="G26" s="2">
        <v>-792000</v>
      </c>
      <c r="H26" s="2">
        <v>3804000</v>
      </c>
      <c r="I26" s="2">
        <v>1865000</v>
      </c>
      <c r="J26" s="2">
        <v>-11617000</v>
      </c>
      <c r="K26" s="2">
        <v>-13633000</v>
      </c>
      <c r="L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1" t="s">
        <v>91</v>
      </c>
      <c r="B27" s="2">
        <v>-654933</v>
      </c>
      <c r="C27" s="2">
        <v>99000</v>
      </c>
      <c r="D27" s="2">
        <v>1170000</v>
      </c>
      <c r="E27" s="2">
        <v>2236000</v>
      </c>
      <c r="F27" s="2">
        <v>-3220000</v>
      </c>
      <c r="G27" s="2">
        <v>10114000</v>
      </c>
      <c r="H27" s="2">
        <v>-10049000</v>
      </c>
      <c r="I27" s="2">
        <v>1143000</v>
      </c>
      <c r="J27" s="2">
        <v>1399000</v>
      </c>
      <c r="K27" s="2">
        <v>3891000</v>
      </c>
      <c r="L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1" t="s">
        <v>92</v>
      </c>
      <c r="B28" s="2">
        <v>1151587</v>
      </c>
      <c r="C28" s="2">
        <v>497000</v>
      </c>
      <c r="D28" s="2">
        <v>596000</v>
      </c>
      <c r="E28" s="2">
        <v>1766000</v>
      </c>
      <c r="F28" s="2">
        <v>4002000</v>
      </c>
      <c r="G28" s="2">
        <v>782000</v>
      </c>
      <c r="H28" s="2">
        <v>10896000</v>
      </c>
      <c r="I28" s="2">
        <v>847000</v>
      </c>
      <c r="J28" s="2">
        <v>1990000</v>
      </c>
      <c r="K28" s="2">
        <v>3389000</v>
      </c>
      <c r="L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1" t="s">
        <v>93</v>
      </c>
      <c r="B29" s="2">
        <v>496654</v>
      </c>
      <c r="C29" s="2">
        <v>596000</v>
      </c>
      <c r="D29" s="2">
        <v>1766000</v>
      </c>
      <c r="E29" s="2">
        <v>4002000</v>
      </c>
      <c r="F29" s="2">
        <v>782000</v>
      </c>
      <c r="G29" s="2">
        <v>10896000</v>
      </c>
      <c r="H29" s="2">
        <v>847000</v>
      </c>
      <c r="I29" s="2">
        <v>1990000</v>
      </c>
      <c r="J29" s="2">
        <v>3389000</v>
      </c>
      <c r="K29" s="2">
        <v>7280000</v>
      </c>
      <c r="L29" s="1"/>
    </row>
    <row r="30" spans="1:24">
      <c r="A30" s="1" t="s">
        <v>94</v>
      </c>
      <c r="B30" s="2">
        <v>248092</v>
      </c>
      <c r="C30" s="2">
        <v>226000</v>
      </c>
      <c r="D30" s="2">
        <v>212000</v>
      </c>
      <c r="E30" s="2">
        <v>202000</v>
      </c>
      <c r="F30" s="2">
        <v>262000</v>
      </c>
      <c r="G30" s="2">
        <v>381000</v>
      </c>
      <c r="H30" s="2">
        <v>1098000</v>
      </c>
      <c r="I30" s="2">
        <v>1174000</v>
      </c>
      <c r="J30" s="2">
        <v>1544000</v>
      </c>
      <c r="K30" s="2">
        <v>1508000</v>
      </c>
      <c r="L30" s="1"/>
    </row>
    <row r="31" spans="1:24">
      <c r="A31" s="1" t="s">
        <v>95</v>
      </c>
      <c r="B31" s="2">
        <v>-122381</v>
      </c>
      <c r="C31" s="2">
        <v>-86000</v>
      </c>
      <c r="D31" s="2">
        <v>-176000</v>
      </c>
      <c r="E31" s="2">
        <v>-593000</v>
      </c>
      <c r="F31" s="2">
        <v>-600000</v>
      </c>
      <c r="G31" s="2">
        <v>-489000</v>
      </c>
      <c r="H31" s="2">
        <v>-1128000</v>
      </c>
      <c r="I31" s="2">
        <v>-976000</v>
      </c>
      <c r="J31" s="2">
        <v>-1833000</v>
      </c>
      <c r="K31" s="2">
        <v>-1069000</v>
      </c>
      <c r="L31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E1F8-D52E-4B0D-8CCA-779018CFEF5D}">
  <dimension ref="A1:K61"/>
  <sheetViews>
    <sheetView tabSelected="1" topLeftCell="J15" workbookViewId="0">
      <selection activeCell="L24" sqref="L24"/>
    </sheetView>
  </sheetViews>
  <sheetFormatPr defaultRowHeight="15"/>
  <cols>
    <col min="1" max="1" width="26.28515625" bestFit="1" customWidth="1"/>
    <col min="2" max="6" width="12" bestFit="1" customWidth="1"/>
    <col min="7" max="7" width="12.7109375" bestFit="1" customWidth="1"/>
    <col min="8" max="11" width="12" bestFit="1" customWidth="1"/>
  </cols>
  <sheetData>
    <row r="1" spans="1:11">
      <c r="A1" s="4" t="s">
        <v>49</v>
      </c>
      <c r="B1" s="27">
        <v>2015</v>
      </c>
      <c r="C1" s="27">
        <v>2016</v>
      </c>
      <c r="D1" s="27">
        <v>2017</v>
      </c>
      <c r="E1" s="27">
        <v>2018</v>
      </c>
      <c r="F1" s="27">
        <v>2019</v>
      </c>
      <c r="G1" s="27">
        <v>2020</v>
      </c>
      <c r="H1" s="27">
        <v>2021</v>
      </c>
      <c r="I1" s="27">
        <v>2022</v>
      </c>
      <c r="J1" s="27">
        <v>2023</v>
      </c>
      <c r="K1" s="27">
        <v>2024</v>
      </c>
    </row>
    <row r="2" spans="1:11">
      <c r="A2" s="9" t="s">
        <v>96</v>
      </c>
      <c r="B2">
        <f>'INCOME STATEMENT'!B17/'INCOME STATEMENT'!B17</f>
        <v>1</v>
      </c>
      <c r="C2">
        <f>('INCOME STATEMENT'!C17-'INCOME STATEMENT'!B17)/'INCOME STATEMENT'!B17</f>
        <v>7.0168217200145169E-2</v>
      </c>
      <c r="D2">
        <f>('INCOME STATEMENT'!D17-'INCOME STATEMENT'!C17)/'INCOME STATEMENT'!C17</f>
        <v>0.37924151696606784</v>
      </c>
      <c r="E2">
        <f>('INCOME STATEMENT'!E17-'INCOME STATEMENT'!D17)/'INCOME STATEMENT'!D17</f>
        <v>0.4057887120115774</v>
      </c>
      <c r="F2">
        <f>('INCOME STATEMENT'!F17-'INCOME STATEMENT'!E17)/'INCOME STATEMENT'!E17</f>
        <v>0.20609429689108502</v>
      </c>
      <c r="G2">
        <f>('INCOME STATEMENT'!G17-'INCOME STATEMENT'!F17)/'INCOME STATEMENT'!F17</f>
        <v>-6.8111983612154314E-2</v>
      </c>
      <c r="H2">
        <f>('INCOME STATEMENT'!H17-'INCOME STATEMENT'!G17)/'INCOME STATEMENT'!G17</f>
        <v>0.52729437625938813</v>
      </c>
      <c r="I2">
        <f>('INCOME STATEMENT'!I17-'INCOME STATEMENT'!H17)/'INCOME STATEMENT'!H17</f>
        <v>0.61403298350824587</v>
      </c>
      <c r="J2">
        <f>('INCOME STATEMENT'!J17-'INCOME STATEMENT'!I17)/'INCOME STATEMENT'!I17</f>
        <v>2.2293230289068887E-3</v>
      </c>
      <c r="K2">
        <f>('INCOME STATEMENT'!K17-'INCOME STATEMENT'!J17)/'INCOME STATEMENT'!J17</f>
        <v>1.2585452658115222</v>
      </c>
    </row>
    <row r="3" spans="1:11">
      <c r="A3" s="16" t="s">
        <v>97</v>
      </c>
      <c r="B3">
        <f>'INCOME STATEMENT'!B29/'INCOME STATEMENT'!B17</f>
        <v>0.13469743823943872</v>
      </c>
      <c r="C3">
        <f>'INCOME STATEMENT'!C29/'INCOME STATEMENT'!C17</f>
        <v>0.12255489021956088</v>
      </c>
      <c r="D3">
        <f>'INCOME STATEMENT'!D29/'INCOME STATEMENT'!D17</f>
        <v>0.24109985528219971</v>
      </c>
      <c r="E3">
        <f>'INCOME STATEMENT'!E29/'INCOME STATEMENT'!E17</f>
        <v>0.3136709903232448</v>
      </c>
      <c r="F3">
        <f>'INCOME STATEMENT'!F29/'INCOME STATEMENT'!F17</f>
        <v>0.35344827586206895</v>
      </c>
      <c r="G3">
        <f>'INCOME STATEMENT'!G29/'INCOME STATEMENT'!G17</f>
        <v>0.25609085913170909</v>
      </c>
      <c r="H3">
        <f>'INCOME STATEMENT'!H29/'INCOME STATEMENT'!H17</f>
        <v>0.25979010494752625</v>
      </c>
      <c r="I3">
        <f>'INCOME STATEMENT'!I29/'INCOME STATEMENT'!I17</f>
        <v>0.36233930296499961</v>
      </c>
      <c r="J3">
        <f>'INCOME STATEMENT'!J29/'INCOME STATEMENT'!J17</f>
        <v>0.16193371394676356</v>
      </c>
      <c r="K3">
        <f>'INCOME STATEMENT'!K29/'INCOME STATEMENT'!K17</f>
        <v>0.4884934834706674</v>
      </c>
    </row>
    <row r="4" spans="1:11">
      <c r="A4" s="16" t="s">
        <v>98</v>
      </c>
      <c r="B4">
        <f>'INCOME STATEMENT'!B19/'INCOME STATEMENT'!B17</f>
        <v>0.55526500334187257</v>
      </c>
      <c r="C4">
        <f>'INCOME STATEMENT'!C19/'INCOME STATEMENT'!C17</f>
        <v>0.56107784431137719</v>
      </c>
      <c r="D4">
        <f>'INCOME STATEMENT'!D19/'INCOME STATEMENT'!D17</f>
        <v>0.58798842257597683</v>
      </c>
      <c r="E4">
        <f>'INCOME STATEMENT'!E19/'INCOME STATEMENT'!E17</f>
        <v>0.59934115709285563</v>
      </c>
      <c r="F4">
        <f>'INCOME STATEMENT'!F19/'INCOME STATEMENT'!F17</f>
        <v>0.61206896551724133</v>
      </c>
      <c r="G4">
        <f>'INCOME STATEMENT'!G19/'INCOME STATEMENT'!G17</f>
        <v>0.61989375343469499</v>
      </c>
      <c r="H4">
        <f>'INCOME STATEMENT'!H19/'INCOME STATEMENT'!H17</f>
        <v>0.62344827586206897</v>
      </c>
      <c r="I4">
        <f>'INCOME STATEMENT'!I19/'INCOME STATEMENT'!I17</f>
        <v>0.64929033216913135</v>
      </c>
      <c r="J4">
        <f>'INCOME STATEMENT'!J19/'INCOME STATEMENT'!J17</f>
        <v>0.56928894490991322</v>
      </c>
      <c r="K4">
        <f>'INCOME STATEMENT'!K19/'INCOME STATEMENT'!K17</f>
        <v>0.72717573290436954</v>
      </c>
    </row>
    <row r="5" spans="1:11">
      <c r="A5" s="16" t="s">
        <v>62</v>
      </c>
      <c r="B5">
        <f>'INCOME STATEMENT'!B23/'INCOME STATEMENT'!B17</f>
        <v>0.16212493113862694</v>
      </c>
      <c r="C5">
        <f>'INCOME STATEMENT'!C23/'INCOME STATEMENT'!C17</f>
        <v>0.14910179640718563</v>
      </c>
      <c r="D5">
        <f>'INCOME STATEMENT'!D23/'INCOME STATEMENT'!D17</f>
        <v>0.27988422575976846</v>
      </c>
      <c r="E5">
        <f>'INCOME STATEMENT'!E23/'INCOME STATEMENT'!E17</f>
        <v>0.33045089561457691</v>
      </c>
      <c r="F5">
        <f>'INCOME STATEMENT'!F23/'INCOME STATEMENT'!F17</f>
        <v>0.32468419255718678</v>
      </c>
      <c r="G5">
        <f>'INCOME STATEMENT'!G23/'INCOME STATEMENT'!G17</f>
        <v>0.2606704524638212</v>
      </c>
      <c r="H5">
        <f>'INCOME STATEMENT'!H23/'INCOME STATEMENT'!H17</f>
        <v>0.27178410794602698</v>
      </c>
      <c r="I5">
        <f>'INCOME STATEMENT'!I23/'INCOME STATEMENT'!I17</f>
        <v>0.37307720888756779</v>
      </c>
      <c r="J5">
        <f>'INCOME STATEMENT'!J23/'INCOME STATEMENT'!J17</f>
        <v>0.1565952398606065</v>
      </c>
      <c r="K5">
        <f>'INCOME STATEMENT'!K23/'INCOME STATEMENT'!K17</f>
        <v>0.54121663766783756</v>
      </c>
    </row>
    <row r="6" spans="1:11">
      <c r="A6" s="16" t="s">
        <v>99</v>
      </c>
      <c r="B6">
        <f>'INCOME STATEMENT'!B29/'BALANCE SHEET '!B23</f>
        <v>8.7564890448592544E-2</v>
      </c>
      <c r="C6">
        <f>'INCOME STATEMENT'!C29/'BALANCE SHEET '!C23</f>
        <v>8.3310719131614655E-2</v>
      </c>
      <c r="D6">
        <f>'INCOME STATEMENT'!D29/'BALANCE SHEET '!D23</f>
        <v>0.16929173864444672</v>
      </c>
      <c r="E6">
        <f>'INCOME STATEMENT'!E29/'BALANCE SHEET '!E23</f>
        <v>0.27106129347922781</v>
      </c>
      <c r="F6">
        <f>'INCOME STATEMENT'!F29/'BALANCE SHEET '!F23</f>
        <v>0.31154077640686129</v>
      </c>
      <c r="G6">
        <f>'INCOME STATEMENT'!G29/'BALANCE SHEET '!G23</f>
        <v>0.16147848686110308</v>
      </c>
      <c r="H6">
        <f>'INCOME STATEMENT'!H29/'BALANCE SHEET '!H23</f>
        <v>0.15046368656871939</v>
      </c>
      <c r="I6">
        <f>'INCOME STATEMENT'!I29/'BALANCE SHEET '!I23</f>
        <v>0.22069839545567702</v>
      </c>
      <c r="J6">
        <f>'INCOME STATEMENT'!J29/'BALANCE SHEET '!J23</f>
        <v>0.10606575688407557</v>
      </c>
      <c r="K6">
        <f>'INCOME STATEMENT'!K29/'BALANCE SHEET '!K23</f>
        <v>0.45277507302823761</v>
      </c>
    </row>
    <row r="7" spans="1:11">
      <c r="A7" s="16" t="s">
        <v>100</v>
      </c>
      <c r="B7">
        <f>'INCOME STATEMENT'!B29/'BALANCE SHEET '!B39</f>
        <v>0.14273190791632923</v>
      </c>
      <c r="C7">
        <f>'INCOME STATEMENT'!C29/'BALANCE SHEET '!C39</f>
        <v>0.13476733977172958</v>
      </c>
      <c r="D7">
        <f>'INCOME STATEMENT'!D29/'BALANCE SHEET '!D39</f>
        <v>0.28758846884170552</v>
      </c>
      <c r="E7">
        <f>'INCOME STATEMENT'!E29/'BALANCE SHEET '!E39</f>
        <v>0.40784366216035339</v>
      </c>
      <c r="F7">
        <f>'INCOME STATEMENT'!F29/'BALANCE SHEET '!F39</f>
        <v>0.44326696638835367</v>
      </c>
      <c r="G7">
        <f>'INCOME STATEMENT'!G29/'BALANCE SHEET '!G39</f>
        <v>0.22910521140609635</v>
      </c>
      <c r="H7">
        <f>'INCOME STATEMENT'!H29/'BALANCE SHEET '!H39</f>
        <v>0.25643757769490322</v>
      </c>
      <c r="I7">
        <f>'INCOME STATEMENT'!I29/'BALANCE SHEET '!I39</f>
        <v>0.36645122501127309</v>
      </c>
      <c r="J7">
        <f>'INCOME STATEMENT'!J29/'BALANCE SHEET '!J39</f>
        <v>0.19763811592235644</v>
      </c>
      <c r="K7">
        <f>'INCOME STATEMENT'!K29/'BALANCE SHEET '!K39</f>
        <v>0.69244729861789756</v>
      </c>
    </row>
    <row r="8" spans="1:11">
      <c r="A8" s="11" t="s">
        <v>101</v>
      </c>
    </row>
    <row r="9" spans="1:11">
      <c r="A9" s="16" t="s">
        <v>102</v>
      </c>
      <c r="B9">
        <f>'BALANCE SHEET '!B17/'BALANCE SHEET '!B29</f>
        <v>6.3762340546633487</v>
      </c>
      <c r="C9">
        <f>'BALANCE SHEET '!C17/'BALANCE SHEET '!C29</f>
        <v>2.5746490854955337</v>
      </c>
      <c r="D9">
        <f>'BALANCE SHEET '!D17/'BALANCE SHEET '!D29</f>
        <v>4.7740492170022373</v>
      </c>
      <c r="E9">
        <f>'BALANCE SHEET '!E17/'BALANCE SHEET '!E29</f>
        <v>8.0268863833477884</v>
      </c>
      <c r="F9">
        <f>'BALANCE SHEET '!F17/'BALANCE SHEET '!F29</f>
        <v>7.9435665914221216</v>
      </c>
      <c r="G9">
        <f>'BALANCE SHEET '!G17/'BALANCE SHEET '!G29</f>
        <v>7.6737668161434973</v>
      </c>
      <c r="H9">
        <f>'BALANCE SHEET '!H17/'BALANCE SHEET '!H29</f>
        <v>4.0904458598726112</v>
      </c>
      <c r="I9">
        <f>'BALANCE SHEET '!I17/'BALANCE SHEET '!I29</f>
        <v>6.6502883506343711</v>
      </c>
      <c r="J9">
        <f>'BALANCE SHEET '!J17/'BALANCE SHEET '!J29</f>
        <v>3.5156178576870332</v>
      </c>
      <c r="K9">
        <f>'BALANCE SHEET '!K17/'BALANCE SHEET '!K29</f>
        <v>4.1712915059730973</v>
      </c>
    </row>
    <row r="10" spans="1:11">
      <c r="A10" s="16" t="s">
        <v>103</v>
      </c>
      <c r="B10">
        <f>('BALANCE SHEET '!B11+'BALANCE SHEET '!B12+'BALANCE SHEET '!B14)/'BALANCE SHEET '!B29</f>
        <v>5.6883988259321674</v>
      </c>
      <c r="C10">
        <f>('BALANCE SHEET '!C11+'BALANCE SHEET '!C12+'BALANCE SHEET '!C14)/'BALANCE SHEET '!C29</f>
        <v>2.3572947681837517</v>
      </c>
      <c r="D10">
        <f>('BALANCE SHEET '!D11+'BALANCE SHEET '!D12+'BALANCE SHEET '!D14)/'BALANCE SHEET '!D29</f>
        <v>4.2639821029082778</v>
      </c>
      <c r="E10">
        <f>('BALANCE SHEET '!E11+'BALANCE SHEET '!E12+'BALANCE SHEET '!E14)/'BALANCE SHEET '!E29</f>
        <v>7.2619254119687771</v>
      </c>
      <c r="F10">
        <f>('BALANCE SHEET '!F11+'BALANCE SHEET '!F12+'BALANCE SHEET '!F14)/'BALANCE SHEET '!F29</f>
        <v>6.6561324303987961</v>
      </c>
      <c r="G10">
        <f>('BALANCE SHEET '!G11+'BALANCE SHEET '!G12+'BALANCE SHEET '!G14)/'BALANCE SHEET '!G29</f>
        <v>7.0369955156950672</v>
      </c>
      <c r="H10">
        <f>('BALANCE SHEET '!H11+'BALANCE SHEET '!H12+'BALANCE SHEET '!H14)/'BALANCE SHEET '!H29</f>
        <v>3.5643312101910829</v>
      </c>
      <c r="I10">
        <f>('BALANCE SHEET '!I11+'BALANCE SHEET '!I12+'BALANCE SHEET '!I14)/'BALANCE SHEET '!I29</f>
        <v>5.9649365628604381</v>
      </c>
      <c r="J10">
        <f>('BALANCE SHEET '!J11+'BALANCE SHEET '!J12+'BALANCE SHEET '!J14)/'BALANCE SHEET '!J29</f>
        <v>2.6090202651226573</v>
      </c>
      <c r="K10">
        <f>('BALANCE SHEET '!K11+'BALANCE SHEET '!K12+'BALANCE SHEET '!K14)/'BALANCE SHEET '!K29</f>
        <v>3.3847239206095381</v>
      </c>
    </row>
    <row r="11" spans="1:11">
      <c r="A11" s="16" t="s">
        <v>104</v>
      </c>
      <c r="B11">
        <f>'BALANCE SHEET '!B11/'BALANCE SHEET '!B33</f>
        <v>0.17843518649587228</v>
      </c>
      <c r="C11">
        <f>'BALANCE SHEET '!C11/'BALANCE SHEET '!C33</f>
        <v>0.21179815209665956</v>
      </c>
      <c r="D11">
        <f>'BALANCE SHEET '!D11/'BALANCE SHEET '!D33</f>
        <v>0.43626482213438733</v>
      </c>
      <c r="E11">
        <f>'BALANCE SHEET '!E11/'BALANCE SHEET '!E33</f>
        <v>1.0615384615384615</v>
      </c>
      <c r="F11">
        <f>'BALANCE SHEET '!F11/'BALANCE SHEET '!F33</f>
        <v>0.19797468354430381</v>
      </c>
      <c r="G11">
        <f>'BALANCE SHEET '!G11/'BALANCE SHEET '!G33</f>
        <v>2.1318724320093914</v>
      </c>
      <c r="H11">
        <f>'BALANCE SHEET '!H11/'BALANCE SHEET '!H33</f>
        <v>7.118843503109766E-2</v>
      </c>
      <c r="I11">
        <f>'BALANCE SHEET '!I11/'BALANCE SHEET '!I33</f>
        <v>0.11322901849217638</v>
      </c>
      <c r="J11">
        <f>'BALANCE SHEET '!J11/'BALANCE SHEET '!J33</f>
        <v>0.17761123630836959</v>
      </c>
      <c r="K11">
        <f>'BALANCE SHEET '!K11/'BALANCE SHEET '!K33</f>
        <v>0.32</v>
      </c>
    </row>
    <row r="12" spans="1:11" ht="15.75">
      <c r="A12" s="14" t="s">
        <v>105</v>
      </c>
    </row>
    <row r="13" spans="1:11">
      <c r="A13" s="16" t="s">
        <v>106</v>
      </c>
      <c r="B13">
        <f>'BALANCE SHEET '!B33/'BALANCE SHEET '!B39</f>
        <v>0.63001297877628293</v>
      </c>
      <c r="C13">
        <f>'BALANCE SHEET '!C33/'BALANCE SHEET '!C39</f>
        <v>0.61764705882352944</v>
      </c>
      <c r="D13">
        <f>'BALANCE SHEET '!D33/'BALANCE SHEET '!D39</f>
        <v>0.69877438287588467</v>
      </c>
      <c r="E13">
        <f>'BALANCE SHEET '!E33/'BALANCE SHEET '!E39</f>
        <v>0.50461785570874051</v>
      </c>
      <c r="F13">
        <f>'BALANCE SHEET '!F33/'BALANCE SHEET '!F39</f>
        <v>0.42282166559623208</v>
      </c>
      <c r="G13">
        <f>'BALANCE SHEET '!G33/'BALANCE SHEET '!G39</f>
        <v>0.41879711569977057</v>
      </c>
      <c r="H13">
        <f>'BALANCE SHEET '!H33/'BALANCE SHEET '!H39</f>
        <v>0.7043153969099627</v>
      </c>
      <c r="I13">
        <f>'BALANCE SHEET '!I33/'BALANCE SHEET '!I39</f>
        <v>0.66041635352472572</v>
      </c>
      <c r="J13">
        <f>'BALANCE SHEET '!J33/'BALANCE SHEET '!J39</f>
        <v>0.8633545993393964</v>
      </c>
      <c r="K13">
        <f>'BALANCE SHEET '!K33/'BALANCE SHEET '!K39</f>
        <v>0.52934059286146395</v>
      </c>
    </row>
    <row r="14" spans="1:11">
      <c r="A14" s="16" t="s">
        <v>107</v>
      </c>
      <c r="B14">
        <f>'BALANCE SHEET '!B33/'BALANCE SHEET '!B23</f>
        <v>0.38650795237793706</v>
      </c>
      <c r="C14">
        <f>'BALANCE SHEET '!C33/'BALANCE SHEET '!C23</f>
        <v>0.38181818181818183</v>
      </c>
      <c r="D14">
        <f>'BALANCE SHEET '!D33/'BALANCE SHEET '!D23</f>
        <v>0.41134031094400975</v>
      </c>
      <c r="E14">
        <f>'BALANCE SHEET '!E33/'BALANCE SHEET '!E23</f>
        <v>0.33537941464282539</v>
      </c>
      <c r="F14">
        <f>'BALANCE SHEET '!F33/'BALANCE SHEET '!F23</f>
        <v>0.29717123081552815</v>
      </c>
      <c r="G14">
        <f>'BALANCE SHEET '!G33/'BALANCE SHEET '!G23</f>
        <v>0.29517759168351143</v>
      </c>
      <c r="H14">
        <f>'BALANCE SHEET '!H33/'BALANCE SHEET '!H23</f>
        <v>0.41325414191934978</v>
      </c>
      <c r="I14">
        <f>'BALANCE SHEET '!I33/'BALANCE SHEET '!I23</f>
        <v>0.39774141715889288</v>
      </c>
      <c r="J14">
        <f>'BALANCE SHEET '!J33/'BALANCE SHEET '!J23</f>
        <v>0.46333349521635664</v>
      </c>
      <c r="K14">
        <f>'BALANCE SHEET '!K33/'BALANCE SHEET '!K23</f>
        <v>0.346123417721519</v>
      </c>
    </row>
    <row r="15" spans="1:11" ht="15.75">
      <c r="A15" s="14"/>
    </row>
    <row r="16" spans="1:11">
      <c r="A16" s="16"/>
    </row>
    <row r="17" spans="1:11" ht="25.5">
      <c r="A17" s="98" t="s">
        <v>53</v>
      </c>
      <c r="B17" s="5"/>
      <c r="C17" s="69">
        <f>'INCOME STATEMENT'!C12</f>
        <v>7.0168217200145169E-2</v>
      </c>
      <c r="D17" s="69">
        <f>'INCOME STATEMENT'!D12</f>
        <v>0.37924151696606784</v>
      </c>
      <c r="E17" s="69">
        <f>'INCOME STATEMENT'!E12</f>
        <v>0.4057887120115774</v>
      </c>
      <c r="F17" s="69">
        <f>'INCOME STATEMENT'!F12</f>
        <v>0.20609429689108502</v>
      </c>
      <c r="G17" s="69">
        <f>'INCOME STATEMENT'!G12</f>
        <v>-6.8111983612154314E-2</v>
      </c>
      <c r="H17" s="69">
        <f>'INCOME STATEMENT'!H12</f>
        <v>0.52729437625938813</v>
      </c>
      <c r="I17" s="69">
        <f>'INCOME STATEMENT'!I12</f>
        <v>0.61403298350824587</v>
      </c>
      <c r="J17" s="69">
        <f>'INCOME STATEMENT'!J12</f>
        <v>2.2293230289068887E-3</v>
      </c>
      <c r="K17" s="69">
        <f>'INCOME STATEMENT'!K12</f>
        <v>1.2585452658115222</v>
      </c>
    </row>
    <row r="18" spans="1:11">
      <c r="A18" s="17" t="s">
        <v>234</v>
      </c>
      <c r="C18" s="71">
        <f>'INCOME STATEMENT'!C53</f>
        <v>-6.2701687013011946E-3</v>
      </c>
      <c r="D18" s="71">
        <f>'INCOME STATEMENT'!D53</f>
        <v>3.1010396459816642E-2</v>
      </c>
      <c r="E18" s="71">
        <f>'INCOME STATEMENT'!E53</f>
        <v>-0.13108000062869565</v>
      </c>
      <c r="F18" s="71">
        <f>'INCOME STATEMENT'!F53</f>
        <v>-0.20805487896530428</v>
      </c>
      <c r="G18" s="71">
        <f>'INCOME STATEMENT'!G53</f>
        <v>-2.7432006201031839E-2</v>
      </c>
      <c r="H18" s="71">
        <f>'INCOME STATEMENT'!H53</f>
        <v>-8.5332009692257627E-2</v>
      </c>
      <c r="I18" s="71">
        <f>'INCOME STATEMENT'!I53</f>
        <v>-0.11063146665553732</v>
      </c>
      <c r="J18" s="71">
        <f>'INCOME STATEMENT'!J53</f>
        <v>-2.0959005155198496E-2</v>
      </c>
      <c r="K18" s="71">
        <f>'INCOME STATEMENT'!K53</f>
        <v>0.12834378072294292</v>
      </c>
    </row>
    <row r="19" spans="1:11">
      <c r="A19" s="17" t="s">
        <v>235</v>
      </c>
    </row>
    <row r="20" spans="1:11">
      <c r="A20" s="16" t="s">
        <v>221</v>
      </c>
      <c r="B20" s="104">
        <f>'INCOME STATEMENT'!B23/'BALANCE SHEET '!B23</f>
        <v>0.1053951138172636</v>
      </c>
      <c r="C20" s="104">
        <f>'INCOME STATEMENT'!C23/'BALANCE SHEET '!C23</f>
        <v>0.10135685210312076</v>
      </c>
      <c r="D20" s="104">
        <f>'INCOME STATEMENT'!D23/'BALANCE SHEET '!D23</f>
        <v>0.19652474342038412</v>
      </c>
      <c r="E20" s="104">
        <f>'INCOME STATEMENT'!E23/'BALANCE SHEET '!E23</f>
        <v>0.28556178275954097</v>
      </c>
      <c r="F20" s="104">
        <f>'INCOME STATEMENT'!F23/'BALANCE SHEET '!F23</f>
        <v>0.2861871802588023</v>
      </c>
      <c r="G20" s="104">
        <f>'INCOME STATEMENT'!G23/'BALANCE SHEET '!G23</f>
        <v>0.16436615651169506</v>
      </c>
      <c r="H20" s="104">
        <f>'INCOME STATEMENT'!H23/'BALANCE SHEET '!H23</f>
        <v>0.15741030183043311</v>
      </c>
      <c r="I20" s="104">
        <f>'INCOME STATEMENT'!I23/'BALANCE SHEET '!I23</f>
        <v>0.22723878063683889</v>
      </c>
      <c r="J20" s="104">
        <f>'INCOME STATEMENT'!J23/'BALANCE SHEET '!J23</f>
        <v>0.10256908358020494</v>
      </c>
      <c r="K20" s="104">
        <f>'INCOME STATEMENT'!K23/'BALANCE SHEET '!K23</f>
        <v>0.50164313534566696</v>
      </c>
    </row>
    <row r="21" spans="1:11">
      <c r="A21" s="16" t="s">
        <v>236</v>
      </c>
      <c r="B21" s="104">
        <f>(AMD!B90+INTEL!B91+QUALCOMM!B94)/3</f>
        <v>4.3023434423972003E-2</v>
      </c>
      <c r="C21" s="104">
        <f>(AMD!C90+INTEL!C91+QUALCOMM!C94)/3</f>
        <v>5.7258474189972104E-2</v>
      </c>
      <c r="D21" s="104">
        <f>(AMD!D90+INTEL!D91+QUALCOMM!D94)/3</f>
        <v>0.21004713252164478</v>
      </c>
      <c r="E21" s="104">
        <f>(AMD!E90+INTEL!E91+QUALCOMM!E94)/3</f>
        <v>0.16855101369676931</v>
      </c>
      <c r="F21" s="104">
        <f>(AMD!F90+INTEL!F91+QUALCOMM!F94)/3</f>
        <v>0.14502540413571982</v>
      </c>
      <c r="G21" s="104">
        <f>(AMD!G90+INTEL!G91+QUALCOMM!G94)/3</f>
        <v>0.16434233382531338</v>
      </c>
      <c r="H21" s="104">
        <f>(AMD!H90+INTEL!H91+QUALCOMM!H94)/3</f>
        <v>8.7512296308992862E-2</v>
      </c>
      <c r="I21" s="104">
        <f>(AMD!I90+INTEL!I91+QUALCOMM!I94)/3</f>
        <v>2.4476337014533434E-2</v>
      </c>
      <c r="J21" s="104">
        <f>(AMD!J90+INTEL!J91+QUALCOMM!J94)/3</f>
        <v>2.7645260507799391E-2</v>
      </c>
      <c r="K21" s="104">
        <f>(AMD!K90+INTEL!K91+QUALCOMM!K94)/3</f>
        <v>6.9472984317333411E-2</v>
      </c>
    </row>
    <row r="22" spans="1:11">
      <c r="A22" s="18" t="s">
        <v>222</v>
      </c>
      <c r="B22" s="104">
        <f>'INCOME STATEMENT'!B29/'BALANCE SHEET '!B23</f>
        <v>8.7564890448592544E-2</v>
      </c>
      <c r="C22" s="104">
        <f>'INCOME STATEMENT'!C29/'BALANCE SHEET '!C23</f>
        <v>8.3310719131614655E-2</v>
      </c>
      <c r="D22" s="104">
        <f>'INCOME STATEMENT'!D29/'BALANCE SHEET '!D23</f>
        <v>0.16929173864444672</v>
      </c>
      <c r="E22" s="104">
        <f>'INCOME STATEMENT'!E29/'BALANCE SHEET '!E23</f>
        <v>0.27106129347922781</v>
      </c>
      <c r="F22" s="104">
        <f>'INCOME STATEMENT'!F29/'BALANCE SHEET '!F23</f>
        <v>0.31154077640686129</v>
      </c>
      <c r="G22" s="104">
        <f>'INCOME STATEMENT'!G29/'BALANCE SHEET '!G23</f>
        <v>0.16147848686110308</v>
      </c>
      <c r="H22" s="104">
        <f>'INCOME STATEMENT'!H29/'BALANCE SHEET '!H23</f>
        <v>0.15046368656871939</v>
      </c>
      <c r="I22" s="104">
        <f>'INCOME STATEMENT'!I29/'BALANCE SHEET '!I23</f>
        <v>0.22069839545567702</v>
      </c>
      <c r="J22" s="104">
        <f>'INCOME STATEMENT'!J29/'BALANCE SHEET '!J23</f>
        <v>0.10606575688407557</v>
      </c>
      <c r="K22" s="104">
        <f>'INCOME STATEMENT'!K29/'BALANCE SHEET '!K23</f>
        <v>0.45277507302823761</v>
      </c>
    </row>
    <row r="23" spans="1:11">
      <c r="A23" s="16" t="s">
        <v>236</v>
      </c>
      <c r="B23" s="104">
        <f>(AMD!B91+INTEL!B92+QUALCOMM!B95)/3</f>
        <v>3.366918394378788E-2</v>
      </c>
      <c r="C23" s="104">
        <f>(AMD!C91+INTEL!C92+QUALCOMM!C95)/3</f>
        <v>5.6680574839138222E-2</v>
      </c>
      <c r="D23" s="104">
        <f>(AMD!D91+INTEL!D92+QUALCOMM!D95)/3</f>
        <v>0.18751417543855506</v>
      </c>
      <c r="E23" s="104">
        <f>(AMD!E91+INTEL!E92+QUALCOMM!E95)/3</f>
        <v>0.20503132088896256</v>
      </c>
      <c r="F23" s="104">
        <f>(AMD!F91+INTEL!F92+QUALCOMM!F95)/3</f>
        <v>0.11303958956547337</v>
      </c>
      <c r="G23" s="104">
        <f>(AMD!G91+INTEL!G92+QUALCOMM!G95)/3</f>
        <v>0.12040719667704121</v>
      </c>
      <c r="H23" s="104">
        <f>(AMD!H91+INTEL!H92+QUALCOMM!H95)/3</f>
        <v>9.2870416278078936E-3</v>
      </c>
      <c r="I23" s="104">
        <f>(AMD!I91+INTEL!I92+QUALCOMM!I95)/3</f>
        <v>-1.1365867609908736E-2</v>
      </c>
      <c r="J23" s="104">
        <f>(AMD!J91+INTEL!J92+QUALCOMM!J95)/3</f>
        <v>-4.0996641510333597E-3</v>
      </c>
      <c r="K23" s="104">
        <f>(AMD!K91+INTEL!K92+QUALCOMM!K95)/3</f>
        <v>3.586339727773364E-2</v>
      </c>
    </row>
    <row r="24" spans="1:11">
      <c r="A24" t="s">
        <v>223</v>
      </c>
      <c r="B24" s="104">
        <f>'INCOME STATEMENT'!B29/'BALANCE SHEET '!B23</f>
        <v>8.7564890448592544E-2</v>
      </c>
      <c r="C24" s="104">
        <f>'INCOME STATEMENT'!C29/'BALANCE SHEET '!C23</f>
        <v>8.3310719131614655E-2</v>
      </c>
      <c r="D24" s="104">
        <f>'INCOME STATEMENT'!D29/'BALANCE SHEET '!D23</f>
        <v>0.16929173864444672</v>
      </c>
      <c r="E24" s="104">
        <f>'INCOME STATEMENT'!E29/'BALANCE SHEET '!E23</f>
        <v>0.27106129347922781</v>
      </c>
      <c r="F24" s="104">
        <f>'INCOME STATEMENT'!F29/'BALANCE SHEET '!F23</f>
        <v>0.31154077640686129</v>
      </c>
      <c r="G24" s="104">
        <f>'INCOME STATEMENT'!G29/'BALANCE SHEET '!G23</f>
        <v>0.16147848686110308</v>
      </c>
      <c r="H24" s="104">
        <f>'INCOME STATEMENT'!H29/'BALANCE SHEET '!H23</f>
        <v>0.15046368656871939</v>
      </c>
      <c r="I24" s="104">
        <f>'INCOME STATEMENT'!I29/'BALANCE SHEET '!I23</f>
        <v>0.22069839545567702</v>
      </c>
      <c r="J24" s="104">
        <f>'INCOME STATEMENT'!J29/'BALANCE SHEET '!J23</f>
        <v>0.10606575688407557</v>
      </c>
      <c r="K24" s="104">
        <f>'INCOME STATEMENT'!K29/'BALANCE SHEET '!K23</f>
        <v>0.45277507302823761</v>
      </c>
    </row>
    <row r="25" spans="1:11">
      <c r="A25" s="16" t="s">
        <v>236</v>
      </c>
      <c r="B25" s="104">
        <f>(AMD!B92+INTEL!B93+QUALCOMM!B96)/3</f>
        <v>7.0783064411800795E-2</v>
      </c>
      <c r="C25" s="104">
        <f>(AMD!C92+INTEL!C93+QUALCOMM!C96)/3</f>
        <v>0.12507166970555147</v>
      </c>
      <c r="D25" s="104">
        <f>(AMD!D92+INTEL!D93+QUALCOMM!D96)/3</f>
        <v>0.40631077320058573</v>
      </c>
      <c r="E25" s="104">
        <f>(AMD!E92+INTEL!E93+QUALCOMM!E96)/3</f>
        <v>0.51457094313186313</v>
      </c>
      <c r="F25" s="104">
        <f>(AMD!F92+INTEL!F93+QUALCOMM!F96)/3</f>
        <v>0.41129006300520182</v>
      </c>
      <c r="G25" s="104">
        <f>(AMD!G92+INTEL!G93+QUALCOMM!G96)/3</f>
        <v>0.47689492300626374</v>
      </c>
      <c r="H25" s="104">
        <f>(AMD!H92+INTEL!H93+QUALCOMM!H96)/3</f>
        <v>-1.6300762752756717</v>
      </c>
      <c r="I25" s="104">
        <f>(AMD!I92+INTEL!I93+QUALCOMM!I96)/3</f>
        <v>-0.3257077133416324</v>
      </c>
      <c r="J25" s="104">
        <f>(AMD!J92+INTEL!J93+QUALCOMM!J96)/3</f>
        <v>0.64506360738643609</v>
      </c>
      <c r="K25" s="104">
        <f>(AMD!K92+INTEL!K93+QUALCOMM!K96)/3</f>
        <v>-0.60102637486713129</v>
      </c>
    </row>
    <row r="26" spans="1:11">
      <c r="A26" t="s">
        <v>237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t="s">
        <v>118</v>
      </c>
      <c r="B27" s="104">
        <f>'INCOME STATEMENT'!B19/'INCOME STATEMENT'!B17</f>
        <v>0.55526500334187257</v>
      </c>
      <c r="C27" s="104">
        <f>'INCOME STATEMENT'!C19/'INCOME STATEMENT'!C17</f>
        <v>0.56107784431137719</v>
      </c>
      <c r="D27" s="104">
        <f>'INCOME STATEMENT'!D19/'INCOME STATEMENT'!D17</f>
        <v>0.58798842257597683</v>
      </c>
      <c r="E27" s="104">
        <f>'INCOME STATEMENT'!E19/'INCOME STATEMENT'!E17</f>
        <v>0.59934115709285563</v>
      </c>
      <c r="F27" s="104">
        <f>'INCOME STATEMENT'!F19/'INCOME STATEMENT'!F17</f>
        <v>0.61206896551724133</v>
      </c>
      <c r="G27" s="104">
        <f>'INCOME STATEMENT'!G19/'INCOME STATEMENT'!G17</f>
        <v>0.61989375343469499</v>
      </c>
      <c r="H27" s="104">
        <f>'INCOME STATEMENT'!H19/'INCOME STATEMENT'!H17</f>
        <v>0.62344827586206897</v>
      </c>
      <c r="I27" s="104">
        <f>'INCOME STATEMENT'!I19/'INCOME STATEMENT'!I17</f>
        <v>0.64929033216913135</v>
      </c>
      <c r="J27" s="104">
        <f>'INCOME STATEMENT'!J19/'INCOME STATEMENT'!J17</f>
        <v>0.56928894490991322</v>
      </c>
      <c r="K27" s="104">
        <f>'INCOME STATEMENT'!K19/'INCOME STATEMENT'!K17</f>
        <v>0.72717573290436954</v>
      </c>
    </row>
    <row r="28" spans="1:11">
      <c r="A28" s="16" t="s">
        <v>236</v>
      </c>
      <c r="B28" s="104">
        <f>(AMD!B93+INTEL!B94+QUALCOMM!B97)/3</f>
        <v>0.44999281487975562</v>
      </c>
      <c r="C28" s="104">
        <f>(AMD!C93+INTEL!C94+QUALCOMM!C97)/3</f>
        <v>0.46886836357588785</v>
      </c>
      <c r="D28" s="104">
        <f>(AMD!D93+INTEL!D94+QUALCOMM!D97)/3</f>
        <v>0.49564941826680925</v>
      </c>
      <c r="E28" s="104">
        <f>(AMD!E93+INTEL!E94+QUALCOMM!E97)/3</f>
        <v>0.52493668591937803</v>
      </c>
      <c r="F28" s="104">
        <f>(AMD!F93+INTEL!F94+QUALCOMM!F97)/3</f>
        <v>0.53095350523799201</v>
      </c>
      <c r="G28" s="104">
        <f>(AMD!G93+INTEL!G94+QUALCOMM!G97)/3</f>
        <v>0.53640518232088608</v>
      </c>
      <c r="H28" s="104">
        <f>(AMD!H93+INTEL!H94+QUALCOMM!H97)/3</f>
        <v>0.5029279622292856</v>
      </c>
      <c r="I28" s="104">
        <f>(AMD!I93+INTEL!I94+QUALCOMM!I97)/3</f>
        <v>0.47227940888907066</v>
      </c>
      <c r="J28" s="104">
        <f>(AMD!J93+INTEL!J94+QUALCOMM!J97)/3</f>
        <v>0.48870612071636327</v>
      </c>
      <c r="K28" s="104">
        <f>(AMD!K93+INTEL!K94+QUALCOMM!K97)/3</f>
        <v>0.5166589886016314</v>
      </c>
    </row>
    <row r="29" spans="1:11">
      <c r="A29" s="100" t="s">
        <v>238</v>
      </c>
      <c r="B29" s="104">
        <f>'INCOME STATEMENT'!B18/'INCOME STATEMENT'!B17</f>
        <v>0.44473499665812738</v>
      </c>
      <c r="C29" s="104">
        <f>'INCOME STATEMENT'!C18/'INCOME STATEMENT'!C17</f>
        <v>0.43892215568862275</v>
      </c>
      <c r="D29" s="104">
        <f>'INCOME STATEMENT'!D18/'INCOME STATEMENT'!D17</f>
        <v>0.41201157742402317</v>
      </c>
      <c r="E29" s="104">
        <f>'INCOME STATEMENT'!E18/'INCOME STATEMENT'!E17</f>
        <v>0.40065884290714432</v>
      </c>
      <c r="F29" s="104">
        <f>'INCOME STATEMENT'!F18/'INCOME STATEMENT'!F17</f>
        <v>0.38793103448275862</v>
      </c>
      <c r="G29" s="104">
        <f>'INCOME STATEMENT'!G18/'INCOME STATEMENT'!G17</f>
        <v>0.38010624656530501</v>
      </c>
      <c r="H29" s="104">
        <f>'INCOME STATEMENT'!H18/'INCOME STATEMENT'!H17</f>
        <v>0.37655172413793103</v>
      </c>
      <c r="I29" s="104">
        <f>'INCOME STATEMENT'!I18/'INCOME STATEMENT'!I17</f>
        <v>0.35070966783086871</v>
      </c>
      <c r="J29" s="104">
        <f>'INCOME STATEMENT'!J18/'INCOME STATEMENT'!J17</f>
        <v>0.43071105509008673</v>
      </c>
      <c r="K29" s="104">
        <f>'INCOME STATEMENT'!K18/'INCOME STATEMENT'!K17</f>
        <v>0.27282426709563046</v>
      </c>
    </row>
    <row r="30" spans="1:11">
      <c r="A30" s="16" t="s">
        <v>236</v>
      </c>
      <c r="B30" s="104">
        <f>(AMD!B96+INTEL!B97+QUALCOMM!B100)/3</f>
        <v>0.55000718512024438</v>
      </c>
      <c r="C30" s="104">
        <f>(AMD!C96+INTEL!C97+QUALCOMM!C100)/3</f>
        <v>0.53113163642411221</v>
      </c>
      <c r="D30" s="104">
        <f>(AMD!D96+INTEL!D97+QUALCOMM!D100)/3</f>
        <v>0.50435058173319069</v>
      </c>
      <c r="E30" s="104">
        <f>(AMD!E96+INTEL!E97+QUALCOMM!E100)/3</f>
        <v>0.47506331408062197</v>
      </c>
      <c r="F30" s="104">
        <f>(AMD!F96+INTEL!F97+QUALCOMM!F100)/3</f>
        <v>0.46904649476200788</v>
      </c>
      <c r="G30" s="104">
        <f>(AMD!G96+INTEL!G97+QUALCOMM!G100)/3</f>
        <v>0.46359481767911398</v>
      </c>
      <c r="H30" s="104">
        <f>(AMD!H96+INTEL!H97+QUALCOMM!H100)/3</f>
        <v>0.49707203777071446</v>
      </c>
      <c r="I30" s="104">
        <f>(AMD!I96+INTEL!I97+QUALCOMM!I100)/3</f>
        <v>0.52772059111092939</v>
      </c>
      <c r="J30" s="104">
        <f>(AMD!J96+INTEL!J97+QUALCOMM!J100)/3</f>
        <v>0.51129387928363668</v>
      </c>
      <c r="K30" s="104">
        <f>(AMD!K96+INTEL!K97+QUALCOMM!K100)/3</f>
        <v>0.48334101139836844</v>
      </c>
    </row>
    <row r="31" spans="1:11">
      <c r="A31" s="100" t="s">
        <v>239</v>
      </c>
      <c r="B31" s="104">
        <f>'INCOME STATEMENT'!B20/'INCOME STATEMENT'!B17</f>
        <v>0.10269406838438989</v>
      </c>
      <c r="C31" s="104">
        <f>'INCOME STATEMENT'!C20/'INCOME STATEMENT'!C17</f>
        <v>0.12015968063872255</v>
      </c>
      <c r="D31" s="104">
        <f>'INCOME STATEMENT'!D20/'INCOME STATEMENT'!D17</f>
        <v>9.5947901591895798E-2</v>
      </c>
      <c r="E31" s="104">
        <f>'INCOME STATEMENT'!E20/'INCOME STATEMENT'!E17</f>
        <v>8.3899526456660489E-2</v>
      </c>
      <c r="F31" s="104">
        <f>'INCOME STATEMENT'!F20/'INCOME STATEMENT'!F17</f>
        <v>8.4585182656196647E-2</v>
      </c>
      <c r="G31" s="104">
        <f>'INCOME STATEMENT'!G20/'INCOME STATEMENT'!G17</f>
        <v>0.10010991023997069</v>
      </c>
      <c r="H31" s="104">
        <f>'INCOME STATEMENT'!H20/'INCOME STATEMENT'!H17</f>
        <v>0.11634182908545727</v>
      </c>
      <c r="I31" s="104">
        <f>'INCOME STATEMENT'!I20/'INCOME STATEMENT'!I17</f>
        <v>8.0478561343538674E-2</v>
      </c>
      <c r="J31" s="104">
        <f>'INCOME STATEMENT'!J20/'INCOME STATEMENT'!J17</f>
        <v>9.0457477570994288E-2</v>
      </c>
      <c r="K31" s="104">
        <f>'INCOME STATEMENT'!K20/'INCOME STATEMENT'!K17</f>
        <v>4.3563901382095135E-2</v>
      </c>
    </row>
    <row r="32" spans="1:11">
      <c r="A32" s="16" t="s">
        <v>236</v>
      </c>
      <c r="B32" s="104">
        <f>(AMD!B97+INTEL!B98+QUALCOMM!B101)/3</f>
        <v>9.2741439474655449E-2</v>
      </c>
      <c r="C32" s="104">
        <f>(AMD!C97+INTEL!C98+QUALCOMM!C101)/3</f>
        <v>9.0730780031186217E-2</v>
      </c>
      <c r="D32" s="104">
        <f>(AMD!D97+INTEL!D98+QUALCOMM!D101)/3</f>
        <v>8.5767495207910063E-2</v>
      </c>
      <c r="E32" s="104">
        <f>(AMD!E97+INTEL!E98+QUALCOMM!E101)/3</f>
        <v>8.4798878123608687E-2</v>
      </c>
      <c r="F32" s="104">
        <f>(AMD!F97+INTEL!F98+QUALCOMM!F101)/3</f>
        <v>9.2976633456500868E-2</v>
      </c>
      <c r="G32" s="104">
        <f>(AMD!G97+INTEL!G98+QUALCOMM!G101)/3</f>
        <v>8.7561090397794625E-2</v>
      </c>
      <c r="H32" s="104">
        <f>(AMD!H97+INTEL!H98+QUALCOMM!H101)/3</f>
        <v>0.10750715967127396</v>
      </c>
      <c r="I32" s="104">
        <f>(AMD!I97+INTEL!I98+QUALCOMM!I101)/3</f>
        <v>0.11533518194991828</v>
      </c>
      <c r="J32" s="104">
        <f>(AMD!J97+INTEL!J98+QUALCOMM!J101)/3</f>
        <v>0.12114100149164063</v>
      </c>
      <c r="K32" s="104">
        <f>(AMD!K97+INTEL!K98+QUALCOMM!K101)/3</f>
        <v>0.11522450680267103</v>
      </c>
    </row>
    <row r="33" spans="1:11">
      <c r="A33" s="100" t="s">
        <v>240</v>
      </c>
      <c r="B33" s="104">
        <f>'INCOME STATEMENT'!B21/'INCOME STATEMENT'!B17</f>
        <v>0.29044600381885577</v>
      </c>
      <c r="C33" s="104">
        <f>'INCOME STATEMENT'!C21/'INCOME STATEMENT'!C17</f>
        <v>0.26566866267465072</v>
      </c>
      <c r="D33" s="104">
        <f>'INCOME STATEMENT'!D21/'INCOME STATEMENT'!D17</f>
        <v>0.21172214182344429</v>
      </c>
      <c r="E33" s="104">
        <f>'INCOME STATEMENT'!E21/'INCOME STATEMENT'!E17</f>
        <v>0.18499073502161828</v>
      </c>
      <c r="F33" s="104">
        <f>'INCOME STATEMENT'!F21/'INCOME STATEMENT'!F17</f>
        <v>0.20279959030385797</v>
      </c>
      <c r="G33" s="104">
        <f>'INCOME STATEMENT'!G21/'INCOME STATEMENT'!G17</f>
        <v>0.25911339073090311</v>
      </c>
      <c r="H33" s="104">
        <f>'INCOME STATEMENT'!H21/'INCOME STATEMENT'!H17</f>
        <v>0.2353223388305847</v>
      </c>
      <c r="I33" s="104">
        <f>'INCOME STATEMENT'!I21/'INCOME STATEMENT'!I17</f>
        <v>0.19573456193802483</v>
      </c>
      <c r="J33" s="104">
        <f>'INCOME STATEMENT'!J21/'INCOME STATEMENT'!J17</f>
        <v>0.27207681471046191</v>
      </c>
      <c r="K33" s="104">
        <f>'INCOME STATEMENT'!K21/'INCOME STATEMENT'!K17</f>
        <v>0.14239519385443683</v>
      </c>
    </row>
    <row r="34" spans="1:11">
      <c r="A34" s="16" t="s">
        <v>236</v>
      </c>
      <c r="B34" s="104">
        <f>(AMD!B94+INTEL!B95+QUALCOMM!B98)/3</f>
        <v>0.26624981578011941</v>
      </c>
      <c r="C34" s="104">
        <f>(AMD!C94+INTEL!C95+QUALCOMM!C98)/3</f>
        <v>0.2513804680011052</v>
      </c>
      <c r="D34" s="104">
        <f>(AMD!D94+INTEL!D95+QUALCOMM!D98)/3</f>
        <v>0.21216175830358511</v>
      </c>
      <c r="E34" s="104">
        <f>(AMD!E94+INTEL!E95+QUALCOMM!E98)/3</f>
        <v>0.20304054781711312</v>
      </c>
      <c r="F34" s="104">
        <f>(AMD!F94+INTEL!F95+QUALCOMM!F98)/3</f>
        <v>0.21928140030501506</v>
      </c>
      <c r="G34" s="104">
        <f>(AMD!G94+INTEL!G95+QUALCOMM!G98)/3</f>
        <v>0.20984259572480513</v>
      </c>
      <c r="H34" s="104">
        <f>(AMD!H94+INTEL!H95+QUALCOMM!H98)/3</f>
        <v>0.21876036893227471</v>
      </c>
      <c r="I34" s="104">
        <f>(AMD!I94+INTEL!I95+QUALCOMM!I98)/3</f>
        <v>0.23023832444584158</v>
      </c>
      <c r="J34" s="104">
        <f>(AMD!J94+INTEL!J95+QUALCOMM!J98)/3</f>
        <v>0.22349930772801488</v>
      </c>
      <c r="K34" s="104">
        <f>(AMD!K94+INTEL!K95+QUALCOMM!K98)/3</f>
        <v>0.21031691952854051</v>
      </c>
    </row>
    <row r="35" spans="1:11">
      <c r="A35" s="101" t="s">
        <v>241</v>
      </c>
      <c r="B35" s="104">
        <f>SUM('INCOME STATEMENT'!B20:B21)/'INCOME STATEMENT'!B17</f>
        <v>0.39314007220324565</v>
      </c>
      <c r="C35" s="104">
        <f>SUM('INCOME STATEMENT'!C20:C21)/'INCOME STATEMENT'!C17</f>
        <v>0.38582834331337323</v>
      </c>
      <c r="D35" s="104">
        <f>SUM('INCOME STATEMENT'!D20:D21)/'INCOME STATEMENT'!D17</f>
        <v>0.3076700434153401</v>
      </c>
      <c r="E35" s="104">
        <f>SUM('INCOME STATEMENT'!E20:E21)/'INCOME STATEMENT'!E17</f>
        <v>0.26889026147827877</v>
      </c>
      <c r="F35" s="104">
        <f>SUM('INCOME STATEMENT'!F20:F21)/'INCOME STATEMENT'!F17</f>
        <v>0.2873847729600546</v>
      </c>
      <c r="G35" s="104">
        <f>SUM('INCOME STATEMENT'!G20:G21)/'INCOME STATEMENT'!G17</f>
        <v>0.35922330097087379</v>
      </c>
      <c r="H35" s="104">
        <f>SUM('INCOME STATEMENT'!H20:H21)/'INCOME STATEMENT'!H17</f>
        <v>0.35166416791604199</v>
      </c>
      <c r="I35" s="104">
        <f>SUM('INCOME STATEMENT'!I20:I21)/'INCOME STATEMENT'!I17</f>
        <v>0.2762131232815635</v>
      </c>
      <c r="J35" s="104">
        <f>SUM('INCOME STATEMENT'!J20:J21)/'INCOME STATEMENT'!J17</f>
        <v>0.36253429228145623</v>
      </c>
      <c r="K35" s="104">
        <f>SUM('INCOME STATEMENT'!K20:K21)/'INCOME STATEMENT'!K17</f>
        <v>0.18595909523653195</v>
      </c>
    </row>
    <row r="36" spans="1:11">
      <c r="A36" s="101" t="s">
        <v>242</v>
      </c>
      <c r="B36" s="104">
        <f>'INCOME STATEMENT'!B28/'INCOME STATEMENT'!B27</f>
        <v>0.16460396695441129</v>
      </c>
      <c r="C36" s="104">
        <f>'INCOME STATEMENT'!C28/'INCOME STATEMENT'!C27</f>
        <v>0.17362045760430686</v>
      </c>
      <c r="D36" s="104">
        <f>'INCOME STATEMENT'!D28/'INCOME STATEMENT'!D27</f>
        <v>0.12545931758530185</v>
      </c>
      <c r="E36" s="104">
        <f>'INCOME STATEMENT'!E28/'INCOME STATEMENT'!E27</f>
        <v>4.6620775969962454E-2</v>
      </c>
      <c r="F36" s="104">
        <f>'INCOME STATEMENT'!F28/'INCOME STATEMENT'!F27</f>
        <v>-6.2885010266940447E-2</v>
      </c>
      <c r="G36" s="104">
        <f>'INCOME STATEMENT'!G28/'INCOME STATEMENT'!G27</f>
        <v>5.8585858585858588E-2</v>
      </c>
      <c r="H36" s="104">
        <f>'INCOME STATEMENT'!H28/'INCOME STATEMENT'!H27</f>
        <v>1.7464277613971423E-2</v>
      </c>
      <c r="I36" s="104">
        <f>'INCOME STATEMENT'!I28/'INCOME STATEMENT'!I27</f>
        <v>1.9012171813700834E-2</v>
      </c>
      <c r="J36" s="104">
        <f>'INCOME STATEMENT'!J28/'INCOME STATEMENT'!J27</f>
        <v>-4.4726142071274816E-2</v>
      </c>
      <c r="K36" s="104">
        <f>'INCOME STATEMENT'!K28/'INCOME STATEMENT'!K27</f>
        <v>0.1199952687917677</v>
      </c>
    </row>
    <row r="37" spans="1:11">
      <c r="A37" t="s">
        <v>245</v>
      </c>
      <c r="B37" s="104">
        <f>('INCOME STATEMENT'!B26*-1)/AVERAGE('BALANCE SHEET '!B30:C30)</f>
        <v>5.8973550653636537E-3</v>
      </c>
      <c r="C37" s="104">
        <f>('INCOME STATEMENT'!C26*-1)/AVERAGE('BALANCE SHEET '!C30:D30)</f>
        <v>4.0020010005002498E-3</v>
      </c>
      <c r="D37" s="104">
        <f>('INCOME STATEMENT'!D26*-1)/AVERAGE('BALANCE SHEET '!D30:E30)</f>
        <v>1.4594866633115249E-2</v>
      </c>
      <c r="E37" s="104">
        <f>('INCOME STATEMENT'!E26*-1)/AVERAGE('BALANCE SHEET '!E30:F30)</f>
        <v>7.0475711049584697E-3</v>
      </c>
      <c r="F37" s="104">
        <f>('INCOME STATEMENT'!F26*-1)/AVERAGE('BALANCE SHEET '!F30:G30)</f>
        <v>-4.6242774566473986E-2</v>
      </c>
      <c r="G37" s="104">
        <f>('INCOME STATEMENT'!G26*-1)/AVERAGE('BALANCE SHEET '!G30:H30)</f>
        <v>-3.1175361407919547E-2</v>
      </c>
      <c r="H37" s="104">
        <f>('INCOME STATEMENT'!H26*-1)/AVERAGE('BALANCE SHEET '!H30:I30)</f>
        <v>1.4547604967474866E-2</v>
      </c>
      <c r="I37" s="104">
        <f>('INCOME STATEMENT'!I26*-1)/AVERAGE('BALANCE SHEET '!I30:J30)</f>
        <v>9.6856990653300407E-3</v>
      </c>
      <c r="J37" s="104">
        <f>('INCOME STATEMENT'!J26*-1)/AVERAGE('BALANCE SHEET '!J30:K30)</f>
        <v>4.735161325845171E-3</v>
      </c>
      <c r="K37" s="104">
        <f>('INCOME STATEMENT'!K26*-1)/AVERAGE('BALANCE SHEET '!K30:L30)</f>
        <v>-0.10001182172833668</v>
      </c>
    </row>
    <row r="38" spans="1:11">
      <c r="A38" s="16" t="s">
        <v>236</v>
      </c>
      <c r="B38" s="104">
        <f>(AMD!B103+INTEL!B103+QUALCOMM!B106)/3</f>
        <v>-2.1739314687388125E-2</v>
      </c>
      <c r="C38" s="104">
        <f>(AMD!C103+INTEL!C103+QUALCOMM!C106)/3</f>
        <v>2.5014655828314841E-2</v>
      </c>
      <c r="D38" s="104">
        <f>(AMD!D103+INTEL!D103+QUALCOMM!D106)/3</f>
        <v>-7.2253863738044169E-2</v>
      </c>
      <c r="E38" s="104">
        <f>(AMD!E103+INTEL!E103+QUALCOMM!E106)/3</f>
        <v>4.369621722520578E-2</v>
      </c>
      <c r="F38" s="104">
        <f>(AMD!F103+INTEL!F103+QUALCOMM!F106)/3</f>
        <v>0.10413050864765494</v>
      </c>
      <c r="G38" s="104">
        <f>(AMD!G103+INTEL!G103+QUALCOMM!G106)/3</f>
        <v>8.4702183473231111E-3</v>
      </c>
      <c r="H38" s="104">
        <f>(AMD!H103+INTEL!H103+QUALCOMM!H106)/3</f>
        <v>3.4206306371371578E-2</v>
      </c>
      <c r="I38" s="104">
        <f>(AMD!I103+INTEL!I103+QUALCOMM!I106)/3</f>
        <v>-3.4908728995764117E-2</v>
      </c>
      <c r="J38" s="104">
        <f>(AMD!J103+INTEL!J103+QUALCOMM!J106)/3</f>
        <v>1.1325495859060668E-2</v>
      </c>
      <c r="K38" s="104">
        <f>(AMD!K103+INTEL!K103+QUALCOMM!K106)/3</f>
        <v>9.8855579485810693E-3</v>
      </c>
    </row>
    <row r="39" spans="1:11">
      <c r="A39" s="101" t="s">
        <v>246</v>
      </c>
      <c r="B39" s="104">
        <f>'INCOME STATEMENT'!B29/'INCOME STATEMENT'!B17</f>
        <v>0.13469743823943872</v>
      </c>
      <c r="C39" s="104">
        <f>'INCOME STATEMENT'!C29/'INCOME STATEMENT'!C17</f>
        <v>0.12255489021956088</v>
      </c>
      <c r="D39" s="104">
        <f>'INCOME STATEMENT'!D29/'INCOME STATEMENT'!D17</f>
        <v>0.24109985528219971</v>
      </c>
      <c r="E39" s="104">
        <f>'INCOME STATEMENT'!E29/'INCOME STATEMENT'!E17</f>
        <v>0.3136709903232448</v>
      </c>
      <c r="F39" s="104">
        <f>'INCOME STATEMENT'!F29/'INCOME STATEMENT'!F17</f>
        <v>0.35344827586206895</v>
      </c>
      <c r="G39" s="104">
        <f>'INCOME STATEMENT'!G29/'INCOME STATEMENT'!G17</f>
        <v>0.25609085913170909</v>
      </c>
      <c r="H39" s="104">
        <f>'INCOME STATEMENT'!H29/'INCOME STATEMENT'!H17</f>
        <v>0.25979010494752625</v>
      </c>
      <c r="I39" s="104">
        <f>'INCOME STATEMENT'!I29/'INCOME STATEMENT'!I17</f>
        <v>0.36233930296499961</v>
      </c>
      <c r="J39" s="104">
        <f>'INCOME STATEMENT'!J29/'INCOME STATEMENT'!J17</f>
        <v>0.16193371394676356</v>
      </c>
      <c r="K39" s="104">
        <f>'INCOME STATEMENT'!K29/'INCOME STATEMENT'!K17</f>
        <v>0.4884934834706674</v>
      </c>
    </row>
    <row r="40" spans="1:11">
      <c r="A40" s="101" t="s">
        <v>247</v>
      </c>
      <c r="B40" s="104">
        <f>'BALANCE SHEET '!B24/'INCOME STATEMENT'!B17</f>
        <v>0.12246377074732559</v>
      </c>
      <c r="C40" s="104">
        <f>'BALANCE SHEET '!C24/'INCOME STATEMENT'!C17</f>
        <v>0.11716566866267465</v>
      </c>
      <c r="D40" s="104">
        <f>'BALANCE SHEET '!D24/'INCOME STATEMENT'!D17</f>
        <v>0.12460202604920405</v>
      </c>
      <c r="E40" s="104">
        <f>'BALANCE SHEET '!E24/'INCOME STATEMENT'!E17</f>
        <v>0.10376775787523163</v>
      </c>
      <c r="F40" s="104">
        <f>'BALANCE SHEET '!F24/'INCOME STATEMENT'!F17</f>
        <v>8.9706384431546604E-2</v>
      </c>
      <c r="G40" s="104">
        <f>'BALANCE SHEET '!G24/'INCOME STATEMENT'!G17</f>
        <v>0.12218355010075105</v>
      </c>
      <c r="H40" s="104">
        <f>'BALANCE SHEET '!H24/'INCOME STATEMENT'!H17</f>
        <v>0.12761619190404797</v>
      </c>
      <c r="I40" s="104">
        <f>'BALANCE SHEET '!I24/'INCOME STATEMENT'!I17</f>
        <v>0.11859998513784648</v>
      </c>
      <c r="J40" s="104">
        <f>'BALANCE SHEET '!J24/'INCOME STATEMENT'!J17</f>
        <v>0.10821531845480833</v>
      </c>
      <c r="K40" s="104">
        <f>'BALANCE SHEET '!K24/'INCOME STATEMENT'!K17</f>
        <v>0.123042579035488</v>
      </c>
    </row>
    <row r="41" spans="1:11">
      <c r="A41" s="101" t="s">
        <v>248</v>
      </c>
      <c r="B41" s="104" t="e">
        <f>('BALANCE SHEET '!B19-'BALANCE SHEET '!A19)/AVERAGE('BALANCE SHEET '!A18:B18)</f>
        <v>#VALUE!</v>
      </c>
      <c r="C41" s="104">
        <f>('BALANCE SHEET '!C19-'BALANCE SHEET '!B19)/AVERAGE('BALANCE SHEET '!B18:C18)</f>
        <v>1.055168416725275E-2</v>
      </c>
      <c r="D41" s="104">
        <f>('BALANCE SHEET '!D19-'BALANCE SHEET '!C19)/AVERAGE('BALANCE SHEET '!C18:D18)</f>
        <v>3.1427324312527281E-2</v>
      </c>
      <c r="E41" s="104">
        <f>('BALANCE SHEET '!E19-'BALANCE SHEET '!D19)/AVERAGE('BALANCE SHEET '!D18:E18)</f>
        <v>4.7814207650273222E-2</v>
      </c>
      <c r="F41" s="104">
        <f>('BALANCE SHEET '!F19-'BALANCE SHEET '!E19)/AVERAGE('BALANCE SHEET '!E18:F18)</f>
        <v>1.3817809621289662E-2</v>
      </c>
      <c r="G41" s="104">
        <f>('BALANCE SHEET '!G19-'BALANCE SHEET '!F19)/AVERAGE('BALANCE SHEET '!F18:G18)</f>
        <v>0.10049423393739704</v>
      </c>
      <c r="H41" s="104">
        <f>('BALANCE SHEET '!H19-'BALANCE SHEET '!G19)/AVERAGE('BALANCE SHEET '!G18:H18)</f>
        <v>0.12720281960909965</v>
      </c>
      <c r="I41" s="104">
        <f>('BALANCE SHEET '!I19-'BALANCE SHEET '!H19)/AVERAGE('BALANCE SHEET '!H18:I18)</f>
        <v>0.12017479970866715</v>
      </c>
      <c r="J41" s="104">
        <f>('BALANCE SHEET '!J19-'BALANCE SHEET '!I19)/AVERAGE('BALANCE SHEET '!I18:J18)</f>
        <v>0.14147737435163657</v>
      </c>
      <c r="K41" s="104">
        <f>('BALANCE SHEET '!K19-'BALANCE SHEET '!J19)/AVERAGE('BALANCE SHEET '!J18:K18)</f>
        <v>0.11706406205113473</v>
      </c>
    </row>
    <row r="42" spans="1:11">
      <c r="A42" s="101" t="s">
        <v>183</v>
      </c>
      <c r="B42" s="104">
        <f>'BALANCE SHEET '!B18/'INCOME STATEMENT'!B17</f>
        <v>0.25189687850514803</v>
      </c>
      <c r="C42" s="104">
        <f>'BALANCE SHEET '!C18/'INCOME STATEMENT'!C17</f>
        <v>0.21956087824351297</v>
      </c>
      <c r="D42" s="104">
        <f>'BALANCE SHEET '!D18/'INCOME STATEMENT'!D17</f>
        <v>0.1723589001447178</v>
      </c>
      <c r="E42" s="104">
        <f>'BALANCE SHEET '!E18/'INCOME STATEMENT'!E17</f>
        <v>0.1788140827671402</v>
      </c>
      <c r="F42" s="104">
        <f>'BALANCE SHEET '!F18/'INCOME STATEMENT'!F17</f>
        <v>0.18530215090474564</v>
      </c>
      <c r="G42" s="104">
        <f>'BALANCE SHEET '!G18/'INCOME STATEMENT'!G17</f>
        <v>0.24592416193442021</v>
      </c>
      <c r="H42" s="104">
        <f>'BALANCE SHEET '!H18/'INCOME STATEMENT'!H17</f>
        <v>0.21331334332833582</v>
      </c>
      <c r="I42" s="104">
        <f>'BALANCE SHEET '!I18/'INCOME STATEMENT'!I17</f>
        <v>0.17392435163855244</v>
      </c>
      <c r="J42" s="104">
        <f>'BALANCE SHEET '!J18/'INCOME STATEMENT'!J17</f>
        <v>0.2410098613479647</v>
      </c>
      <c r="K42" s="104">
        <f>'BALANCE SHEET '!K18/'INCOME STATEMENT'!K17</f>
        <v>0.12184432553100687</v>
      </c>
    </row>
    <row r="43" spans="1:11">
      <c r="A43" s="101" t="s">
        <v>184</v>
      </c>
      <c r="B43" s="104">
        <f>SUM('BALANCE SHEET '!B21:B22)/'INCOME STATEMENT'!B17</f>
        <v>0.19882251591207703</v>
      </c>
      <c r="C43" s="104">
        <f>SUM('BALANCE SHEET '!C21:C22)/'INCOME STATEMENT'!C17</f>
        <v>0.16986027944111776</v>
      </c>
      <c r="D43" s="104">
        <f>SUM('BALANCE SHEET '!D21:D22)/'INCOME STATEMENT'!D17</f>
        <v>0.11345875542691751</v>
      </c>
      <c r="E43" s="104">
        <f>SUM('BALANCE SHEET '!E21:E22)/'INCOME STATEMENT'!E17</f>
        <v>0.10181181799464691</v>
      </c>
      <c r="F43" s="104">
        <f>SUM('BALANCE SHEET '!F21:F22)/'INCOME STATEMENT'!F17</f>
        <v>0.11360532604984637</v>
      </c>
      <c r="G43" s="104">
        <f>SUM('BALANCE SHEET '!G21:G22)/'INCOME STATEMENT'!G17</f>
        <v>0.12850338889906576</v>
      </c>
      <c r="H43" s="104">
        <f>SUM('BALANCE SHEET '!H21:H22)/'INCOME STATEMENT'!H17</f>
        <v>0.58656671664167914</v>
      </c>
      <c r="I43" s="104">
        <f>SUM('BALANCE SHEET '!I21:I22)/'INCOME STATEMENT'!I17</f>
        <v>0.33202050977186592</v>
      </c>
      <c r="J43" s="104">
        <f>SUM('BALANCE SHEET '!J21:J22)/'INCOME STATEMENT'!J17</f>
        <v>0.26807295914584417</v>
      </c>
      <c r="K43" s="104">
        <f>SUM('BALANCE SHEET '!K21:K22)/'INCOME STATEMENT'!K17</f>
        <v>0.18692754669905781</v>
      </c>
    </row>
    <row r="44" spans="1:11">
      <c r="A44" s="29" t="s">
        <v>249</v>
      </c>
    </row>
    <row r="45" spans="1:11">
      <c r="A45" s="102" t="s">
        <v>238</v>
      </c>
      <c r="B45" s="69">
        <f t="shared" ref="B45:K45" si="0">B29</f>
        <v>0.44473499665812738</v>
      </c>
      <c r="C45" s="69">
        <f t="shared" si="0"/>
        <v>0.43892215568862275</v>
      </c>
      <c r="D45" s="69">
        <f t="shared" si="0"/>
        <v>0.41201157742402317</v>
      </c>
      <c r="E45" s="69">
        <f t="shared" si="0"/>
        <v>0.40065884290714432</v>
      </c>
      <c r="F45" s="69">
        <f t="shared" si="0"/>
        <v>0.38793103448275862</v>
      </c>
      <c r="G45" s="69">
        <f t="shared" si="0"/>
        <v>0.38010624656530501</v>
      </c>
      <c r="H45" s="69">
        <f t="shared" si="0"/>
        <v>0.37655172413793103</v>
      </c>
      <c r="I45" s="69">
        <f t="shared" si="0"/>
        <v>0.35070966783086871</v>
      </c>
      <c r="J45" s="69">
        <f t="shared" si="0"/>
        <v>0.43071105509008673</v>
      </c>
      <c r="K45" s="69">
        <f t="shared" si="0"/>
        <v>0.27282426709563046</v>
      </c>
    </row>
    <row r="46" spans="1:11">
      <c r="A46" t="s">
        <v>250</v>
      </c>
      <c r="B46" s="69">
        <f>'INCOME STATEMENT'!B17/'BALANCE SHEET '!B23</f>
        <v>0.65008578925559701</v>
      </c>
      <c r="C46" s="69">
        <f>'INCOME STATEMENT'!C17/'BALANCE SHEET '!C23</f>
        <v>0.67978290366350069</v>
      </c>
      <c r="D46" s="69">
        <f>'INCOME STATEMENT'!D17/'BALANCE SHEET '!D23</f>
        <v>0.7021644141855502</v>
      </c>
      <c r="E46" s="69">
        <f>'INCOME STATEMENT'!E17/'BALANCE SHEET '!E23</f>
        <v>0.86415799306111551</v>
      </c>
      <c r="F46" s="69">
        <f>'INCOME STATEMENT'!F17/'BALANCE SHEET '!F23</f>
        <v>0.88143244056575387</v>
      </c>
      <c r="G46" s="69">
        <f>'INCOME STATEMENT'!G17/'BALANCE SHEET '!G23</f>
        <v>0.63055154490326304</v>
      </c>
      <c r="H46" s="69">
        <f>'INCOME STATEMENT'!H17/'BALANCE SHEET '!H23</f>
        <v>0.57917404744538226</v>
      </c>
      <c r="I46" s="69">
        <f>'INCOME STATEMENT'!I17/'BALANCE SHEET '!I23</f>
        <v>0.60909317219996828</v>
      </c>
      <c r="J46" s="69">
        <f>'INCOME STATEMENT'!J17/'BALANCE SHEET '!J23</f>
        <v>0.65499490068476518</v>
      </c>
      <c r="K46" s="69">
        <f>'INCOME STATEMENT'!K17/'BALANCE SHEET '!K23</f>
        <v>0.92688047711781885</v>
      </c>
    </row>
    <row r="47" spans="1:11">
      <c r="A47" s="101" t="s">
        <v>251</v>
      </c>
      <c r="B47" s="15">
        <f>'INCOME STATEMENT'!B17/'BALANCE SHEET '!B14</f>
        <v>9.8841665663788927</v>
      </c>
      <c r="C47" s="15">
        <f>'INCOME STATEMENT'!C17/'BALANCE SHEET '!C14</f>
        <v>9.9207920792079207</v>
      </c>
      <c r="D47" s="15">
        <f>'INCOME STATEMENT'!D17/'BALANCE SHEET '!D14</f>
        <v>8.3656174334140427</v>
      </c>
      <c r="E47" s="15">
        <f>'INCOME STATEMENT'!E17/'BALANCE SHEET '!E14</f>
        <v>7.6790513833992096</v>
      </c>
      <c r="F47" s="15">
        <f>'INCOME STATEMENT'!F17/'BALANCE SHEET '!F14</f>
        <v>8.22752808988764</v>
      </c>
      <c r="G47" s="15">
        <f>'INCOME STATEMENT'!G17/'BALANCE SHEET '!G14</f>
        <v>6.5890162945081476</v>
      </c>
      <c r="H47" s="15">
        <f>'INCOME STATEMENT'!H17/'BALANCE SHEET '!H14</f>
        <v>6.8649650061753809</v>
      </c>
      <c r="I47" s="15">
        <f>'INCOME STATEMENT'!I17/'BALANCE SHEET '!I14</f>
        <v>5.7879569892473119</v>
      </c>
      <c r="J47" s="15">
        <f>'INCOME STATEMENT'!J17/'BALANCE SHEET '!J14</f>
        <v>7.0483407368696103</v>
      </c>
      <c r="K47" s="15">
        <f>'INCOME STATEMENT'!K17/'BALANCE SHEET '!K14</f>
        <v>6.0928092809280932</v>
      </c>
    </row>
    <row r="48" spans="1:11">
      <c r="A48" s="101" t="s">
        <v>252</v>
      </c>
      <c r="B48" s="15">
        <f t="shared" ref="B48:K48" si="1">360/B47</f>
        <v>36.421887225630556</v>
      </c>
      <c r="C48" s="15">
        <f t="shared" si="1"/>
        <v>36.287425149700596</v>
      </c>
      <c r="D48" s="15">
        <f t="shared" si="1"/>
        <v>43.033285094066578</v>
      </c>
      <c r="E48" s="15">
        <f t="shared" si="1"/>
        <v>46.880790611488571</v>
      </c>
      <c r="F48" s="15">
        <f t="shared" si="1"/>
        <v>43.755547968589966</v>
      </c>
      <c r="G48" s="15">
        <f t="shared" si="1"/>
        <v>54.636380289430292</v>
      </c>
      <c r="H48" s="15">
        <f t="shared" si="1"/>
        <v>52.440179910044975</v>
      </c>
      <c r="I48" s="15">
        <f t="shared" si="1"/>
        <v>62.198112506502191</v>
      </c>
      <c r="J48" s="15">
        <f t="shared" si="1"/>
        <v>51.075850819307483</v>
      </c>
      <c r="K48" s="15">
        <f t="shared" si="1"/>
        <v>59.086044450280681</v>
      </c>
    </row>
    <row r="49" spans="1:11">
      <c r="A49" s="101" t="s">
        <v>253</v>
      </c>
      <c r="B49" s="15">
        <f>'BALANCE SHEET '!B17/'BALANCE SHEET '!B24</f>
        <v>9.9653715671140652</v>
      </c>
      <c r="C49" s="15">
        <f>'BALANCE SHEET '!C17/'BALANCE SHEET '!C24</f>
        <v>10.31175468483816</v>
      </c>
      <c r="D49" s="15">
        <f>'BALANCE SHEET '!D17/'BALANCE SHEET '!D24</f>
        <v>9.9140534262485485</v>
      </c>
      <c r="E49" s="15">
        <f>'BALANCE SHEET '!E17/'BALANCE SHEET '!E24</f>
        <v>9.1815476190476186</v>
      </c>
      <c r="F49" s="15">
        <f>'BALANCE SHEET '!F17/'BALANCE SHEET '!F24</f>
        <v>10.044719314938154</v>
      </c>
      <c r="G49" s="15">
        <f>'BALANCE SHEET '!G17/'BALANCE SHEET '!G24</f>
        <v>10.262368815592204</v>
      </c>
      <c r="H49" s="15">
        <f>'BALANCE SHEET '!H17/'BALANCE SHEET '!H24</f>
        <v>7.5446428571428568</v>
      </c>
      <c r="I49" s="15">
        <f>'BALANCE SHEET '!I17/'BALANCE SHEET '!I24</f>
        <v>9.0316416040100247</v>
      </c>
      <c r="J49" s="15">
        <f>'BALANCE SHEET '!J17/'BALANCE SHEET '!J24</f>
        <v>7.9044193216855083</v>
      </c>
      <c r="K49" s="15">
        <f>'BALANCE SHEET '!K17/'BALANCE SHEET '!K24</f>
        <v>5.915821771611526</v>
      </c>
    </row>
    <row r="50" spans="1:11">
      <c r="A50" s="101" t="s">
        <v>254</v>
      </c>
      <c r="B50" s="15">
        <f>306/B49</f>
        <v>30.706331212958119</v>
      </c>
      <c r="C50" s="15">
        <f t="shared" ref="C50:K50" si="2">306/C49</f>
        <v>29.674871964315216</v>
      </c>
      <c r="D50" s="15">
        <f t="shared" si="2"/>
        <v>30.865276476101219</v>
      </c>
      <c r="E50" s="15">
        <f t="shared" si="2"/>
        <v>33.327714748784445</v>
      </c>
      <c r="F50" s="15">
        <f t="shared" si="2"/>
        <v>30.463768115942027</v>
      </c>
      <c r="G50" s="15">
        <f t="shared" si="2"/>
        <v>29.817677136596057</v>
      </c>
      <c r="H50" s="15">
        <f t="shared" si="2"/>
        <v>40.558579881656804</v>
      </c>
      <c r="I50" s="15">
        <f t="shared" si="2"/>
        <v>33.880883832252245</v>
      </c>
      <c r="J50" s="15">
        <f t="shared" si="2"/>
        <v>38.71252112859186</v>
      </c>
      <c r="K50" s="15">
        <f t="shared" si="2"/>
        <v>51.725696245348971</v>
      </c>
    </row>
    <row r="51" spans="1:11">
      <c r="A51" s="29" t="s">
        <v>256</v>
      </c>
    </row>
    <row r="52" spans="1:11">
      <c r="A52" s="101" t="s">
        <v>255</v>
      </c>
      <c r="B52" s="69">
        <f>'BALANCE SHEET '!B33/'BALANCE SHEET '!B23</f>
        <v>0.38650795237793706</v>
      </c>
      <c r="C52" s="69">
        <f>'BALANCE SHEET '!C33/'BALANCE SHEET '!C23</f>
        <v>0.38181818181818183</v>
      </c>
      <c r="D52" s="69">
        <f>'BALANCE SHEET '!D33/'BALANCE SHEET '!D23</f>
        <v>0.41134031094400975</v>
      </c>
      <c r="E52" s="69">
        <f>'BALANCE SHEET '!E33/'BALANCE SHEET '!E23</f>
        <v>0.33537941464282539</v>
      </c>
      <c r="F52" s="69">
        <f>'BALANCE SHEET '!F33/'BALANCE SHEET '!F23</f>
        <v>0.29717123081552815</v>
      </c>
      <c r="G52" s="69">
        <f>'BALANCE SHEET '!G33/'BALANCE SHEET '!G23</f>
        <v>0.29517759168351143</v>
      </c>
      <c r="H52" s="69">
        <f>'BALANCE SHEET '!H33/'BALANCE SHEET '!H23</f>
        <v>0.41325414191934978</v>
      </c>
      <c r="I52" s="69">
        <f>'BALANCE SHEET '!I33/'BALANCE SHEET '!I23</f>
        <v>0.39774141715889288</v>
      </c>
      <c r="J52" s="69">
        <f>'BALANCE SHEET '!J33/'BALANCE SHEET '!J23</f>
        <v>0.46333349521635664</v>
      </c>
      <c r="K52" s="69">
        <f>'BALANCE SHEET '!K33/'BALANCE SHEET '!K23</f>
        <v>0.346123417721519</v>
      </c>
    </row>
    <row r="53" spans="1:11">
      <c r="A53" s="101" t="s">
        <v>257</v>
      </c>
      <c r="B53" s="15">
        <f>'BALANCE SHEET '!B33/'BALANCE SHEET '!B39</f>
        <v>0.63001297877628293</v>
      </c>
      <c r="C53" s="15">
        <f>'BALANCE SHEET '!C33/'BALANCE SHEET '!C39</f>
        <v>0.61764705882352944</v>
      </c>
      <c r="D53" s="15">
        <f>'BALANCE SHEET '!D33/'BALANCE SHEET '!D39</f>
        <v>0.69877438287588467</v>
      </c>
      <c r="E53" s="15">
        <f>'BALANCE SHEET '!E33/'BALANCE SHEET '!E39</f>
        <v>0.50461785570874051</v>
      </c>
      <c r="F53" s="15">
        <f>'BALANCE SHEET '!F33/'BALANCE SHEET '!F39</f>
        <v>0.42282166559623208</v>
      </c>
      <c r="G53" s="15">
        <f>'BALANCE SHEET '!G33/'BALANCE SHEET '!G39</f>
        <v>0.41879711569977057</v>
      </c>
      <c r="H53" s="15">
        <f>'BALANCE SHEET '!H33/'BALANCE SHEET '!H39</f>
        <v>0.7043153969099627</v>
      </c>
      <c r="I53" s="15">
        <f>'BALANCE SHEET '!I33/'BALANCE SHEET '!I39</f>
        <v>0.66041635352472572</v>
      </c>
      <c r="J53" s="15">
        <f>'BALANCE SHEET '!J33/'BALANCE SHEET '!J39</f>
        <v>0.8633545993393964</v>
      </c>
      <c r="K53" s="15">
        <f>'BALANCE SHEET '!K33/'BALANCE SHEET '!K39</f>
        <v>0.52934059286146395</v>
      </c>
    </row>
    <row r="54" spans="1:11">
      <c r="A54" s="101" t="s">
        <v>258</v>
      </c>
      <c r="B54" s="15">
        <f>'BALANCE SHEET '!B23/'BALANCE SHEET '!B39</f>
        <v>1.6300129787762829</v>
      </c>
      <c r="C54" s="15">
        <f>'BALANCE SHEET '!C23/'BALANCE SHEET '!C39</f>
        <v>1.6176470588235294</v>
      </c>
      <c r="D54" s="15">
        <f>'BALANCE SHEET '!D23/'BALANCE SHEET '!D39</f>
        <v>1.6987743828758848</v>
      </c>
      <c r="E54" s="15">
        <f>'BALANCE SHEET '!E23/'BALANCE SHEET '!E39</f>
        <v>1.5046178557087404</v>
      </c>
      <c r="F54" s="15">
        <f>'BALANCE SHEET '!F23/'BALANCE SHEET '!F39</f>
        <v>1.422821665596232</v>
      </c>
      <c r="G54" s="15">
        <f>'BALANCE SHEET '!G23/'BALANCE SHEET '!G39</f>
        <v>1.4187971156997705</v>
      </c>
      <c r="H54" s="15">
        <f>'BALANCE SHEET '!H23/'BALANCE SHEET '!H39</f>
        <v>1.7043153969099627</v>
      </c>
      <c r="I54" s="15">
        <f>'BALANCE SHEET '!I23/'BALANCE SHEET '!I39</f>
        <v>1.6604163535247256</v>
      </c>
      <c r="J54" s="15">
        <f>'BALANCE SHEET '!J23/'BALANCE SHEET '!J39</f>
        <v>1.8633545993393965</v>
      </c>
      <c r="K54" s="15">
        <f>'BALANCE SHEET '!K23/'BALANCE SHEET '!K39</f>
        <v>1.5293405928614641</v>
      </c>
    </row>
    <row r="55" spans="1:11">
      <c r="A55" s="101" t="s">
        <v>259</v>
      </c>
      <c r="B55" s="15">
        <f>'INCOME STATEMENT'!B23/'INCOME STATEMENT'!B26</f>
        <v>-182.75680231158199</v>
      </c>
      <c r="C55" s="15">
        <f>'INCOME STATEMENT'!C23/'INCOME STATEMENT'!C26</f>
        <v>-186.75</v>
      </c>
      <c r="D55" s="15">
        <f>'INCOME STATEMENT'!D23/'INCOME STATEMENT'!D26</f>
        <v>-66.689655172413794</v>
      </c>
      <c r="E55" s="15">
        <f>'INCOME STATEMENT'!E23/'INCOME STATEMENT'!E26</f>
        <v>-229.28571428571428</v>
      </c>
      <c r="F55" s="15">
        <f>'INCOME STATEMENT'!F23/'INCOME STATEMENT'!F26</f>
        <v>41.347826086956523</v>
      </c>
      <c r="G55" s="15">
        <f>'INCOME STATEMENT'!G23/'INCOME STATEMENT'!G26</f>
        <v>22.951612903225808</v>
      </c>
      <c r="H55" s="15">
        <f>'INCOME STATEMENT'!H23/'INCOME STATEMENT'!H26</f>
        <v>-36.845528455284551</v>
      </c>
      <c r="I55" s="15">
        <f>'INCOME STATEMENT'!I23/'INCOME STATEMENT'!I26</f>
        <v>-100.41</v>
      </c>
      <c r="J55" s="15">
        <f>'INCOME STATEMENT'!J23/'INCOME STATEMENT'!J26</f>
        <v>-98.232558139534888</v>
      </c>
      <c r="K55" s="15">
        <f>'INCOME STATEMENT'!K23/'INCOME STATEMENT'!K26</f>
        <v>38.973995271867615</v>
      </c>
    </row>
    <row r="56" spans="1:11">
      <c r="A56" s="103" t="s">
        <v>260</v>
      </c>
    </row>
    <row r="57" spans="1:11">
      <c r="A57" s="101" t="s">
        <v>261</v>
      </c>
      <c r="B57" s="15">
        <f>'BALANCE SHEET '!B17/'BALANCE SHEET '!B29</f>
        <v>6.3762340546633487</v>
      </c>
      <c r="C57" s="15">
        <f>'BALANCE SHEET '!C17/'BALANCE SHEET '!C29</f>
        <v>2.5746490854955337</v>
      </c>
      <c r="D57" s="15">
        <f>'BALANCE SHEET '!D17/'BALANCE SHEET '!D29</f>
        <v>4.7740492170022373</v>
      </c>
      <c r="E57" s="15">
        <f>'BALANCE SHEET '!E17/'BALANCE SHEET '!E29</f>
        <v>8.0268863833477884</v>
      </c>
      <c r="F57" s="15">
        <f>'BALANCE SHEET '!F17/'BALANCE SHEET '!F29</f>
        <v>7.9435665914221216</v>
      </c>
      <c r="G57" s="15">
        <f>'BALANCE SHEET '!G17/'BALANCE SHEET '!G29</f>
        <v>7.6737668161434973</v>
      </c>
      <c r="H57" s="15">
        <f>'BALANCE SHEET '!H17/'BALANCE SHEET '!H29</f>
        <v>4.0904458598726112</v>
      </c>
      <c r="I57" s="15">
        <f>'BALANCE SHEET '!I17/'BALANCE SHEET '!I29</f>
        <v>6.6502883506343711</v>
      </c>
      <c r="J57" s="15">
        <f>'BALANCE SHEET '!J17/'BALANCE SHEET '!J29</f>
        <v>3.5156178576870332</v>
      </c>
      <c r="K57" s="15">
        <f>'BALANCE SHEET '!K17/'BALANCE SHEET '!K29</f>
        <v>4.1712915059730973</v>
      </c>
    </row>
    <row r="58" spans="1:11">
      <c r="A58" s="101" t="s">
        <v>262</v>
      </c>
      <c r="B58" s="15">
        <f>('BALANCE SHEET '!B11+'BALANCE SHEET '!B14)/'BALANCE SHEET '!B29</f>
        <v>1.0828778054306218</v>
      </c>
      <c r="C58" s="15">
        <f>('BALANCE SHEET '!C11+'BALANCE SHEET '!C14)/'BALANCE SHEET '!C29</f>
        <v>0.46831135686941727</v>
      </c>
      <c r="D58" s="15">
        <f>('BALANCE SHEET '!D11+'BALANCE SHEET '!D14)/'BALANCE SHEET '!D29</f>
        <v>1.4496644295302012</v>
      </c>
      <c r="E58" s="15">
        <f>('BALANCE SHEET '!E11+'BALANCE SHEET '!E14)/'BALANCE SHEET '!E29</f>
        <v>4.568083261058109</v>
      </c>
      <c r="F58" s="15">
        <f>('BALANCE SHEET '!F11+'BALANCE SHEET '!F14)/'BALANCE SHEET '!F29</f>
        <v>1.6598946576373212</v>
      </c>
      <c r="G58" s="15">
        <f>('BALANCE SHEET '!G11+'BALANCE SHEET '!G14)/'BALANCE SHEET '!G29</f>
        <v>7.0364349775784749</v>
      </c>
      <c r="H58" s="15">
        <f>('BALANCE SHEET '!H11+'BALANCE SHEET '!H14)/'BALANCE SHEET '!H29</f>
        <v>0.83464968152866237</v>
      </c>
      <c r="I58" s="15">
        <f>('BALANCE SHEET '!I11+'BALANCE SHEET '!I14)/'BALANCE SHEET '!I29</f>
        <v>1.5317185697808535</v>
      </c>
      <c r="J58" s="15">
        <f>('BALANCE SHEET '!J11+'BALANCE SHEET '!J14)/'BALANCE SHEET '!J29</f>
        <v>1.0994971811671492</v>
      </c>
      <c r="K58" s="15">
        <f>('BALANCE SHEET '!K11+'BALANCE SHEET '!K14)/'BALANCE SHEET '!K29</f>
        <v>1.6253409839149657</v>
      </c>
    </row>
    <row r="59" spans="1:11">
      <c r="A59" s="101" t="s">
        <v>263</v>
      </c>
      <c r="B59" s="15">
        <f>'BALANCE SHEET '!B13/'INCOME STATEMENT'!B17</f>
        <v>0.98757494114608824</v>
      </c>
      <c r="C59" s="15">
        <f>'BALANCE SHEET '!C13/'INCOME STATEMENT'!C17</f>
        <v>1.0053892215568863</v>
      </c>
      <c r="D59" s="15">
        <f>'BALANCE SHEET '!D13/'INCOME STATEMENT'!D17</f>
        <v>0.98379160636758323</v>
      </c>
      <c r="E59" s="15">
        <f>'BALANCE SHEET '!E13/'INCOME STATEMENT'!E17</f>
        <v>0.73172740374716905</v>
      </c>
      <c r="F59" s="15">
        <f>'BALANCE SHEET '!F13/'INCOME STATEMENT'!F17</f>
        <v>0.63349265961078871</v>
      </c>
      <c r="G59" s="15">
        <f>'BALANCE SHEET '!G13/'INCOME STATEMENT'!G17</f>
        <v>0.99807657080051293</v>
      </c>
      <c r="H59" s="15">
        <f>'BALANCE SHEET '!H13/'INCOME STATEMENT'!H17</f>
        <v>0.69331334332833583</v>
      </c>
      <c r="I59" s="15">
        <f>'BALANCE SHEET '!I13/'INCOME STATEMENT'!I17</f>
        <v>0.78799137995095492</v>
      </c>
      <c r="J59" s="15">
        <f>'BALANCE SHEET '!J13/'INCOME STATEMENT'!J17</f>
        <v>0.49291910728850002</v>
      </c>
      <c r="K59" s="15">
        <f>'BALANCE SHEET '!K13/'INCOME STATEMENT'!K17</f>
        <v>0.42651258986901286</v>
      </c>
    </row>
    <row r="60" spans="1:11">
      <c r="A60" s="101" t="s">
        <v>228</v>
      </c>
      <c r="B60" s="69">
        <f>'BALANCE SHEET '!B14/'INCOME STATEMENT'!B17</f>
        <v>0.10117190896008486</v>
      </c>
      <c r="C60" s="69">
        <f>'BALANCE SHEET '!C14/'INCOME STATEMENT'!C17</f>
        <v>0.10079840319361277</v>
      </c>
      <c r="D60" s="69">
        <f>'BALANCE SHEET '!D14/'INCOME STATEMENT'!D17</f>
        <v>0.1195369030390738</v>
      </c>
      <c r="E60" s="69">
        <f>'BALANCE SHEET '!E14/'INCOME STATEMENT'!E17</f>
        <v>0.13022441836524604</v>
      </c>
      <c r="F60" s="69">
        <f>'BALANCE SHEET '!F14/'INCOME STATEMENT'!F17</f>
        <v>0.12154318880163878</v>
      </c>
      <c r="G60" s="69">
        <f>'BALANCE SHEET '!G14/'INCOME STATEMENT'!G17</f>
        <v>0.15176772302619526</v>
      </c>
      <c r="H60" s="69">
        <f>'BALANCE SHEET '!H14/'INCOME STATEMENT'!H17</f>
        <v>0.14566716641679162</v>
      </c>
      <c r="I60" s="69">
        <f>'BALANCE SHEET '!I14/'INCOME STATEMENT'!I17</f>
        <v>0.17277253474028387</v>
      </c>
      <c r="J60" s="69">
        <f>'BALANCE SHEET '!J14/'INCOME STATEMENT'!J17</f>
        <v>0.14187736338696522</v>
      </c>
      <c r="K60" s="69">
        <f>'BALANCE SHEET '!K14/'INCOME STATEMENT'!K17</f>
        <v>0.1641279012507797</v>
      </c>
    </row>
    <row r="61" spans="1:11">
      <c r="A61" t="s">
        <v>236</v>
      </c>
      <c r="B61" s="71">
        <f>AVERAGE(AMD!B98,INTEL!B99,QUALCOMM!B102)</f>
        <v>0.1344589026126303</v>
      </c>
      <c r="C61" s="71">
        <f>AVERAGE(AMD!C98,INTEL!C99,QUALCOMM!C102)</f>
        <v>0.10880639687646119</v>
      </c>
      <c r="D61" s="71">
        <f>AVERAGE(AMD!D98,INTEL!D99,QUALCOMM!D102)</f>
        <v>0.11929176975456736</v>
      </c>
      <c r="E61" s="71">
        <f>AVERAGE(AMD!E98,INTEL!E99,QUALCOMM!E102)</f>
        <v>0.14597117966424333</v>
      </c>
      <c r="F61" s="71">
        <f>AVERAGE(AMD!F98,INTEL!F99,QUALCOMM!F102)</f>
        <v>0.1777993545271376</v>
      </c>
      <c r="G61" s="71">
        <f>AVERAGE(AMD!G98,INTEL!G99,QUALCOMM!G102)</f>
        <v>0.13298689341841163</v>
      </c>
      <c r="H61" s="71">
        <f>AVERAGE(AMD!H98,INTEL!H99,QUALCOMM!H102)</f>
        <v>9.9229864376459087E-2</v>
      </c>
      <c r="I61" s="71">
        <f>AVERAGE(AMD!I98,INTEL!I99,QUALCOMM!I102)</f>
        <v>0.10835808670024523</v>
      </c>
      <c r="J61" s="71">
        <f>AVERAGE(AMD!J98,INTEL!J99,QUALCOMM!J102)</f>
        <v>0.1022443509540425</v>
      </c>
      <c r="K61" s="71">
        <f>AVERAGE(AMD!K98,INTEL!K99,QUALCOMM!K102)</f>
        <v>0.10424339607151238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BB9A-1056-4432-A9C1-F27D5F0E7DB2}">
  <dimension ref="A1:M155"/>
  <sheetViews>
    <sheetView topLeftCell="A43" zoomScale="96" zoomScaleNormal="130" workbookViewId="0">
      <selection activeCell="O62" sqref="O62"/>
    </sheetView>
  </sheetViews>
  <sheetFormatPr defaultColWidth="9.140625" defaultRowHeight="15"/>
  <cols>
    <col min="1" max="1" width="28.42578125" style="1" bestFit="1" customWidth="1"/>
    <col min="2" max="3" width="16.28515625" style="50" bestFit="1" customWidth="1"/>
    <col min="4" max="4" width="21.28515625" style="50" bestFit="1" customWidth="1"/>
    <col min="5" max="5" width="16.7109375" style="50" bestFit="1" customWidth="1"/>
    <col min="6" max="6" width="16.85546875" style="50" bestFit="1" customWidth="1"/>
    <col min="7" max="8" width="16.7109375" style="50" bestFit="1" customWidth="1"/>
    <col min="9" max="11" width="17.5703125" style="50" bestFit="1" customWidth="1"/>
    <col min="12" max="13" width="12.5703125" style="50" bestFit="1" customWidth="1"/>
    <col min="14" max="16384" width="9.140625" style="50"/>
  </cols>
  <sheetData>
    <row r="1" spans="1:11" ht="19.5">
      <c r="A1" s="79" t="s">
        <v>203</v>
      </c>
    </row>
    <row r="2" spans="1:11">
      <c r="A2" s="55" t="s">
        <v>175</v>
      </c>
      <c r="B2" s="27">
        <v>2023</v>
      </c>
      <c r="C2" s="27">
        <v>2024</v>
      </c>
      <c r="D2" s="27">
        <v>2025</v>
      </c>
      <c r="E2" s="27">
        <v>2026</v>
      </c>
      <c r="F2" s="27">
        <v>2027</v>
      </c>
      <c r="G2" s="27">
        <v>2028</v>
      </c>
      <c r="H2" s="27">
        <v>2029</v>
      </c>
      <c r="I2" s="27">
        <v>2030</v>
      </c>
      <c r="J2" s="27">
        <v>2031</v>
      </c>
      <c r="K2" s="27">
        <v>2032</v>
      </c>
    </row>
    <row r="3" spans="1:11">
      <c r="A3" s="105" t="s">
        <v>264</v>
      </c>
      <c r="B3" s="53"/>
    </row>
    <row r="4" spans="1:11">
      <c r="A4" s="50"/>
      <c r="B4" s="53"/>
    </row>
    <row r="5" spans="1:11">
      <c r="A5" s="106" t="s">
        <v>265</v>
      </c>
      <c r="B5" s="53"/>
      <c r="D5" s="76">
        <v>4.2500000000000003E-2</v>
      </c>
      <c r="E5" s="76">
        <v>4.2500000000000003E-2</v>
      </c>
      <c r="F5" s="76">
        <v>3.7499999999999999E-2</v>
      </c>
      <c r="G5" s="76">
        <v>3.7499999999999999E-2</v>
      </c>
      <c r="H5" s="76">
        <v>3.7499999999999999E-2</v>
      </c>
      <c r="I5" s="76">
        <v>3.5000000000000003E-2</v>
      </c>
      <c r="J5" s="76">
        <v>3.5000000000000003E-2</v>
      </c>
      <c r="K5" s="76">
        <v>3.5000000000000003E-2</v>
      </c>
    </row>
    <row r="6" spans="1:11">
      <c r="A6" s="106" t="s">
        <v>266</v>
      </c>
      <c r="B6" s="53"/>
      <c r="D6" s="76">
        <v>4.53E-2</v>
      </c>
      <c r="E6" s="76">
        <v>4.53E-2</v>
      </c>
      <c r="F6" s="76">
        <v>4.53E-2</v>
      </c>
      <c r="G6" s="76">
        <v>4.53E-2</v>
      </c>
      <c r="H6" s="76">
        <v>4.53E-2</v>
      </c>
      <c r="I6" s="76">
        <v>4.53E-2</v>
      </c>
      <c r="J6" s="76">
        <v>4.53E-2</v>
      </c>
      <c r="K6" s="76">
        <v>4.53E-2</v>
      </c>
    </row>
    <row r="7" spans="1:11">
      <c r="A7" s="106" t="s">
        <v>267</v>
      </c>
      <c r="D7" s="76">
        <v>4.7500000000000001E-2</v>
      </c>
      <c r="E7" s="76">
        <v>4.4999999999999998E-2</v>
      </c>
      <c r="F7" s="76">
        <v>4.3999999999999997E-2</v>
      </c>
      <c r="G7" s="76">
        <v>4.3999999999999997E-2</v>
      </c>
      <c r="H7" s="76">
        <v>4.3999999999999997E-2</v>
      </c>
      <c r="I7" s="76">
        <v>4.3999999999999997E-2</v>
      </c>
      <c r="J7" s="76">
        <v>4.3999999999999997E-2</v>
      </c>
      <c r="K7" s="76">
        <v>4.3999999999999997E-2</v>
      </c>
    </row>
    <row r="8" spans="1:11">
      <c r="A8" s="106" t="s">
        <v>268</v>
      </c>
      <c r="B8" s="53"/>
      <c r="D8" s="107">
        <v>0.4</v>
      </c>
      <c r="E8" s="107">
        <v>0.35</v>
      </c>
      <c r="F8" s="107">
        <v>0.3</v>
      </c>
      <c r="G8" s="107">
        <v>0.25</v>
      </c>
      <c r="H8" s="107">
        <v>0.2</v>
      </c>
      <c r="I8" s="107">
        <v>0.18</v>
      </c>
      <c r="J8" s="107">
        <v>0.15</v>
      </c>
      <c r="K8" s="107">
        <v>0.12</v>
      </c>
    </row>
    <row r="9" spans="1:11">
      <c r="A9" s="106" t="s">
        <v>269</v>
      </c>
      <c r="B9" s="53"/>
      <c r="D9" s="76">
        <f t="shared" ref="D9:K9" si="0">D6*D42+D5</f>
        <v>0.119057</v>
      </c>
      <c r="E9" s="76">
        <f t="shared" si="0"/>
        <v>0.119057</v>
      </c>
      <c r="F9" s="76">
        <f t="shared" si="0"/>
        <v>0.11405699999999999</v>
      </c>
      <c r="G9" s="76">
        <f t="shared" si="0"/>
        <v>0.11405699999999999</v>
      </c>
      <c r="H9" s="76">
        <f t="shared" si="0"/>
        <v>0.11405699999999999</v>
      </c>
      <c r="I9" s="76">
        <f t="shared" si="0"/>
        <v>0.111557</v>
      </c>
      <c r="J9" s="76">
        <f t="shared" si="0"/>
        <v>0.111557</v>
      </c>
      <c r="K9" s="76">
        <f t="shared" si="0"/>
        <v>0.111557</v>
      </c>
    </row>
    <row r="10" spans="1:11">
      <c r="A10" s="106" t="s">
        <v>270</v>
      </c>
      <c r="B10" s="53"/>
      <c r="C10" s="110">
        <f>C94/(C94+D44)</f>
        <v>2.5472668720821537E-3</v>
      </c>
      <c r="D10" s="110">
        <f>C10</f>
        <v>2.5472668720821537E-3</v>
      </c>
      <c r="E10" s="110">
        <f t="shared" ref="E10:K10" si="1">D10</f>
        <v>2.5472668720821537E-3</v>
      </c>
      <c r="F10" s="110">
        <f t="shared" si="1"/>
        <v>2.5472668720821537E-3</v>
      </c>
      <c r="G10" s="110">
        <f t="shared" si="1"/>
        <v>2.5472668720821537E-3</v>
      </c>
      <c r="H10" s="110">
        <f t="shared" si="1"/>
        <v>2.5472668720821537E-3</v>
      </c>
      <c r="I10" s="110">
        <f t="shared" si="1"/>
        <v>2.5472668720821537E-3</v>
      </c>
      <c r="J10" s="110">
        <f t="shared" si="1"/>
        <v>2.5472668720821537E-3</v>
      </c>
      <c r="K10" s="110">
        <f t="shared" si="1"/>
        <v>2.5472668720821537E-3</v>
      </c>
    </row>
    <row r="11" spans="1:11">
      <c r="A11" s="106" t="s">
        <v>271</v>
      </c>
      <c r="B11" s="53"/>
      <c r="D11" s="110">
        <f t="shared" ref="D11:K11" si="2">(1-D10)*D9+D10*D7*(1-D26)</f>
        <v>0.11886020637571693</v>
      </c>
      <c r="E11" s="110">
        <f t="shared" si="2"/>
        <v>0.11885460235846922</v>
      </c>
      <c r="F11" s="110">
        <f t="shared" si="2"/>
        <v>0.11386509708593053</v>
      </c>
      <c r="G11" s="110">
        <f t="shared" si="2"/>
        <v>0.11386509708593053</v>
      </c>
      <c r="H11" s="110">
        <f t="shared" si="2"/>
        <v>0.11386509708593053</v>
      </c>
      <c r="I11" s="110">
        <f t="shared" si="2"/>
        <v>0.11137146525311074</v>
      </c>
      <c r="J11" s="110">
        <f t="shared" si="2"/>
        <v>0.11137146525311074</v>
      </c>
      <c r="K11" s="110">
        <f t="shared" si="2"/>
        <v>0.11137146525311074</v>
      </c>
    </row>
    <row r="12" spans="1:11">
      <c r="A12" s="106" t="s">
        <v>272</v>
      </c>
      <c r="B12" s="53"/>
      <c r="D12" s="107">
        <v>0.03</v>
      </c>
    </row>
    <row r="13" spans="1:11">
      <c r="A13" s="106" t="s">
        <v>273</v>
      </c>
      <c r="B13" s="53"/>
      <c r="D13" s="76">
        <f>K11</f>
        <v>0.11137146525311074</v>
      </c>
    </row>
    <row r="14" spans="1:11" ht="16.5">
      <c r="A14" s="64"/>
      <c r="B14" s="53"/>
    </row>
    <row r="15" spans="1:11" ht="33">
      <c r="A15" s="64" t="s">
        <v>303</v>
      </c>
      <c r="B15" s="53"/>
      <c r="D15" s="107">
        <v>1</v>
      </c>
      <c r="E15" s="107">
        <v>1</v>
      </c>
      <c r="F15" s="107">
        <v>1</v>
      </c>
      <c r="G15" s="107">
        <v>1</v>
      </c>
      <c r="H15" s="107">
        <v>1</v>
      </c>
      <c r="I15" s="107">
        <v>1</v>
      </c>
      <c r="J15" s="107">
        <v>1</v>
      </c>
      <c r="K15" s="107">
        <v>1</v>
      </c>
    </row>
    <row r="16" spans="1:11" ht="16.5">
      <c r="A16" s="64" t="s">
        <v>304</v>
      </c>
      <c r="B16" s="107">
        <v>0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J16" s="107">
        <v>0</v>
      </c>
      <c r="K16" s="107">
        <v>0</v>
      </c>
    </row>
    <row r="17" spans="1:11" ht="16.5">
      <c r="A17" s="64" t="s">
        <v>277</v>
      </c>
      <c r="B17">
        <v>134.43</v>
      </c>
    </row>
    <row r="18" spans="1:11">
      <c r="A18" s="50"/>
      <c r="D18" s="54"/>
      <c r="E18" s="54"/>
      <c r="F18" s="54"/>
      <c r="G18" s="54"/>
      <c r="H18" s="54"/>
      <c r="I18" s="54"/>
      <c r="J18" s="54"/>
      <c r="K18" s="54"/>
    </row>
    <row r="19" spans="1:11" ht="19.5">
      <c r="A19" s="85" t="s">
        <v>205</v>
      </c>
      <c r="B19" s="60"/>
      <c r="C19" s="60"/>
      <c r="D19" s="60"/>
      <c r="E19" s="60"/>
      <c r="F19" s="57"/>
      <c r="G19" s="57"/>
    </row>
    <row r="20" spans="1:11">
      <c r="A20" s="29"/>
      <c r="B20" s="60"/>
      <c r="C20" s="60"/>
      <c r="D20" s="60"/>
      <c r="E20" s="60"/>
      <c r="F20" s="57"/>
      <c r="G20" s="57"/>
    </row>
    <row r="21" spans="1:11">
      <c r="A21" s="65" t="s">
        <v>172</v>
      </c>
      <c r="B21" s="116">
        <v>2023</v>
      </c>
      <c r="C21" s="116">
        <v>2024</v>
      </c>
      <c r="D21" s="116">
        <v>2025</v>
      </c>
      <c r="E21" s="116">
        <v>2026</v>
      </c>
      <c r="F21" s="116">
        <v>2027</v>
      </c>
      <c r="G21" s="116">
        <v>2028</v>
      </c>
      <c r="H21" s="116">
        <v>2029</v>
      </c>
      <c r="I21" s="116">
        <v>2030</v>
      </c>
      <c r="J21" s="116">
        <v>2031</v>
      </c>
      <c r="K21" s="116">
        <v>2032</v>
      </c>
    </row>
    <row r="22" spans="1:11">
      <c r="A22" s="117" t="s">
        <v>176</v>
      </c>
      <c r="C22" s="54">
        <v>1.26</v>
      </c>
      <c r="D22" s="54">
        <v>0.17</v>
      </c>
      <c r="E22" s="54">
        <v>0.24</v>
      </c>
      <c r="F22" s="54">
        <v>0.34</v>
      </c>
      <c r="G22" s="54">
        <v>0.47</v>
      </c>
      <c r="H22" s="54">
        <v>0.35</v>
      </c>
      <c r="I22" s="54">
        <v>0.28999999999999998</v>
      </c>
      <c r="J22" s="54">
        <v>0.24</v>
      </c>
      <c r="K22" s="54">
        <v>0.17</v>
      </c>
    </row>
    <row r="23" spans="1:11">
      <c r="A23" s="17" t="s">
        <v>177</v>
      </c>
      <c r="B23"/>
      <c r="C23" s="69">
        <f>'INCOME STATEMENT'!K18/'INCOME STATEMENT'!K17</f>
        <v>0.27282426709563046</v>
      </c>
      <c r="D23" s="69">
        <v>0.27279999999999999</v>
      </c>
      <c r="E23" s="69">
        <v>0.27279999999999999</v>
      </c>
      <c r="F23" s="69">
        <v>0.27279999999999999</v>
      </c>
      <c r="G23" s="69">
        <v>0.27279999999999999</v>
      </c>
      <c r="H23" s="69">
        <v>0.27279999999999999</v>
      </c>
      <c r="I23" s="69">
        <v>0.27279999999999999</v>
      </c>
      <c r="J23" s="69">
        <v>0.27279999999999999</v>
      </c>
      <c r="K23" s="69">
        <v>0.27279999999999999</v>
      </c>
    </row>
    <row r="24" spans="1:11">
      <c r="A24" s="17" t="s">
        <v>178</v>
      </c>
      <c r="B24"/>
      <c r="C24" s="69">
        <f>'INCOME STATEMENT'!K20/'INCOME STATEMENT'!K17</f>
        <v>4.3563901382095135E-2</v>
      </c>
      <c r="D24" s="69">
        <f>C24</f>
        <v>4.3563901382095135E-2</v>
      </c>
      <c r="E24" s="69">
        <f t="shared" ref="E24:K24" si="3">D24</f>
        <v>4.3563901382095135E-2</v>
      </c>
      <c r="F24" s="69">
        <f t="shared" si="3"/>
        <v>4.3563901382095135E-2</v>
      </c>
      <c r="G24" s="69">
        <f t="shared" si="3"/>
        <v>4.3563901382095135E-2</v>
      </c>
      <c r="H24" s="69">
        <f t="shared" si="3"/>
        <v>4.3563901382095135E-2</v>
      </c>
      <c r="I24" s="69">
        <f t="shared" si="3"/>
        <v>4.3563901382095135E-2</v>
      </c>
      <c r="J24" s="69">
        <f t="shared" si="3"/>
        <v>4.3563901382095135E-2</v>
      </c>
      <c r="K24" s="69">
        <f t="shared" si="3"/>
        <v>4.3563901382095135E-2</v>
      </c>
    </row>
    <row r="25" spans="1:11">
      <c r="A25" s="17" t="s">
        <v>179</v>
      </c>
      <c r="B25"/>
      <c r="C25" s="68">
        <f>'BALANCE SHEET '!K19/'INCOME STATEMENT'!K17</f>
        <v>5.7598240372935886E-2</v>
      </c>
      <c r="D25" s="69">
        <f t="shared" ref="D25:K39" si="4">C25</f>
        <v>5.7598240372935886E-2</v>
      </c>
      <c r="E25" s="69">
        <f t="shared" si="4"/>
        <v>5.7598240372935886E-2</v>
      </c>
      <c r="F25" s="69">
        <f t="shared" si="4"/>
        <v>5.7598240372935886E-2</v>
      </c>
      <c r="G25" s="69">
        <f t="shared" si="4"/>
        <v>5.7598240372935886E-2</v>
      </c>
      <c r="H25" s="69">
        <f t="shared" si="4"/>
        <v>5.7598240372935886E-2</v>
      </c>
      <c r="I25" s="69">
        <f t="shared" si="4"/>
        <v>5.7598240372935886E-2</v>
      </c>
      <c r="J25" s="69">
        <f t="shared" si="4"/>
        <v>5.7598240372935886E-2</v>
      </c>
      <c r="K25" s="69">
        <f t="shared" si="4"/>
        <v>5.7598240372935886E-2</v>
      </c>
    </row>
    <row r="26" spans="1:11">
      <c r="A26" s="17" t="s">
        <v>279</v>
      </c>
      <c r="B26"/>
      <c r="C26" s="69">
        <f>'INCOME STATEMENT'!K28/'INCOME STATEMENT'!K27</f>
        <v>0.1199952687917677</v>
      </c>
      <c r="D26" s="69">
        <f t="shared" si="4"/>
        <v>0.1199952687917677</v>
      </c>
      <c r="E26" s="69">
        <f t="shared" si="4"/>
        <v>0.1199952687917677</v>
      </c>
      <c r="F26" s="69">
        <f t="shared" si="4"/>
        <v>0.1199952687917677</v>
      </c>
      <c r="G26" s="69">
        <f t="shared" si="4"/>
        <v>0.1199952687917677</v>
      </c>
      <c r="H26" s="69">
        <f t="shared" si="4"/>
        <v>0.1199952687917677</v>
      </c>
      <c r="I26" s="69">
        <f t="shared" si="4"/>
        <v>0.1199952687917677</v>
      </c>
      <c r="J26" s="69">
        <f t="shared" si="4"/>
        <v>0.1199952687917677</v>
      </c>
      <c r="K26" s="69">
        <f t="shared" si="4"/>
        <v>0.1199952687917677</v>
      </c>
    </row>
    <row r="27" spans="1:11">
      <c r="A27" s="17" t="s">
        <v>180</v>
      </c>
      <c r="B27"/>
      <c r="C27" s="69">
        <f>'BALANCE SHEET '!K11/'INCOME STATEMENT'!K17</f>
        <v>0.11949706181674928</v>
      </c>
      <c r="D27" s="69">
        <f t="shared" si="4"/>
        <v>0.11949706181674928</v>
      </c>
      <c r="E27" s="69">
        <f t="shared" si="4"/>
        <v>0.11949706181674928</v>
      </c>
      <c r="F27" s="69">
        <f t="shared" si="4"/>
        <v>0.11949706181674928</v>
      </c>
      <c r="G27" s="69">
        <f t="shared" si="4"/>
        <v>0.11949706181674928</v>
      </c>
      <c r="H27" s="69">
        <f t="shared" si="4"/>
        <v>0.11949706181674928</v>
      </c>
      <c r="I27" s="69">
        <f t="shared" si="4"/>
        <v>0.11949706181674928</v>
      </c>
      <c r="J27" s="69">
        <f t="shared" si="4"/>
        <v>0.11949706181674928</v>
      </c>
      <c r="K27" s="69">
        <f t="shared" si="4"/>
        <v>0.11949706181674928</v>
      </c>
    </row>
    <row r="28" spans="1:11">
      <c r="A28" s="17" t="s">
        <v>181</v>
      </c>
      <c r="B28"/>
      <c r="C28" s="69">
        <f>'BALANCE SHEET '!K14/'INCOME STATEMENT'!K17</f>
        <v>0.1641279012507797</v>
      </c>
      <c r="D28" s="69">
        <f t="shared" si="4"/>
        <v>0.1641279012507797</v>
      </c>
      <c r="E28" s="69">
        <f t="shared" si="4"/>
        <v>0.1641279012507797</v>
      </c>
      <c r="F28" s="69">
        <f t="shared" si="4"/>
        <v>0.1641279012507797</v>
      </c>
      <c r="G28" s="69">
        <f t="shared" si="4"/>
        <v>0.1641279012507797</v>
      </c>
      <c r="H28" s="69">
        <f t="shared" si="4"/>
        <v>0.1641279012507797</v>
      </c>
      <c r="I28" s="69">
        <f t="shared" si="4"/>
        <v>0.1641279012507797</v>
      </c>
      <c r="J28" s="69">
        <f t="shared" si="4"/>
        <v>0.1641279012507797</v>
      </c>
      <c r="K28" s="69">
        <f t="shared" si="4"/>
        <v>0.1641279012507797</v>
      </c>
    </row>
    <row r="29" spans="1:11">
      <c r="A29" s="17" t="s">
        <v>182</v>
      </c>
      <c r="B29"/>
      <c r="C29" s="69">
        <f>'BALANCE SHEET '!K15/'INCOME STATEMENT'!K17</f>
        <v>8.6701027543416173E-2</v>
      </c>
      <c r="D29" s="69">
        <f t="shared" si="4"/>
        <v>8.6701027543416173E-2</v>
      </c>
      <c r="E29" s="69">
        <f t="shared" si="4"/>
        <v>8.6701027543416173E-2</v>
      </c>
      <c r="F29" s="69">
        <f t="shared" si="4"/>
        <v>8.6701027543416173E-2</v>
      </c>
      <c r="G29" s="69">
        <f t="shared" si="4"/>
        <v>8.6701027543416173E-2</v>
      </c>
      <c r="H29" s="69">
        <f t="shared" si="4"/>
        <v>8.6701027543416173E-2</v>
      </c>
      <c r="I29" s="69">
        <f t="shared" si="4"/>
        <v>8.6701027543416173E-2</v>
      </c>
      <c r="J29" s="69">
        <f t="shared" si="4"/>
        <v>8.6701027543416173E-2</v>
      </c>
      <c r="K29" s="69">
        <f t="shared" si="4"/>
        <v>8.6701027543416173E-2</v>
      </c>
    </row>
    <row r="30" spans="1:11">
      <c r="A30" s="17" t="s">
        <v>225</v>
      </c>
      <c r="B30"/>
      <c r="C30" s="69">
        <f>'INCOME STATEMENT'!K21/'INCOME STATEMENT'!K17</f>
        <v>0.14239519385443683</v>
      </c>
      <c r="D30" s="69">
        <f>C30</f>
        <v>0.14239519385443683</v>
      </c>
      <c r="E30" s="69">
        <f t="shared" si="4"/>
        <v>0.14239519385443683</v>
      </c>
      <c r="F30" s="69">
        <f t="shared" si="4"/>
        <v>0.14239519385443683</v>
      </c>
      <c r="G30" s="69">
        <f t="shared" si="4"/>
        <v>0.14239519385443683</v>
      </c>
      <c r="H30" s="69">
        <f t="shared" si="4"/>
        <v>0.14239519385443683</v>
      </c>
      <c r="I30" s="69">
        <f t="shared" si="4"/>
        <v>0.14239519385443683</v>
      </c>
      <c r="J30" s="69">
        <f t="shared" si="4"/>
        <v>0.14239519385443683</v>
      </c>
      <c r="K30" s="69">
        <f t="shared" si="4"/>
        <v>0.14239519385443683</v>
      </c>
    </row>
    <row r="31" spans="1:11">
      <c r="A31" s="17" t="s">
        <v>183</v>
      </c>
      <c r="B31"/>
      <c r="C31" s="69">
        <f>'BALANCE SHEET '!K18/'INCOME STATEMENT'!K17</f>
        <v>0.12184432553100687</v>
      </c>
      <c r="D31" s="69">
        <f t="shared" si="4"/>
        <v>0.12184432553100687</v>
      </c>
      <c r="E31" s="69">
        <f t="shared" si="4"/>
        <v>0.12184432553100687</v>
      </c>
      <c r="F31" s="69">
        <f t="shared" si="4"/>
        <v>0.12184432553100687</v>
      </c>
      <c r="G31" s="69">
        <f t="shared" si="4"/>
        <v>0.12184432553100687</v>
      </c>
      <c r="H31" s="69">
        <f t="shared" si="4"/>
        <v>0.12184432553100687</v>
      </c>
      <c r="I31" s="69">
        <f t="shared" si="4"/>
        <v>0.12184432553100687</v>
      </c>
      <c r="J31" s="69">
        <f t="shared" si="4"/>
        <v>0.12184432553100687</v>
      </c>
      <c r="K31" s="69">
        <f t="shared" si="4"/>
        <v>0.12184432553100687</v>
      </c>
    </row>
    <row r="32" spans="1:11">
      <c r="A32" s="17" t="s">
        <v>184</v>
      </c>
      <c r="B32"/>
      <c r="C32" s="69">
        <f>'BALANCE SHEET '!K22/'INCOME STATEMENT'!K17</f>
        <v>9.5958766947900592E-2</v>
      </c>
      <c r="D32" s="69">
        <f t="shared" si="4"/>
        <v>9.5958766947900592E-2</v>
      </c>
      <c r="E32" s="69">
        <f t="shared" si="4"/>
        <v>9.5958766947900592E-2</v>
      </c>
      <c r="F32" s="69">
        <f t="shared" si="4"/>
        <v>9.5958766947900592E-2</v>
      </c>
      <c r="G32" s="69">
        <f t="shared" si="4"/>
        <v>9.5958766947900592E-2</v>
      </c>
      <c r="H32" s="69">
        <f t="shared" si="4"/>
        <v>9.5958766947900592E-2</v>
      </c>
      <c r="I32" s="69">
        <f t="shared" si="4"/>
        <v>9.5958766947900592E-2</v>
      </c>
      <c r="J32" s="69">
        <f t="shared" si="4"/>
        <v>9.5958766947900592E-2</v>
      </c>
      <c r="K32" s="69">
        <f t="shared" si="4"/>
        <v>9.5958766947900592E-2</v>
      </c>
    </row>
    <row r="33" spans="1:13">
      <c r="A33" s="17" t="s">
        <v>185</v>
      </c>
      <c r="B33"/>
      <c r="C33" s="69">
        <f>'BALANCE SHEET '!K25/'INCOME STATEMENT'!K17</f>
        <v>4.4302550802665701E-2</v>
      </c>
      <c r="D33" s="69">
        <f t="shared" si="4"/>
        <v>4.4302550802665701E-2</v>
      </c>
      <c r="E33" s="69">
        <f t="shared" si="4"/>
        <v>4.4302550802665701E-2</v>
      </c>
      <c r="F33" s="69">
        <f t="shared" si="4"/>
        <v>4.4302550802665701E-2</v>
      </c>
      <c r="G33" s="69">
        <f t="shared" si="4"/>
        <v>4.4302550802665701E-2</v>
      </c>
      <c r="H33" s="69">
        <f t="shared" si="4"/>
        <v>4.4302550802665701E-2</v>
      </c>
      <c r="I33" s="69">
        <f t="shared" si="4"/>
        <v>4.4302550802665701E-2</v>
      </c>
      <c r="J33" s="69">
        <f t="shared" si="4"/>
        <v>4.4302550802665701E-2</v>
      </c>
      <c r="K33" s="69">
        <f t="shared" si="4"/>
        <v>4.4302550802665701E-2</v>
      </c>
    </row>
    <row r="34" spans="1:13">
      <c r="A34" s="17" t="s">
        <v>186</v>
      </c>
      <c r="B34"/>
      <c r="C34" s="69">
        <f>'BALANCE SHEET '!K28/'INCOME STATEMENT'!K17</f>
        <v>3.0941203506122582E-2</v>
      </c>
      <c r="D34" s="69">
        <f t="shared" si="4"/>
        <v>3.0941203506122582E-2</v>
      </c>
      <c r="E34" s="69">
        <f t="shared" si="4"/>
        <v>3.0941203506122582E-2</v>
      </c>
      <c r="F34" s="69">
        <f t="shared" si="4"/>
        <v>3.0941203506122582E-2</v>
      </c>
      <c r="G34" s="69">
        <f t="shared" si="4"/>
        <v>3.0941203506122582E-2</v>
      </c>
      <c r="H34" s="69">
        <f t="shared" si="4"/>
        <v>3.0941203506122582E-2</v>
      </c>
      <c r="I34" s="69">
        <f t="shared" si="4"/>
        <v>3.0941203506122582E-2</v>
      </c>
      <c r="J34" s="69">
        <f t="shared" si="4"/>
        <v>3.0941203506122582E-2</v>
      </c>
      <c r="K34" s="69">
        <f t="shared" si="4"/>
        <v>3.0941203506122582E-2</v>
      </c>
    </row>
    <row r="35" spans="1:13">
      <c r="A35" s="17" t="s">
        <v>187</v>
      </c>
      <c r="B35"/>
      <c r="C35" s="69">
        <f>'BALANCE SHEET '!K30/'INCOME STATEMENT'!K17</f>
        <v>0.13884967663569811</v>
      </c>
      <c r="D35" s="69">
        <f t="shared" si="4"/>
        <v>0.13884967663569811</v>
      </c>
      <c r="E35" s="71">
        <v>0.13880000000000001</v>
      </c>
      <c r="F35" s="71">
        <v>0.13880000000000001</v>
      </c>
      <c r="G35" s="71">
        <v>0.13880000000000001</v>
      </c>
      <c r="H35" s="71">
        <v>0.13880000000000001</v>
      </c>
      <c r="I35" s="71">
        <v>0.13880000000000001</v>
      </c>
      <c r="J35" s="71">
        <v>0.13880000000000001</v>
      </c>
      <c r="K35" s="71">
        <v>0.13880000000000001</v>
      </c>
    </row>
    <row r="36" spans="1:13">
      <c r="A36" s="17" t="s">
        <v>188</v>
      </c>
      <c r="B36"/>
      <c r="C36" s="69">
        <f>'BALANCE SHEET '!K31/'INCOME STATEMENT'!K17</f>
        <v>1.6988936673123008E-2</v>
      </c>
      <c r="D36" s="69">
        <f t="shared" si="4"/>
        <v>1.6988936673123008E-2</v>
      </c>
      <c r="E36" s="72">
        <v>0.02</v>
      </c>
      <c r="F36" s="72">
        <v>0.02</v>
      </c>
      <c r="G36" s="72">
        <v>0.02</v>
      </c>
      <c r="H36" s="72">
        <v>0.02</v>
      </c>
      <c r="I36" s="72">
        <v>0.02</v>
      </c>
      <c r="J36" s="72">
        <v>0.02</v>
      </c>
      <c r="K36" s="72">
        <v>0.02</v>
      </c>
    </row>
    <row r="37" spans="1:13">
      <c r="A37" s="17" t="s">
        <v>189</v>
      </c>
      <c r="B37"/>
      <c r="C37" s="69">
        <f>'BALANCE SHEET '!K32/'INCOME STATEMENT'!K17</f>
        <v>4.3087882866616328E-2</v>
      </c>
      <c r="D37" s="69">
        <f t="shared" si="4"/>
        <v>4.3087882866616328E-2</v>
      </c>
      <c r="E37" s="69">
        <f t="shared" si="4"/>
        <v>4.3087882866616328E-2</v>
      </c>
      <c r="F37" s="69">
        <f t="shared" si="4"/>
        <v>4.3087882866616328E-2</v>
      </c>
      <c r="G37" s="69">
        <f t="shared" si="4"/>
        <v>4.3087882866616328E-2</v>
      </c>
      <c r="H37" s="69">
        <f t="shared" si="4"/>
        <v>4.3087882866616328E-2</v>
      </c>
      <c r="I37" s="69">
        <f t="shared" si="4"/>
        <v>4.3087882866616328E-2</v>
      </c>
      <c r="J37" s="69">
        <f t="shared" si="4"/>
        <v>4.3087882866616328E-2</v>
      </c>
      <c r="K37" s="69">
        <f t="shared" si="4"/>
        <v>4.3087882866616328E-2</v>
      </c>
    </row>
    <row r="38" spans="1:13">
      <c r="A38" s="17" t="s">
        <v>190</v>
      </c>
      <c r="B38"/>
      <c r="C38" s="69">
        <f>'BALANCE SHEET '!K35/'INCOME STATEMENT'!K17</f>
        <v>0.21555431535405928</v>
      </c>
      <c r="D38" s="69">
        <f t="shared" si="4"/>
        <v>0.21555431535405928</v>
      </c>
      <c r="E38" s="72">
        <v>7.0000000000000007E-2</v>
      </c>
      <c r="F38" s="72">
        <v>7.0000000000000007E-2</v>
      </c>
      <c r="G38" s="72">
        <v>7.0000000000000007E-2</v>
      </c>
      <c r="H38" s="72">
        <v>7.0000000000000007E-2</v>
      </c>
      <c r="I38" s="72">
        <v>7.0000000000000007E-2</v>
      </c>
      <c r="J38" s="72">
        <v>7.0000000000000007E-2</v>
      </c>
      <c r="K38" s="72">
        <v>7.0000000000000007E-2</v>
      </c>
    </row>
    <row r="39" spans="1:13">
      <c r="A39" s="17" t="s">
        <v>191</v>
      </c>
      <c r="B39"/>
      <c r="C39" s="69">
        <f>'BALANCE SHEET '!K36/'INCOME STATEMENT'!K17</f>
        <v>0.4894291060700568</v>
      </c>
      <c r="D39" s="69">
        <f t="shared" si="4"/>
        <v>0.4894291060700568</v>
      </c>
      <c r="E39" s="73">
        <v>4.8000000000000001E-2</v>
      </c>
      <c r="F39" s="73">
        <v>4.8000000000000001E-2</v>
      </c>
      <c r="G39" s="73">
        <v>4.8000000000000001E-2</v>
      </c>
      <c r="H39" s="73">
        <v>4.8000000000000001E-2</v>
      </c>
      <c r="I39" s="73">
        <v>4.8000000000000001E-2</v>
      </c>
      <c r="J39" s="73">
        <v>4.8000000000000001E-2</v>
      </c>
      <c r="K39" s="73">
        <v>4.8000000000000001E-2</v>
      </c>
      <c r="L39" s="62"/>
      <c r="M39" s="62"/>
    </row>
    <row r="40" spans="1:13">
      <c r="A40" s="17" t="s">
        <v>202</v>
      </c>
      <c r="B40"/>
      <c r="C40" s="81"/>
      <c r="D40" s="73">
        <v>0.05</v>
      </c>
      <c r="E40" s="73">
        <v>0.05</v>
      </c>
      <c r="F40" s="73">
        <v>0.05</v>
      </c>
      <c r="G40" s="73">
        <v>0.05</v>
      </c>
      <c r="H40" s="73">
        <v>0.05</v>
      </c>
      <c r="I40" s="73">
        <v>0.05</v>
      </c>
      <c r="J40" s="73">
        <v>0.05</v>
      </c>
      <c r="K40" s="73">
        <v>0.05</v>
      </c>
      <c r="L40" s="61"/>
      <c r="M40" s="61"/>
    </row>
    <row r="41" spans="1:13">
      <c r="A41" s="80" t="s">
        <v>201</v>
      </c>
      <c r="B41" s="81"/>
      <c r="D41" s="82">
        <v>6.0000000000000001E-3</v>
      </c>
      <c r="E41" s="82">
        <v>6.0000000000000001E-3</v>
      </c>
      <c r="F41" s="82">
        <v>6.0000000000000001E-3</v>
      </c>
      <c r="G41" s="82">
        <v>6.0000000000000001E-3</v>
      </c>
      <c r="H41" s="82">
        <v>6.0000000000000001E-3</v>
      </c>
      <c r="I41" s="82">
        <v>6.0000000000000001E-3</v>
      </c>
      <c r="J41" s="82">
        <v>6.0000000000000001E-3</v>
      </c>
      <c r="K41" s="82">
        <v>6.0000000000000001E-3</v>
      </c>
      <c r="L41" s="63"/>
      <c r="M41" s="63"/>
    </row>
    <row r="42" spans="1:13">
      <c r="A42" s="80" t="s">
        <v>275</v>
      </c>
      <c r="B42" s="81"/>
      <c r="C42" s="108">
        <v>1.69</v>
      </c>
      <c r="D42" s="108">
        <v>1.69</v>
      </c>
      <c r="E42" s="108">
        <v>1.69</v>
      </c>
      <c r="F42" s="108">
        <v>1.69</v>
      </c>
      <c r="G42" s="108">
        <v>1.69</v>
      </c>
      <c r="H42" s="108">
        <v>1.69</v>
      </c>
      <c r="I42" s="108">
        <v>1.69</v>
      </c>
      <c r="J42" s="108">
        <v>1.69</v>
      </c>
      <c r="K42" s="108">
        <v>1.69</v>
      </c>
      <c r="L42" s="57"/>
      <c r="M42" s="57"/>
    </row>
    <row r="43" spans="1:13">
      <c r="A43" s="80" t="s">
        <v>276</v>
      </c>
      <c r="B43" s="81"/>
      <c r="C43" s="81"/>
      <c r="D43" s="109">
        <f>'INCOME STATEMENT'!K37</f>
        <v>24640000</v>
      </c>
      <c r="E43" s="82"/>
      <c r="F43" s="82"/>
      <c r="G43" s="82"/>
      <c r="H43" s="82"/>
      <c r="I43" s="82"/>
      <c r="J43" s="82"/>
      <c r="K43" s="82"/>
      <c r="L43" s="57"/>
      <c r="M43" s="57"/>
    </row>
    <row r="44" spans="1:13">
      <c r="A44" s="1" t="s">
        <v>278</v>
      </c>
      <c r="D44">
        <f>D43*B17</f>
        <v>3312355200</v>
      </c>
    </row>
    <row r="45" spans="1:13">
      <c r="A45" s="1" t="s">
        <v>280</v>
      </c>
      <c r="B45" s="110">
        <f>B61/B52</f>
        <v>-1.5941276785052274E-3</v>
      </c>
      <c r="C45" s="110">
        <v>1.3899999999999999E-2</v>
      </c>
      <c r="D45" s="110">
        <v>1.4200000000000001E-2</v>
      </c>
      <c r="E45" s="110">
        <v>1.38E-2</v>
      </c>
      <c r="F45" s="110">
        <v>1.23E-2</v>
      </c>
      <c r="G45" s="110">
        <v>0.01</v>
      </c>
      <c r="H45" s="110">
        <v>0.01</v>
      </c>
      <c r="I45" s="110">
        <v>8.0000000000000002E-3</v>
      </c>
      <c r="J45" s="110">
        <v>8.0000000000000002E-3</v>
      </c>
      <c r="K45" s="110">
        <v>0.01</v>
      </c>
    </row>
    <row r="47" spans="1:13" ht="19.5">
      <c r="A47" s="79" t="s">
        <v>204</v>
      </c>
      <c r="B47" s="54"/>
    </row>
    <row r="49" spans="1:12">
      <c r="A49" s="55" t="s">
        <v>175</v>
      </c>
      <c r="B49" s="27">
        <v>2023</v>
      </c>
      <c r="C49" s="27">
        <v>2024</v>
      </c>
      <c r="D49" s="27">
        <v>2025</v>
      </c>
      <c r="E49" s="27">
        <v>2026</v>
      </c>
      <c r="F49" s="27">
        <v>2027</v>
      </c>
      <c r="G49" s="27">
        <v>2028</v>
      </c>
      <c r="H49" s="27">
        <v>2029</v>
      </c>
      <c r="I49" s="27">
        <v>2030</v>
      </c>
      <c r="J49" s="27">
        <v>2031</v>
      </c>
      <c r="K49" s="27">
        <v>2032</v>
      </c>
    </row>
    <row r="50" spans="1:12">
      <c r="A50" s="1" t="s">
        <v>54</v>
      </c>
      <c r="B50" s="50" t="s">
        <v>2</v>
      </c>
      <c r="C50" s="56">
        <v>60922000</v>
      </c>
      <c r="E50" s="54"/>
      <c r="F50" s="54"/>
      <c r="G50" s="54"/>
      <c r="H50" s="54"/>
      <c r="I50" s="54"/>
      <c r="J50" s="54"/>
      <c r="K50" s="54"/>
    </row>
    <row r="51" spans="1:12">
      <c r="A51" s="1" t="s">
        <v>174</v>
      </c>
      <c r="C51" s="54">
        <f>IFERROR(C52/B52-1,"NA")</f>
        <v>1.2585452658115224</v>
      </c>
      <c r="D51" s="54">
        <v>0.17</v>
      </c>
      <c r="E51" s="54">
        <v>0.24</v>
      </c>
      <c r="F51" s="54">
        <v>0.34</v>
      </c>
      <c r="G51" s="54">
        <v>0.47</v>
      </c>
      <c r="H51" s="54">
        <v>0.35</v>
      </c>
      <c r="I51" s="54">
        <v>0.28999999999999998</v>
      </c>
      <c r="J51" s="54">
        <v>0.24</v>
      </c>
      <c r="K51" s="54">
        <v>0.17</v>
      </c>
    </row>
    <row r="52" spans="1:12">
      <c r="A52" s="9" t="s">
        <v>55</v>
      </c>
      <c r="B52" s="51">
        <v>26974000</v>
      </c>
      <c r="C52" s="51">
        <v>60922000</v>
      </c>
      <c r="D52" s="52">
        <f>C52*(1+D51)</f>
        <v>71278740</v>
      </c>
      <c r="E52" s="52">
        <f t="shared" ref="E52:K52" si="5">D52*(1+E51)</f>
        <v>88385637.599999994</v>
      </c>
      <c r="F52" s="52">
        <f t="shared" si="5"/>
        <v>118436754.384</v>
      </c>
      <c r="G52" s="52">
        <f t="shared" si="5"/>
        <v>174102028.94448</v>
      </c>
      <c r="H52" s="52">
        <f t="shared" si="5"/>
        <v>235037739.07504803</v>
      </c>
      <c r="I52" s="52">
        <f t="shared" si="5"/>
        <v>303198683.40681195</v>
      </c>
      <c r="J52" s="52">
        <f t="shared" si="5"/>
        <v>375966367.42444682</v>
      </c>
      <c r="K52" s="52">
        <f t="shared" si="5"/>
        <v>439880649.88660276</v>
      </c>
    </row>
    <row r="53" spans="1:12">
      <c r="A53" s="1" t="s">
        <v>56</v>
      </c>
      <c r="B53" s="56">
        <v>11618000</v>
      </c>
      <c r="C53" s="56">
        <v>16621000</v>
      </c>
      <c r="D53" s="56">
        <f t="shared" ref="D53:K53" si="6">D52*D23</f>
        <v>19444840.272</v>
      </c>
      <c r="E53" s="56">
        <f t="shared" si="6"/>
        <v>24111601.937279996</v>
      </c>
      <c r="F53" s="56">
        <f t="shared" si="6"/>
        <v>32309546.5959552</v>
      </c>
      <c r="G53" s="56">
        <f t="shared" si="6"/>
        <v>47495033.496054143</v>
      </c>
      <c r="H53" s="56">
        <f t="shared" si="6"/>
        <v>64118295.219673097</v>
      </c>
      <c r="I53" s="56">
        <f t="shared" si="6"/>
        <v>82712600.8333783</v>
      </c>
      <c r="J53" s="56">
        <f t="shared" si="6"/>
        <v>102563625.03338909</v>
      </c>
      <c r="K53" s="56">
        <f t="shared" si="6"/>
        <v>119999441.28906523</v>
      </c>
    </row>
    <row r="54" spans="1:12" ht="15.75">
      <c r="A54" s="9" t="s">
        <v>57</v>
      </c>
      <c r="B54" s="51">
        <v>15356000</v>
      </c>
      <c r="C54" s="51">
        <v>44301000</v>
      </c>
      <c r="D54" s="58">
        <f>D52-D53</f>
        <v>51833899.728</v>
      </c>
      <c r="E54" s="58">
        <f t="shared" ref="E54:K54" si="7">E52-E53</f>
        <v>64274035.662719995</v>
      </c>
      <c r="F54" s="58">
        <f t="shared" si="7"/>
        <v>86127207.78804481</v>
      </c>
      <c r="G54" s="58">
        <f t="shared" si="7"/>
        <v>126606995.44842586</v>
      </c>
      <c r="H54" s="58">
        <f t="shared" si="7"/>
        <v>170919443.85537493</v>
      </c>
      <c r="I54" s="58">
        <f t="shared" si="7"/>
        <v>220486082.57343364</v>
      </c>
      <c r="J54" s="58">
        <f t="shared" si="7"/>
        <v>273402742.39105773</v>
      </c>
      <c r="K54" s="58">
        <f t="shared" si="7"/>
        <v>319881208.59753752</v>
      </c>
      <c r="L54" s="16"/>
    </row>
    <row r="55" spans="1:12">
      <c r="A55" s="1" t="s">
        <v>58</v>
      </c>
      <c r="B55" s="56">
        <v>2440000</v>
      </c>
      <c r="C55" s="56">
        <v>2654000</v>
      </c>
      <c r="D55" s="56">
        <f>D52*D24</f>
        <v>3105180</v>
      </c>
      <c r="E55" s="56">
        <f t="shared" ref="E55:K55" si="8">E52*E24</f>
        <v>3850423.1999999997</v>
      </c>
      <c r="F55" s="56">
        <f t="shared" si="8"/>
        <v>5159567.0879999995</v>
      </c>
      <c r="G55" s="56">
        <f t="shared" si="8"/>
        <v>7584563.6193599999</v>
      </c>
      <c r="H55" s="56">
        <f t="shared" si="8"/>
        <v>10239160.886136001</v>
      </c>
      <c r="I55" s="56">
        <f t="shared" si="8"/>
        <v>13208517.543115441</v>
      </c>
      <c r="J55" s="56">
        <f t="shared" si="8"/>
        <v>16378561.753463147</v>
      </c>
      <c r="K55" s="56">
        <f t="shared" si="8"/>
        <v>19162917.251551881</v>
      </c>
      <c r="L55" s="68"/>
    </row>
    <row r="56" spans="1:12">
      <c r="A56" s="1" t="s">
        <v>59</v>
      </c>
      <c r="B56" s="56">
        <v>7339000</v>
      </c>
      <c r="C56" s="56">
        <v>8675000</v>
      </c>
      <c r="D56" s="56">
        <f>D52*D30</f>
        <v>10149750</v>
      </c>
      <c r="E56" s="56">
        <f t="shared" ref="E56:K56" si="9">E52*E30</f>
        <v>12585690</v>
      </c>
      <c r="F56" s="56">
        <f t="shared" si="9"/>
        <v>16864824.600000001</v>
      </c>
      <c r="G56" s="56">
        <f t="shared" si="9"/>
        <v>24791292.162</v>
      </c>
      <c r="H56" s="56">
        <f t="shared" si="9"/>
        <v>33468244.418700006</v>
      </c>
      <c r="I56" s="56">
        <f t="shared" si="9"/>
        <v>43174035.300123006</v>
      </c>
      <c r="J56" s="56">
        <f t="shared" si="9"/>
        <v>53535803.772152528</v>
      </c>
      <c r="K56" s="56">
        <f t="shared" si="9"/>
        <v>62636890.413418457</v>
      </c>
      <c r="L56" s="69"/>
    </row>
    <row r="57" spans="1:12">
      <c r="A57" s="20" t="s">
        <v>61</v>
      </c>
      <c r="B57" s="56">
        <f>B55+B56</f>
        <v>9779000</v>
      </c>
      <c r="C57" s="56">
        <f>C55+C56</f>
        <v>11329000</v>
      </c>
      <c r="D57" s="56">
        <f>D55+D56</f>
        <v>13254930</v>
      </c>
      <c r="E57" s="56">
        <f t="shared" ref="E57:K57" si="10">E55+E56</f>
        <v>16436113.199999999</v>
      </c>
      <c r="F57" s="56">
        <f t="shared" si="10"/>
        <v>22024391.688000001</v>
      </c>
      <c r="G57" s="56">
        <f t="shared" si="10"/>
        <v>32375855.78136</v>
      </c>
      <c r="H57" s="56">
        <f t="shared" si="10"/>
        <v>43707405.304836005</v>
      </c>
      <c r="I57" s="56">
        <f t="shared" si="10"/>
        <v>56382552.843238443</v>
      </c>
      <c r="J57" s="56">
        <f t="shared" si="10"/>
        <v>69914365.525615677</v>
      </c>
      <c r="K57" s="56">
        <f t="shared" si="10"/>
        <v>81799807.664970338</v>
      </c>
      <c r="L57" s="68"/>
    </row>
    <row r="58" spans="1:12">
      <c r="A58" s="20" t="s">
        <v>62</v>
      </c>
      <c r="B58" s="56">
        <v>4224000</v>
      </c>
      <c r="C58" s="56">
        <v>32972000</v>
      </c>
      <c r="D58" s="56">
        <f>D54-D57</f>
        <v>38578969.728</v>
      </c>
      <c r="E58" s="56">
        <f t="shared" ref="E58:K58" si="11">E54-E57</f>
        <v>47837922.462719992</v>
      </c>
      <c r="F58" s="56">
        <f t="shared" si="11"/>
        <v>64102816.100044809</v>
      </c>
      <c r="G58" s="56">
        <f t="shared" si="11"/>
        <v>94231139.667065859</v>
      </c>
      <c r="H58" s="56">
        <f t="shared" si="11"/>
        <v>127212038.55053893</v>
      </c>
      <c r="I58" s="56">
        <f t="shared" si="11"/>
        <v>164103529.73019519</v>
      </c>
      <c r="J58" s="56">
        <f t="shared" si="11"/>
        <v>203488376.86544204</v>
      </c>
      <c r="K58" s="56">
        <f t="shared" si="11"/>
        <v>238081400.93256718</v>
      </c>
      <c r="L58" s="70"/>
    </row>
    <row r="59" spans="1:12">
      <c r="A59" s="1" t="s">
        <v>63</v>
      </c>
      <c r="B59" s="56">
        <v>5000</v>
      </c>
      <c r="C59" s="56">
        <v>609000</v>
      </c>
      <c r="D59" s="56"/>
      <c r="E59" s="56"/>
      <c r="F59" s="56"/>
      <c r="G59" s="56"/>
      <c r="H59" s="56"/>
      <c r="I59" s="56"/>
      <c r="J59" s="56"/>
      <c r="K59" s="56"/>
      <c r="L59" s="71"/>
    </row>
    <row r="60" spans="1:12">
      <c r="A60" s="1" t="s">
        <v>64</v>
      </c>
      <c r="B60" s="56">
        <v>-48000</v>
      </c>
      <c r="C60" s="56">
        <v>237000</v>
      </c>
      <c r="D60" s="56">
        <f>D52*D25</f>
        <v>4105530</v>
      </c>
      <c r="E60" s="56">
        <f t="shared" ref="E60:K60" si="12">E52*E25</f>
        <v>5090857.1999999993</v>
      </c>
      <c r="F60" s="56">
        <f t="shared" si="12"/>
        <v>6821748.648</v>
      </c>
      <c r="G60" s="56">
        <f t="shared" si="12"/>
        <v>10027970.512560001</v>
      </c>
      <c r="H60" s="56">
        <f t="shared" si="12"/>
        <v>13537760.191956002</v>
      </c>
      <c r="I60" s="56">
        <f t="shared" si="12"/>
        <v>17463710.647623241</v>
      </c>
      <c r="J60" s="56">
        <f t="shared" si="12"/>
        <v>21655001.203052819</v>
      </c>
      <c r="K60" s="56">
        <f t="shared" si="12"/>
        <v>25336351.4075718</v>
      </c>
      <c r="L60" s="70"/>
    </row>
    <row r="61" spans="1:12">
      <c r="A61" s="1" t="s">
        <v>65</v>
      </c>
      <c r="B61" s="56">
        <v>-43000</v>
      </c>
      <c r="C61" s="56">
        <v>846000</v>
      </c>
      <c r="D61" s="56">
        <f>D52*D45</f>
        <v>1012158.108</v>
      </c>
      <c r="E61" s="56">
        <f t="shared" ref="E61:K61" si="13">E52*E45</f>
        <v>1219721.7988799999</v>
      </c>
      <c r="F61" s="56">
        <f t="shared" si="13"/>
        <v>1456772.0789232</v>
      </c>
      <c r="G61" s="56">
        <f t="shared" si="13"/>
        <v>1741020.2894448</v>
      </c>
      <c r="H61" s="56">
        <f t="shared" si="13"/>
        <v>2350377.3907504804</v>
      </c>
      <c r="I61" s="56">
        <f t="shared" si="13"/>
        <v>2425589.4672544957</v>
      </c>
      <c r="J61" s="56">
        <f t="shared" si="13"/>
        <v>3007730.9393955749</v>
      </c>
      <c r="K61" s="56">
        <f t="shared" si="13"/>
        <v>4398806.4988660272</v>
      </c>
      <c r="L61" s="70"/>
    </row>
    <row r="62" spans="1:12">
      <c r="A62" s="20" t="s">
        <v>66</v>
      </c>
      <c r="B62" s="56">
        <f>B58</f>
        <v>4224000</v>
      </c>
      <c r="C62" s="56">
        <f t="shared" ref="C62" si="14">C58</f>
        <v>32972000</v>
      </c>
      <c r="D62" s="56">
        <f>D58+D61</f>
        <v>39591127.836000003</v>
      </c>
      <c r="E62" s="56">
        <f t="shared" ref="E62:K62" si="15">E58+E61</f>
        <v>49057644.261599995</v>
      </c>
      <c r="F62" s="56">
        <f t="shared" si="15"/>
        <v>65559588.178968012</v>
      </c>
      <c r="G62" s="56">
        <f t="shared" si="15"/>
        <v>95972159.956510663</v>
      </c>
      <c r="H62" s="56">
        <f t="shared" si="15"/>
        <v>129562415.94128941</v>
      </c>
      <c r="I62" s="56">
        <f t="shared" si="15"/>
        <v>166529119.19744968</v>
      </c>
      <c r="J62" s="56">
        <f t="shared" si="15"/>
        <v>206496107.80483761</v>
      </c>
      <c r="K62" s="56">
        <f t="shared" si="15"/>
        <v>242480207.4314332</v>
      </c>
      <c r="L62" s="70"/>
    </row>
    <row r="63" spans="1:12">
      <c r="A63" s="20" t="s">
        <v>67</v>
      </c>
      <c r="B63" s="56">
        <v>4368000</v>
      </c>
      <c r="C63" s="56">
        <v>29760000</v>
      </c>
      <c r="D63" s="56">
        <f>D62-D71</f>
        <v>34840379.809549943</v>
      </c>
      <c r="E63" s="56">
        <f t="shared" ref="E63:K63" si="16">E62-E71</f>
        <v>43170959.052138381</v>
      </c>
      <c r="F63" s="56">
        <f t="shared" si="16"/>
        <v>57692747.773555152</v>
      </c>
      <c r="G63" s="56">
        <f t="shared" si="16"/>
        <v>84455954.826002643</v>
      </c>
      <c r="H63" s="56">
        <f t="shared" si="16"/>
        <v>114015539.01510358</v>
      </c>
      <c r="I63" s="56">
        <f t="shared" si="16"/>
        <v>146546412.77769539</v>
      </c>
      <c r="J63" s="56">
        <f t="shared" si="16"/>
        <v>181717551.84434229</v>
      </c>
      <c r="K63" s="56">
        <f t="shared" si="16"/>
        <v>213383729.76401478</v>
      </c>
      <c r="L63" s="70"/>
    </row>
    <row r="64" spans="1:12">
      <c r="A64" s="1" t="s">
        <v>70</v>
      </c>
      <c r="B64" s="59">
        <v>0.18</v>
      </c>
      <c r="C64" s="59">
        <v>1.21</v>
      </c>
      <c r="D64" s="59"/>
      <c r="E64" s="59"/>
      <c r="F64" s="59"/>
      <c r="G64" s="59"/>
      <c r="H64" s="59"/>
      <c r="I64" s="59"/>
      <c r="J64" s="59"/>
      <c r="K64" s="59"/>
      <c r="L64" s="71"/>
    </row>
    <row r="65" spans="1:12">
      <c r="A65" s="1" t="s">
        <v>71</v>
      </c>
      <c r="B65" s="59">
        <v>0.18</v>
      </c>
      <c r="C65" s="59">
        <v>1.21</v>
      </c>
      <c r="D65" s="66"/>
      <c r="E65" s="66"/>
      <c r="F65" s="66"/>
      <c r="G65" s="66"/>
      <c r="H65" s="66"/>
      <c r="I65" s="66"/>
      <c r="J65" s="66"/>
      <c r="K65" s="66"/>
      <c r="L65" s="71"/>
    </row>
    <row r="66" spans="1:12">
      <c r="A66" s="1" t="s">
        <v>72</v>
      </c>
      <c r="B66" s="56">
        <v>25070000</v>
      </c>
      <c r="C66" s="56">
        <v>24940000</v>
      </c>
      <c r="D66" s="67"/>
      <c r="E66" s="67"/>
      <c r="F66" s="67"/>
      <c r="G66" s="67"/>
      <c r="H66" s="67"/>
      <c r="I66" s="67"/>
      <c r="J66" s="67"/>
      <c r="K66" s="67"/>
      <c r="L66" s="71"/>
    </row>
    <row r="67" spans="1:12">
      <c r="A67" s="1" t="s">
        <v>73</v>
      </c>
      <c r="B67" s="59">
        <v>0.17</v>
      </c>
      <c r="C67" s="59">
        <v>1.19</v>
      </c>
      <c r="D67" s="78"/>
      <c r="E67" s="78"/>
      <c r="F67" s="78"/>
      <c r="G67" s="78"/>
      <c r="H67" s="78"/>
      <c r="I67" s="78"/>
      <c r="J67" s="78"/>
      <c r="K67" s="78"/>
      <c r="L67" s="71"/>
    </row>
    <row r="68" spans="1:12">
      <c r="A68" s="1" t="s">
        <v>74</v>
      </c>
      <c r="B68" s="59">
        <v>0.17</v>
      </c>
      <c r="C68" s="59">
        <v>1.19</v>
      </c>
      <c r="D68" s="67"/>
      <c r="E68" s="67"/>
      <c r="F68" s="67"/>
      <c r="G68" s="67"/>
      <c r="H68" s="67"/>
      <c r="I68" s="67"/>
      <c r="J68" s="67"/>
      <c r="K68" s="67"/>
      <c r="L68" s="72"/>
    </row>
    <row r="69" spans="1:12">
      <c r="A69" s="1" t="s">
        <v>75</v>
      </c>
      <c r="B69" s="56">
        <v>24660000</v>
      </c>
      <c r="C69" s="56">
        <v>24640000</v>
      </c>
      <c r="D69" s="56"/>
      <c r="E69" s="56"/>
      <c r="F69" s="56"/>
      <c r="G69" s="56"/>
      <c r="H69" s="56"/>
      <c r="I69" s="56"/>
      <c r="J69" s="56"/>
      <c r="K69" s="56"/>
      <c r="L69" s="73"/>
    </row>
    <row r="70" spans="1:12">
      <c r="A70" s="1" t="s">
        <v>193</v>
      </c>
      <c r="B70" s="15">
        <v>5768</v>
      </c>
      <c r="C70" s="15">
        <v>34480</v>
      </c>
      <c r="D70" s="15"/>
      <c r="E70" s="15"/>
      <c r="F70" s="15"/>
      <c r="G70" s="15"/>
      <c r="H70" s="15"/>
      <c r="I70" s="15"/>
      <c r="J70" s="15"/>
      <c r="K70" s="15"/>
      <c r="L70" s="72"/>
    </row>
    <row r="71" spans="1:12">
      <c r="A71" s="1" t="s">
        <v>150</v>
      </c>
      <c r="B71" s="15">
        <v>123000</v>
      </c>
      <c r="C71" s="15">
        <v>4058000</v>
      </c>
      <c r="D71" s="15">
        <f>D62*D26</f>
        <v>4750748.0264500566</v>
      </c>
      <c r="E71" s="15">
        <f t="shared" ref="E71:K71" si="17">E62*E26</f>
        <v>5886685.2094616117</v>
      </c>
      <c r="F71" s="15">
        <f t="shared" si="17"/>
        <v>7866840.405412863</v>
      </c>
      <c r="G71" s="15">
        <f t="shared" si="17"/>
        <v>11516205.130508021</v>
      </c>
      <c r="H71" s="15">
        <f t="shared" si="17"/>
        <v>15546876.92618583</v>
      </c>
      <c r="I71" s="15">
        <f t="shared" si="17"/>
        <v>19982706.419754297</v>
      </c>
      <c r="J71" s="15">
        <f t="shared" si="17"/>
        <v>24778555.96049533</v>
      </c>
      <c r="K71" s="15">
        <f t="shared" si="17"/>
        <v>29096477.667418413</v>
      </c>
      <c r="L71" s="15"/>
    </row>
    <row r="72" spans="1:12">
      <c r="A72" s="65" t="s">
        <v>200</v>
      </c>
      <c r="B72" s="77">
        <v>24640000</v>
      </c>
      <c r="C72" s="75">
        <v>246900</v>
      </c>
      <c r="D72" s="75">
        <f t="shared" ref="D72:K72" si="18">C72*(1-D41)</f>
        <v>245418.6</v>
      </c>
      <c r="E72" s="75">
        <f t="shared" si="18"/>
        <v>243946.08840000001</v>
      </c>
      <c r="F72" s="75">
        <f t="shared" si="18"/>
        <v>242482.41186960001</v>
      </c>
      <c r="G72" s="75">
        <f t="shared" si="18"/>
        <v>241027.51739838242</v>
      </c>
      <c r="H72" s="75">
        <f t="shared" si="18"/>
        <v>239581.35229399212</v>
      </c>
      <c r="I72" s="75">
        <f t="shared" si="18"/>
        <v>238143.86418022818</v>
      </c>
      <c r="J72" s="75">
        <f t="shared" si="18"/>
        <v>236715.00099514681</v>
      </c>
      <c r="K72" s="75">
        <f t="shared" si="18"/>
        <v>235294.71098917592</v>
      </c>
      <c r="L72" s="73"/>
    </row>
    <row r="73" spans="1:12">
      <c r="L73" s="73"/>
    </row>
    <row r="74" spans="1:12">
      <c r="A74" s="1" t="s">
        <v>119</v>
      </c>
      <c r="B74" s="54">
        <f>B63/B52</f>
        <v>0.16193371394676356</v>
      </c>
      <c r="C74" s="54">
        <f t="shared" ref="C74:K74" si="19">C63/C52</f>
        <v>0.4884934834706674</v>
      </c>
      <c r="D74" s="54">
        <f t="shared" si="19"/>
        <v>0.48879062409843305</v>
      </c>
      <c r="E74" s="54">
        <f t="shared" si="19"/>
        <v>0.48843862220594969</v>
      </c>
      <c r="F74" s="54">
        <f t="shared" si="19"/>
        <v>0.48711861510913751</v>
      </c>
      <c r="G74" s="54">
        <f t="shared" si="19"/>
        <v>0.48509460422735851</v>
      </c>
      <c r="H74" s="54">
        <f t="shared" si="19"/>
        <v>0.48509460422735851</v>
      </c>
      <c r="I74" s="54">
        <f t="shared" si="19"/>
        <v>0.48333459476494195</v>
      </c>
      <c r="J74" s="54">
        <f t="shared" si="19"/>
        <v>0.483334594764942</v>
      </c>
      <c r="K74" s="54">
        <f t="shared" si="19"/>
        <v>0.48509460422735839</v>
      </c>
      <c r="L74" s="73"/>
    </row>
    <row r="75" spans="1:12">
      <c r="A75" s="1" t="s">
        <v>281</v>
      </c>
      <c r="B75" s="50">
        <f>'BALANCE SHEET '!J19-'BALANCE SHEET '!I19</f>
        <v>791000</v>
      </c>
      <c r="C75" s="50">
        <f>'BALANCE SHEET '!K19-'BALANCE SHEET '!J19</f>
        <v>815000</v>
      </c>
      <c r="D75" s="56">
        <f>D25*AVERAGE(C85:D85)</f>
        <v>463893.63604280882</v>
      </c>
      <c r="E75" s="56">
        <f t="shared" ref="E75:K75" si="20">E25*AVERAGE(D85:E85)</f>
        <v>560263.79785299231</v>
      </c>
      <c r="F75" s="56">
        <f t="shared" si="20"/>
        <v>725741.71243314398</v>
      </c>
      <c r="G75" s="56">
        <f t="shared" si="20"/>
        <v>1026521.3332526583</v>
      </c>
      <c r="H75" s="56">
        <f t="shared" si="20"/>
        <v>1435675.2816685459</v>
      </c>
      <c r="I75" s="56">
        <f t="shared" si="20"/>
        <v>1888676.6524588552</v>
      </c>
      <c r="J75" s="56">
        <f t="shared" si="20"/>
        <v>2383196.5305437152</v>
      </c>
      <c r="K75" s="56">
        <f t="shared" si="20"/>
        <v>2862814.8323156377</v>
      </c>
      <c r="L75" s="73"/>
    </row>
    <row r="78" spans="1:12" ht="19.5">
      <c r="A78" s="79" t="s">
        <v>195</v>
      </c>
      <c r="B78" s="70"/>
      <c r="C78" s="70"/>
      <c r="D78" s="60"/>
      <c r="E78" s="60"/>
      <c r="F78" s="57"/>
      <c r="G78" s="57"/>
    </row>
    <row r="79" spans="1:12">
      <c r="B79" s="21"/>
      <c r="C79" s="21"/>
      <c r="D79" s="60"/>
      <c r="E79" s="60"/>
      <c r="F79" s="57"/>
      <c r="G79" s="57"/>
    </row>
    <row r="80" spans="1:12">
      <c r="A80" s="1" t="s">
        <v>28</v>
      </c>
      <c r="B80" s="21">
        <v>13296000</v>
      </c>
      <c r="C80" s="21">
        <v>25984000</v>
      </c>
      <c r="D80" s="62">
        <f>D27*D52</f>
        <v>8517600</v>
      </c>
      <c r="E80" s="62">
        <f t="shared" ref="E80:K80" si="21">E27*E52</f>
        <v>10561823.999999998</v>
      </c>
      <c r="F80" s="62">
        <f t="shared" si="21"/>
        <v>14152844.16</v>
      </c>
      <c r="G80" s="62">
        <f t="shared" si="21"/>
        <v>20804680.915199999</v>
      </c>
      <c r="H80" s="62">
        <f t="shared" si="21"/>
        <v>28086319.235520002</v>
      </c>
      <c r="I80" s="62">
        <f t="shared" si="21"/>
        <v>36231351.813820802</v>
      </c>
      <c r="J80" s="62">
        <f t="shared" si="21"/>
        <v>44926876.249137796</v>
      </c>
      <c r="K80" s="62">
        <f t="shared" si="21"/>
        <v>52564445.21149122</v>
      </c>
      <c r="L80" s="62"/>
    </row>
    <row r="81" spans="1:12">
      <c r="A81" s="1" t="s">
        <v>27</v>
      </c>
      <c r="B81" s="21">
        <v>3827000</v>
      </c>
      <c r="C81" s="21">
        <v>9999000</v>
      </c>
      <c r="D81" s="62">
        <f t="shared" ref="D81:K81" si="22">D52*D28</f>
        <v>11698830</v>
      </c>
      <c r="E81" s="62">
        <f t="shared" si="22"/>
        <v>14506549.199999999</v>
      </c>
      <c r="F81" s="62">
        <f t="shared" si="22"/>
        <v>19438775.928000003</v>
      </c>
      <c r="G81" s="62">
        <f t="shared" si="22"/>
        <v>28575000.614160001</v>
      </c>
      <c r="H81" s="62">
        <f t="shared" si="22"/>
        <v>38576250.829116009</v>
      </c>
      <c r="I81" s="62">
        <f t="shared" si="22"/>
        <v>49763363.569559649</v>
      </c>
      <c r="J81" s="62">
        <f t="shared" si="22"/>
        <v>61706570.826253965</v>
      </c>
      <c r="K81" s="62">
        <f t="shared" si="22"/>
        <v>72196687.86671713</v>
      </c>
    </row>
    <row r="82" spans="1:12">
      <c r="A82" s="1" t="s">
        <v>26</v>
      </c>
      <c r="B82" s="21">
        <v>5159000</v>
      </c>
      <c r="C82" s="21">
        <v>5282000</v>
      </c>
      <c r="D82" s="75">
        <f t="shared" ref="D82:K82" si="23">D52*D29</f>
        <v>6179940</v>
      </c>
      <c r="E82" s="75">
        <f t="shared" si="23"/>
        <v>7663125.5999999996</v>
      </c>
      <c r="F82" s="75">
        <f t="shared" si="23"/>
        <v>10268588.304000001</v>
      </c>
      <c r="G82" s="75">
        <f t="shared" si="23"/>
        <v>15094824.806880001</v>
      </c>
      <c r="H82" s="75">
        <f t="shared" si="23"/>
        <v>20378013.489288002</v>
      </c>
      <c r="I82" s="75">
        <f t="shared" si="23"/>
        <v>26287637.401181523</v>
      </c>
      <c r="J82" s="75">
        <f t="shared" si="23"/>
        <v>32596670.377465088</v>
      </c>
      <c r="K82" s="75">
        <f t="shared" si="23"/>
        <v>38138104.341634154</v>
      </c>
    </row>
    <row r="83" spans="1:12">
      <c r="B83" s="21"/>
      <c r="C83" s="21"/>
    </row>
    <row r="84" spans="1:12" ht="15.75">
      <c r="A84" s="23" t="s">
        <v>24</v>
      </c>
      <c r="B84" s="24">
        <v>23073000</v>
      </c>
      <c r="C84" s="24">
        <v>44345000</v>
      </c>
      <c r="D84" s="83">
        <f>SUM(D80:D82)</f>
        <v>26396370</v>
      </c>
      <c r="E84" s="83">
        <f t="shared" ref="E84:K84" si="24">SUM(E80:E82)</f>
        <v>32731498.799999997</v>
      </c>
      <c r="F84" s="83">
        <f t="shared" si="24"/>
        <v>43860208.392000005</v>
      </c>
      <c r="G84" s="83">
        <f t="shared" si="24"/>
        <v>64474506.336239994</v>
      </c>
      <c r="H84" s="83">
        <f t="shared" si="24"/>
        <v>87040583.553924009</v>
      </c>
      <c r="I84" s="83">
        <f t="shared" si="24"/>
        <v>112282352.78456196</v>
      </c>
      <c r="J84" s="83">
        <f t="shared" si="24"/>
        <v>139230117.45285687</v>
      </c>
      <c r="K84" s="83">
        <f t="shared" si="24"/>
        <v>162899237.41984251</v>
      </c>
    </row>
    <row r="85" spans="1:12">
      <c r="A85" s="1" t="s">
        <v>23</v>
      </c>
      <c r="B85" s="21">
        <v>6501000</v>
      </c>
      <c r="C85" s="21">
        <v>7423000</v>
      </c>
      <c r="D85" s="74">
        <f t="shared" ref="D85:K85" si="25">D52*D31</f>
        <v>8684910</v>
      </c>
      <c r="E85" s="74">
        <f t="shared" si="25"/>
        <v>10769288.4</v>
      </c>
      <c r="F85" s="74">
        <f t="shared" si="25"/>
        <v>14430846.456</v>
      </c>
      <c r="G85" s="74">
        <f t="shared" si="25"/>
        <v>21213344.290320002</v>
      </c>
      <c r="H85" s="74">
        <f t="shared" si="25"/>
        <v>28638014.791932005</v>
      </c>
      <c r="I85" s="74">
        <f t="shared" si="25"/>
        <v>36943039.081592284</v>
      </c>
      <c r="J85" s="74">
        <f t="shared" si="25"/>
        <v>45809368.461174436</v>
      </c>
      <c r="K85" s="74">
        <f t="shared" si="25"/>
        <v>53596961.099574089</v>
      </c>
    </row>
    <row r="86" spans="1:12">
      <c r="A86" s="1" t="s">
        <v>194</v>
      </c>
      <c r="B86" s="21">
        <v>2694000</v>
      </c>
      <c r="C86" s="21">
        <v>3509000</v>
      </c>
      <c r="D86" s="74">
        <f>C86+D75</f>
        <v>3972893.6360428086</v>
      </c>
      <c r="E86" s="74">
        <f t="shared" ref="E86:K86" si="26">D86+E75</f>
        <v>4533157.4338958012</v>
      </c>
      <c r="F86" s="74">
        <f t="shared" si="26"/>
        <v>5258899.1463289447</v>
      </c>
      <c r="G86" s="74">
        <f t="shared" si="26"/>
        <v>6285420.4795816028</v>
      </c>
      <c r="H86" s="74">
        <f t="shared" si="26"/>
        <v>7721095.7612501485</v>
      </c>
      <c r="I86" s="74">
        <f t="shared" si="26"/>
        <v>9609772.4137090035</v>
      </c>
      <c r="J86" s="74">
        <f t="shared" si="26"/>
        <v>11992968.944252718</v>
      </c>
      <c r="K86" s="74">
        <f t="shared" si="26"/>
        <v>14855783.776568357</v>
      </c>
    </row>
    <row r="87" spans="1:12">
      <c r="A87" s="1" t="s">
        <v>21</v>
      </c>
      <c r="B87" s="21">
        <v>3807000</v>
      </c>
      <c r="C87" s="21">
        <v>3914000</v>
      </c>
      <c r="D87" s="74">
        <f>D85-D86</f>
        <v>4712016.3639571909</v>
      </c>
      <c r="E87" s="74">
        <f t="shared" ref="E87:K87" si="27">E85-E86</f>
        <v>6236130.9661041992</v>
      </c>
      <c r="F87" s="74">
        <f t="shared" si="27"/>
        <v>9171947.3096710555</v>
      </c>
      <c r="G87" s="74">
        <f t="shared" si="27"/>
        <v>14927923.8107384</v>
      </c>
      <c r="H87" s="74">
        <f t="shared" si="27"/>
        <v>20916919.030681856</v>
      </c>
      <c r="I87" s="74">
        <f t="shared" si="27"/>
        <v>27333266.667883281</v>
      </c>
      <c r="J87" s="74">
        <f t="shared" si="27"/>
        <v>33816399.516921714</v>
      </c>
      <c r="K87" s="74">
        <f t="shared" si="27"/>
        <v>38741177.323005736</v>
      </c>
    </row>
    <row r="88" spans="1:12">
      <c r="A88" s="1" t="s">
        <v>19</v>
      </c>
      <c r="B88" s="21">
        <v>1183000</v>
      </c>
      <c r="C88" s="21">
        <v>5846000</v>
      </c>
      <c r="D88" s="75">
        <f>D32*D52</f>
        <v>6839820</v>
      </c>
      <c r="E88" s="75">
        <f t="shared" ref="E88:K88" si="28">E32*E52</f>
        <v>8481376.7999999989</v>
      </c>
      <c r="F88" s="75">
        <f t="shared" si="28"/>
        <v>11365044.912</v>
      </c>
      <c r="G88" s="75">
        <f t="shared" si="28"/>
        <v>16706616.020640001</v>
      </c>
      <c r="H88" s="75">
        <f t="shared" si="28"/>
        <v>22553931.627864003</v>
      </c>
      <c r="I88" s="75">
        <f t="shared" si="28"/>
        <v>29094571.799944561</v>
      </c>
      <c r="J88" s="75">
        <f t="shared" si="28"/>
        <v>36077269.031931259</v>
      </c>
      <c r="K88" s="75">
        <f t="shared" si="28"/>
        <v>42210404.76735957</v>
      </c>
    </row>
    <row r="89" spans="1:12">
      <c r="A89" s="50" t="s">
        <v>282</v>
      </c>
      <c r="B89" s="74">
        <f>SUM(B87:B88)</f>
        <v>4990000</v>
      </c>
      <c r="C89" s="74">
        <f t="shared" ref="C89:K89" si="29">SUM(C87:C88)</f>
        <v>9760000</v>
      </c>
      <c r="D89" s="74">
        <f t="shared" si="29"/>
        <v>11551836.363957191</v>
      </c>
      <c r="E89" s="74">
        <f t="shared" si="29"/>
        <v>14717507.766104199</v>
      </c>
      <c r="F89" s="74">
        <f t="shared" si="29"/>
        <v>20536992.221671056</v>
      </c>
      <c r="G89" s="74">
        <f t="shared" si="29"/>
        <v>31634539.8313784</v>
      </c>
      <c r="H89" s="74">
        <f t="shared" si="29"/>
        <v>43470850.658545859</v>
      </c>
      <c r="I89" s="74">
        <f t="shared" si="29"/>
        <v>56427838.467827842</v>
      </c>
      <c r="J89" s="74">
        <f t="shared" si="29"/>
        <v>69893668.54885298</v>
      </c>
      <c r="K89" s="74">
        <f t="shared" si="29"/>
        <v>80951582.090365306</v>
      </c>
    </row>
    <row r="90" spans="1:12">
      <c r="A90" s="9" t="s">
        <v>18</v>
      </c>
      <c r="B90" s="26">
        <f>B84+B89</f>
        <v>28063000</v>
      </c>
      <c r="C90" s="26">
        <f>C84+C89</f>
        <v>54105000</v>
      </c>
      <c r="D90" s="83">
        <f>D84+D89</f>
        <v>37948206.363957189</v>
      </c>
      <c r="E90" s="83">
        <f t="shared" ref="E90:K90" si="30">E84+E89</f>
        <v>47449006.566104196</v>
      </c>
      <c r="F90" s="83">
        <f t="shared" si="30"/>
        <v>64397200.613671064</v>
      </c>
      <c r="G90" s="83">
        <f t="shared" si="30"/>
        <v>96109046.167618394</v>
      </c>
      <c r="H90" s="83">
        <f t="shared" si="30"/>
        <v>130511434.21246988</v>
      </c>
      <c r="I90" s="83">
        <f t="shared" si="30"/>
        <v>168710191.25238979</v>
      </c>
      <c r="J90" s="83">
        <f t="shared" si="30"/>
        <v>209123786.00170985</v>
      </c>
      <c r="K90" s="83">
        <f t="shared" si="30"/>
        <v>243850819.51020783</v>
      </c>
      <c r="L90" s="83"/>
    </row>
    <row r="91" spans="1:12">
      <c r="A91" s="1" t="s">
        <v>17</v>
      </c>
      <c r="B91" s="21">
        <v>2919000</v>
      </c>
      <c r="C91" s="21">
        <v>7496000</v>
      </c>
      <c r="D91" s="75">
        <f t="shared" ref="D91:K91" si="31">D52*D33</f>
        <v>3157830</v>
      </c>
      <c r="E91" s="75">
        <f t="shared" si="31"/>
        <v>3915709.1999999993</v>
      </c>
      <c r="F91" s="75">
        <f t="shared" si="31"/>
        <v>5247050.3279999997</v>
      </c>
      <c r="G91" s="75">
        <f t="shared" si="31"/>
        <v>7713163.9821599992</v>
      </c>
      <c r="H91" s="75">
        <f t="shared" si="31"/>
        <v>10412771.375916</v>
      </c>
      <c r="I91" s="75">
        <f t="shared" si="31"/>
        <v>13432475.07493164</v>
      </c>
      <c r="J91" s="75">
        <f t="shared" si="31"/>
        <v>16656269.092915235</v>
      </c>
      <c r="K91" s="75">
        <f t="shared" si="31"/>
        <v>19487834.838710822</v>
      </c>
    </row>
    <row r="92" spans="1:12" ht="15.75">
      <c r="A92" s="50" t="s">
        <v>13</v>
      </c>
      <c r="B92" s="74">
        <v>2394000</v>
      </c>
      <c r="C92" s="74">
        <v>2394000</v>
      </c>
      <c r="D92" s="115">
        <f>D52*D37</f>
        <v>3071250</v>
      </c>
      <c r="E92" s="115">
        <f t="shared" ref="E92:K92" si="32">E52*E37</f>
        <v>3808349.9999999995</v>
      </c>
      <c r="F92" s="115">
        <f t="shared" si="32"/>
        <v>5103189</v>
      </c>
      <c r="G92" s="115">
        <f t="shared" si="32"/>
        <v>7501687.8300000001</v>
      </c>
      <c r="H92" s="115">
        <f t="shared" si="32"/>
        <v>10127278.570500001</v>
      </c>
      <c r="I92" s="115">
        <f t="shared" si="32"/>
        <v>13064189.355945</v>
      </c>
      <c r="J92" s="115">
        <f t="shared" si="32"/>
        <v>16199594.801371802</v>
      </c>
      <c r="K92" s="115">
        <f t="shared" si="32"/>
        <v>18953525.917605005</v>
      </c>
    </row>
    <row r="93" spans="1:12" ht="15.75">
      <c r="A93" s="23" t="s">
        <v>12</v>
      </c>
      <c r="B93" s="24">
        <v>6563000</v>
      </c>
      <c r="C93" s="24">
        <v>10631000</v>
      </c>
      <c r="D93" s="84">
        <f>SUM(D91:D92)</f>
        <v>6229080</v>
      </c>
      <c r="E93" s="84">
        <f t="shared" ref="E93:K93" si="33">SUM(E91:E92)</f>
        <v>7724059.1999999993</v>
      </c>
      <c r="F93" s="84">
        <f t="shared" si="33"/>
        <v>10350239.328</v>
      </c>
      <c r="G93" s="84">
        <f t="shared" si="33"/>
        <v>15214851.81216</v>
      </c>
      <c r="H93" s="84">
        <f t="shared" si="33"/>
        <v>20540049.946416002</v>
      </c>
      <c r="I93" s="84">
        <f t="shared" si="33"/>
        <v>26496664.430876642</v>
      </c>
      <c r="J93" s="84">
        <f t="shared" si="33"/>
        <v>32855863.894287035</v>
      </c>
      <c r="K93" s="84">
        <f t="shared" si="33"/>
        <v>38441360.756315827</v>
      </c>
    </row>
    <row r="94" spans="1:12">
      <c r="A94" s="1" t="s">
        <v>11</v>
      </c>
      <c r="B94" s="21">
        <v>9703000</v>
      </c>
      <c r="C94" s="21">
        <v>8459000</v>
      </c>
      <c r="D94" s="74">
        <f t="shared" ref="D94:K94" si="34">C94*(1+D51)</f>
        <v>9897030</v>
      </c>
      <c r="E94" s="74">
        <f t="shared" si="34"/>
        <v>12272317.199999999</v>
      </c>
      <c r="F94" s="74">
        <f t="shared" si="34"/>
        <v>16444905.048</v>
      </c>
      <c r="G94" s="74">
        <f t="shared" si="34"/>
        <v>24174010.420559999</v>
      </c>
      <c r="H94" s="74">
        <f t="shared" si="34"/>
        <v>32634914.067756001</v>
      </c>
      <c r="I94" s="74">
        <f t="shared" si="34"/>
        <v>42099039.147405244</v>
      </c>
      <c r="J94" s="74">
        <f t="shared" si="34"/>
        <v>52202808.5427825</v>
      </c>
      <c r="K94" s="74">
        <f t="shared" si="34"/>
        <v>61077285.995055519</v>
      </c>
    </row>
    <row r="95" spans="1:12" ht="15.75">
      <c r="A95" s="23" t="s">
        <v>8</v>
      </c>
      <c r="B95" s="24">
        <v>19081000</v>
      </c>
      <c r="C95" s="24">
        <v>22750000</v>
      </c>
      <c r="D95" s="84">
        <f>SUM(D93:D94)</f>
        <v>16126110</v>
      </c>
      <c r="E95" s="84">
        <f t="shared" ref="E95:K95" si="35">SUM(E93:E94)</f>
        <v>19996376.399999999</v>
      </c>
      <c r="F95" s="84">
        <f t="shared" si="35"/>
        <v>26795144.376000002</v>
      </c>
      <c r="G95" s="84">
        <f t="shared" si="35"/>
        <v>39388862.232720003</v>
      </c>
      <c r="H95" s="84">
        <f t="shared" si="35"/>
        <v>53174964.014172003</v>
      </c>
      <c r="I95" s="84">
        <f t="shared" si="35"/>
        <v>68595703.578281879</v>
      </c>
      <c r="J95" s="84">
        <f t="shared" si="35"/>
        <v>85058672.437069535</v>
      </c>
      <c r="K95" s="84">
        <f t="shared" si="35"/>
        <v>99518646.751371354</v>
      </c>
    </row>
    <row r="96" spans="1:12">
      <c r="A96" s="1" t="s">
        <v>6</v>
      </c>
      <c r="B96" s="21">
        <v>11971000</v>
      </c>
      <c r="C96" s="21">
        <v>13132000</v>
      </c>
      <c r="D96" s="75">
        <f t="shared" ref="D96:K96" si="36">D52*7%</f>
        <v>4989511.8000000007</v>
      </c>
      <c r="E96" s="75">
        <f t="shared" si="36"/>
        <v>6186994.6320000002</v>
      </c>
      <c r="F96" s="75">
        <f t="shared" si="36"/>
        <v>8290572.806880001</v>
      </c>
      <c r="G96" s="75">
        <f t="shared" si="36"/>
        <v>12187142.026113601</v>
      </c>
      <c r="H96" s="75">
        <f t="shared" si="36"/>
        <v>16452641.735253364</v>
      </c>
      <c r="I96" s="75">
        <f t="shared" si="36"/>
        <v>21223907.83847684</v>
      </c>
      <c r="J96" s="75">
        <f t="shared" si="36"/>
        <v>26317645.719711281</v>
      </c>
      <c r="K96" s="75">
        <f t="shared" si="36"/>
        <v>30791645.492062196</v>
      </c>
    </row>
    <row r="97" spans="1:12">
      <c r="A97" s="1" t="s">
        <v>5</v>
      </c>
      <c r="B97" s="21">
        <v>10171000</v>
      </c>
      <c r="C97" s="21">
        <v>29817000</v>
      </c>
      <c r="D97" s="75">
        <f>C97+D52*(1-0%)</f>
        <v>101095740</v>
      </c>
      <c r="E97" s="75">
        <f t="shared" ref="E97:K97" si="37">D97+E52*(1-0%)</f>
        <v>189481377.59999999</v>
      </c>
      <c r="F97" s="75">
        <f t="shared" si="37"/>
        <v>307918131.98399997</v>
      </c>
      <c r="G97" s="75">
        <f t="shared" si="37"/>
        <v>482020160.92847997</v>
      </c>
      <c r="H97" s="75">
        <f t="shared" si="37"/>
        <v>717057900.003528</v>
      </c>
      <c r="I97" s="75">
        <f t="shared" si="37"/>
        <v>1020256583.41034</v>
      </c>
      <c r="J97" s="75">
        <f t="shared" si="37"/>
        <v>1396222950.8347869</v>
      </c>
      <c r="K97" s="75">
        <f t="shared" si="37"/>
        <v>1836103600.7213898</v>
      </c>
    </row>
    <row r="98" spans="1:12" ht="15.75">
      <c r="A98" s="23" t="s">
        <v>1</v>
      </c>
      <c r="B98" s="24">
        <v>22101000</v>
      </c>
      <c r="C98" s="24">
        <v>42978000</v>
      </c>
      <c r="D98" s="84">
        <f>D99-D95</f>
        <v>21822096.363957189</v>
      </c>
      <c r="E98" s="84">
        <f t="shared" ref="E98:K98" si="38">E99-E95</f>
        <v>27452630.166104198</v>
      </c>
      <c r="F98" s="84">
        <f t="shared" si="38"/>
        <v>37602056.237671062</v>
      </c>
      <c r="G98" s="84">
        <f t="shared" si="38"/>
        <v>56720183.934898391</v>
      </c>
      <c r="H98" s="84">
        <f t="shared" si="38"/>
        <v>77336470.198297873</v>
      </c>
      <c r="I98" s="84">
        <f t="shared" si="38"/>
        <v>100114487.67410791</v>
      </c>
      <c r="J98" s="84">
        <f t="shared" si="38"/>
        <v>124065113.56464031</v>
      </c>
      <c r="K98" s="84">
        <f t="shared" si="38"/>
        <v>144332172.75883648</v>
      </c>
    </row>
    <row r="99" spans="1:12" ht="15.75">
      <c r="A99" s="23" t="s">
        <v>0</v>
      </c>
      <c r="B99" s="24">
        <v>41182000</v>
      </c>
      <c r="C99" s="24">
        <v>65728000</v>
      </c>
      <c r="D99" s="83">
        <f>D90</f>
        <v>37948206.363957189</v>
      </c>
      <c r="E99" s="83">
        <f t="shared" ref="E99:K99" si="39">E90</f>
        <v>47449006.566104196</v>
      </c>
      <c r="F99" s="83">
        <f t="shared" si="39"/>
        <v>64397200.613671064</v>
      </c>
      <c r="G99" s="83">
        <f t="shared" si="39"/>
        <v>96109046.167618394</v>
      </c>
      <c r="H99" s="83">
        <f t="shared" si="39"/>
        <v>130511434.21246988</v>
      </c>
      <c r="I99" s="83">
        <f t="shared" si="39"/>
        <v>168710191.25238979</v>
      </c>
      <c r="J99" s="83">
        <f t="shared" si="39"/>
        <v>209123786.00170985</v>
      </c>
      <c r="K99" s="83">
        <f t="shared" si="39"/>
        <v>243850819.51020783</v>
      </c>
    </row>
    <row r="100" spans="1:12">
      <c r="A100" s="50"/>
    </row>
    <row r="101" spans="1:12">
      <c r="A101" s="103" t="s">
        <v>296</v>
      </c>
    </row>
    <row r="102" spans="1:12">
      <c r="A102"/>
    </row>
    <row r="103" spans="1:12">
      <c r="A103" s="101" t="s">
        <v>297</v>
      </c>
      <c r="B103" s="74">
        <f>SUM(B81,B88)-SUM(A81,A88)</f>
        <v>5010000</v>
      </c>
      <c r="C103" s="74">
        <f t="shared" ref="C103:K103" si="40">SUM(C81,C88)-SUM(B81,B88)</f>
        <v>10835000</v>
      </c>
      <c r="D103" s="74">
        <f t="shared" si="40"/>
        <v>2693650</v>
      </c>
      <c r="E103" s="74">
        <f t="shared" si="40"/>
        <v>4449276</v>
      </c>
      <c r="F103" s="74">
        <f t="shared" si="40"/>
        <v>7815894.8400000036</v>
      </c>
      <c r="G103" s="74">
        <f t="shared" si="40"/>
        <v>14477795.794799998</v>
      </c>
      <c r="H103" s="74">
        <f t="shared" si="40"/>
        <v>15848565.82218001</v>
      </c>
      <c r="I103" s="74">
        <f t="shared" si="40"/>
        <v>17727752.912524201</v>
      </c>
      <c r="J103" s="74">
        <f t="shared" si="40"/>
        <v>18925904.488681018</v>
      </c>
      <c r="K103" s="74">
        <f t="shared" si="40"/>
        <v>16623252.775891468</v>
      </c>
    </row>
    <row r="104" spans="1:12">
      <c r="A104" s="101" t="s">
        <v>298</v>
      </c>
      <c r="B104" s="74">
        <f>B85-0</f>
        <v>6501000</v>
      </c>
      <c r="C104" s="74">
        <f t="shared" ref="C104:K104" si="41">C85-B85</f>
        <v>922000</v>
      </c>
      <c r="D104" s="74">
        <f t="shared" si="41"/>
        <v>1261910</v>
      </c>
      <c r="E104" s="74">
        <f t="shared" si="41"/>
        <v>2084378.4000000004</v>
      </c>
      <c r="F104" s="74">
        <f t="shared" si="41"/>
        <v>3661558.0559999999</v>
      </c>
      <c r="G104" s="74">
        <f t="shared" si="41"/>
        <v>6782497.8343200013</v>
      </c>
      <c r="H104" s="74">
        <f t="shared" si="41"/>
        <v>7424670.5016120039</v>
      </c>
      <c r="I104" s="74">
        <f t="shared" si="41"/>
        <v>8305024.2896602787</v>
      </c>
      <c r="J104" s="74">
        <f t="shared" si="41"/>
        <v>8866329.3795821518</v>
      </c>
      <c r="K104" s="74">
        <f t="shared" si="41"/>
        <v>7787592.6383996531</v>
      </c>
    </row>
    <row r="105" spans="1:12">
      <c r="A105" s="101" t="s">
        <v>299</v>
      </c>
      <c r="B105" s="50">
        <f>B75</f>
        <v>791000</v>
      </c>
      <c r="C105" s="50">
        <f t="shared" ref="C105:K105" si="42">C75</f>
        <v>815000</v>
      </c>
      <c r="D105" s="50">
        <f t="shared" si="42"/>
        <v>463893.63604280882</v>
      </c>
      <c r="E105" s="50">
        <f t="shared" si="42"/>
        <v>560263.79785299231</v>
      </c>
      <c r="F105" s="50">
        <f t="shared" si="42"/>
        <v>725741.71243314398</v>
      </c>
      <c r="G105" s="50">
        <f t="shared" si="42"/>
        <v>1026521.3332526583</v>
      </c>
      <c r="H105" s="50">
        <f t="shared" si="42"/>
        <v>1435675.2816685459</v>
      </c>
      <c r="I105" s="50">
        <f t="shared" si="42"/>
        <v>1888676.6524588552</v>
      </c>
      <c r="J105" s="50">
        <f t="shared" si="42"/>
        <v>2383196.5305437152</v>
      </c>
      <c r="K105" s="50">
        <f t="shared" si="42"/>
        <v>2862814.8323156377</v>
      </c>
      <c r="L105" s="74"/>
    </row>
    <row r="106" spans="1:12">
      <c r="A106" s="101" t="s">
        <v>300</v>
      </c>
      <c r="B106" s="74">
        <f>B104+B105</f>
        <v>7292000</v>
      </c>
      <c r="C106" s="74">
        <f t="shared" ref="C106:K106" si="43">C104+C105</f>
        <v>1737000</v>
      </c>
      <c r="D106" s="74">
        <f t="shared" si="43"/>
        <v>1725803.6360428089</v>
      </c>
      <c r="E106" s="74">
        <f t="shared" si="43"/>
        <v>2644642.1978529925</v>
      </c>
      <c r="F106" s="74">
        <f t="shared" si="43"/>
        <v>4387299.7684331443</v>
      </c>
      <c r="G106" s="74">
        <f t="shared" si="43"/>
        <v>7809019.1675726594</v>
      </c>
      <c r="H106" s="74">
        <f t="shared" si="43"/>
        <v>8860345.7832805496</v>
      </c>
      <c r="I106" s="74">
        <f t="shared" si="43"/>
        <v>10193700.942119135</v>
      </c>
      <c r="J106" s="74">
        <f t="shared" si="43"/>
        <v>11249525.910125867</v>
      </c>
      <c r="K106" s="74">
        <f t="shared" si="43"/>
        <v>10650407.470715292</v>
      </c>
    </row>
    <row r="107" spans="1:12">
      <c r="A107" s="101" t="s">
        <v>301</v>
      </c>
      <c r="B107" s="74">
        <f>B106+B103</f>
        <v>12302000</v>
      </c>
      <c r="C107" s="74">
        <f t="shared" ref="C107:K107" si="44">C106+C103</f>
        <v>12572000</v>
      </c>
      <c r="D107" s="74">
        <f t="shared" si="44"/>
        <v>4419453.6360428091</v>
      </c>
      <c r="E107" s="74">
        <f t="shared" si="44"/>
        <v>7093918.1978529925</v>
      </c>
      <c r="F107" s="74">
        <f t="shared" si="44"/>
        <v>12203194.608433148</v>
      </c>
      <c r="G107" s="74">
        <f t="shared" si="44"/>
        <v>22286814.962372657</v>
      </c>
      <c r="H107" s="74">
        <f t="shared" si="44"/>
        <v>24708911.605460562</v>
      </c>
      <c r="I107" s="74">
        <f t="shared" si="44"/>
        <v>27921453.854643337</v>
      </c>
      <c r="J107" s="74">
        <f t="shared" si="44"/>
        <v>30175430.398806885</v>
      </c>
      <c r="K107" s="74">
        <f t="shared" si="44"/>
        <v>27273660.24660676</v>
      </c>
      <c r="L107" s="74"/>
    </row>
    <row r="108" spans="1:12">
      <c r="A108" s="101"/>
    </row>
    <row r="109" spans="1:12">
      <c r="A109" s="103" t="s">
        <v>302</v>
      </c>
    </row>
    <row r="110" spans="1:12">
      <c r="A110"/>
    </row>
    <row r="111" spans="1:12">
      <c r="A111" s="103" t="s">
        <v>283</v>
      </c>
      <c r="B111" s="74">
        <f>B107</f>
        <v>12302000</v>
      </c>
      <c r="C111" s="74">
        <f t="shared" ref="C111:K111" si="45">C107</f>
        <v>12572000</v>
      </c>
      <c r="D111" s="74">
        <f t="shared" si="45"/>
        <v>4419453.6360428091</v>
      </c>
      <c r="E111" s="74">
        <f t="shared" si="45"/>
        <v>7093918.1978529925</v>
      </c>
      <c r="F111" s="74">
        <f t="shared" si="45"/>
        <v>12203194.608433148</v>
      </c>
      <c r="G111" s="74">
        <f t="shared" si="45"/>
        <v>22286814.962372657</v>
      </c>
      <c r="H111" s="74">
        <f t="shared" si="45"/>
        <v>24708911.605460562</v>
      </c>
      <c r="I111" s="74">
        <f t="shared" si="45"/>
        <v>27921453.854643337</v>
      </c>
      <c r="J111" s="74">
        <f t="shared" si="45"/>
        <v>30175430.398806885</v>
      </c>
      <c r="K111" s="74">
        <f t="shared" si="45"/>
        <v>27273660.24660676</v>
      </c>
    </row>
    <row r="112" spans="1:12">
      <c r="A112" s="111" t="s">
        <v>284</v>
      </c>
    </row>
    <row r="113" spans="1:12">
      <c r="A113" s="101" t="s">
        <v>285</v>
      </c>
      <c r="B113" s="56">
        <f>B63</f>
        <v>4368000</v>
      </c>
      <c r="C113" s="56">
        <f t="shared" ref="C113:K113" si="46">C63</f>
        <v>29760000</v>
      </c>
      <c r="D113" s="56">
        <f t="shared" si="46"/>
        <v>34840379.809549943</v>
      </c>
      <c r="E113" s="56">
        <f t="shared" si="46"/>
        <v>43170959.052138381</v>
      </c>
      <c r="F113" s="56">
        <f t="shared" si="46"/>
        <v>57692747.773555152</v>
      </c>
      <c r="G113" s="56">
        <f t="shared" si="46"/>
        <v>84455954.826002643</v>
      </c>
      <c r="H113" s="56">
        <f t="shared" si="46"/>
        <v>114015539.01510358</v>
      </c>
      <c r="I113" s="56">
        <f t="shared" si="46"/>
        <v>146546412.77769539</v>
      </c>
      <c r="J113" s="56">
        <f t="shared" si="46"/>
        <v>181717551.84434229</v>
      </c>
      <c r="K113" s="56">
        <f t="shared" si="46"/>
        <v>213383729.76401478</v>
      </c>
    </row>
    <row r="114" spans="1:12">
      <c r="A114" s="101" t="s">
        <v>281</v>
      </c>
      <c r="B114" s="50">
        <f>B75</f>
        <v>791000</v>
      </c>
      <c r="C114" s="50">
        <f t="shared" ref="C114:K114" si="47">C75</f>
        <v>815000</v>
      </c>
      <c r="D114" s="50">
        <f t="shared" si="47"/>
        <v>463893.63604280882</v>
      </c>
      <c r="E114" s="50">
        <f t="shared" si="47"/>
        <v>560263.79785299231</v>
      </c>
      <c r="F114" s="50">
        <f t="shared" si="47"/>
        <v>725741.71243314398</v>
      </c>
      <c r="G114" s="50">
        <f t="shared" si="47"/>
        <v>1026521.3332526583</v>
      </c>
      <c r="H114" s="50">
        <f t="shared" si="47"/>
        <v>1435675.2816685459</v>
      </c>
      <c r="I114" s="50">
        <f t="shared" si="47"/>
        <v>1888676.6524588552</v>
      </c>
      <c r="J114" s="50">
        <f t="shared" si="47"/>
        <v>2383196.5305437152</v>
      </c>
      <c r="K114" s="50">
        <f t="shared" si="47"/>
        <v>2862814.8323156377</v>
      </c>
    </row>
    <row r="115" spans="1:12">
      <c r="A115" s="101" t="s">
        <v>286</v>
      </c>
      <c r="B115" s="56">
        <f>B113+B114</f>
        <v>5159000</v>
      </c>
      <c r="C115" s="56">
        <f t="shared" ref="C115:K115" si="48">C113+C114</f>
        <v>30575000</v>
      </c>
      <c r="D115" s="56">
        <f t="shared" si="48"/>
        <v>35304273.445592754</v>
      </c>
      <c r="E115" s="56">
        <f t="shared" si="48"/>
        <v>43731222.849991374</v>
      </c>
      <c r="F115" s="56">
        <f t="shared" si="48"/>
        <v>58418489.485988297</v>
      </c>
      <c r="G115" s="56">
        <f t="shared" si="48"/>
        <v>85482476.159255296</v>
      </c>
      <c r="H115" s="56">
        <f t="shared" si="48"/>
        <v>115451214.29677212</v>
      </c>
      <c r="I115" s="56">
        <f t="shared" si="48"/>
        <v>148435089.43015423</v>
      </c>
      <c r="J115" s="56">
        <f t="shared" si="48"/>
        <v>184100748.37488601</v>
      </c>
      <c r="K115" s="56">
        <f t="shared" si="48"/>
        <v>216246544.5963304</v>
      </c>
    </row>
    <row r="116" spans="1:12">
      <c r="A116" s="101" t="s">
        <v>287</v>
      </c>
      <c r="B116" s="50">
        <v>0</v>
      </c>
      <c r="C116" s="50">
        <v>0</v>
      </c>
      <c r="D116" s="50">
        <v>0</v>
      </c>
      <c r="E116" s="50">
        <v>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  <c r="K116" s="50">
        <v>0</v>
      </c>
    </row>
    <row r="117" spans="1:12">
      <c r="A117" s="101" t="s">
        <v>288</v>
      </c>
      <c r="B117" s="56">
        <f>B115-B116</f>
        <v>5159000</v>
      </c>
      <c r="C117" s="56">
        <f t="shared" ref="C117:K117" si="49">C115-C116</f>
        <v>30575000</v>
      </c>
      <c r="D117" s="56">
        <f t="shared" si="49"/>
        <v>35304273.445592754</v>
      </c>
      <c r="E117" s="56">
        <f t="shared" si="49"/>
        <v>43731222.849991374</v>
      </c>
      <c r="F117" s="56">
        <f t="shared" si="49"/>
        <v>58418489.485988297</v>
      </c>
      <c r="G117" s="56">
        <f t="shared" si="49"/>
        <v>85482476.159255296</v>
      </c>
      <c r="H117" s="56">
        <f t="shared" si="49"/>
        <v>115451214.29677212</v>
      </c>
      <c r="I117" s="56">
        <f t="shared" si="49"/>
        <v>148435089.43015423</v>
      </c>
      <c r="J117" s="56">
        <f t="shared" si="49"/>
        <v>184100748.37488601</v>
      </c>
      <c r="K117" s="56">
        <f t="shared" si="49"/>
        <v>216246544.5963304</v>
      </c>
    </row>
    <row r="118" spans="1:12">
      <c r="A118" s="101" t="s">
        <v>289</v>
      </c>
      <c r="B118" s="50">
        <f>'BALANCE SHEET '!J29-'BALANCE SHEET '!I29</f>
        <v>2228000</v>
      </c>
      <c r="C118" s="50">
        <f>'BALANCE SHEET '!K29-'BALANCE SHEET '!J29</f>
        <v>4068000</v>
      </c>
      <c r="D118" s="75">
        <f>D93-C93</f>
        <v>-4401920</v>
      </c>
      <c r="E118" s="75">
        <f t="shared" ref="E118:K118" si="50">E93-D93</f>
        <v>1494979.1999999993</v>
      </c>
      <c r="F118" s="75">
        <f t="shared" si="50"/>
        <v>2626180.1280000005</v>
      </c>
      <c r="G118" s="75">
        <f t="shared" si="50"/>
        <v>4864612.4841600005</v>
      </c>
      <c r="H118" s="75">
        <f t="shared" si="50"/>
        <v>5325198.1342560016</v>
      </c>
      <c r="I118" s="75">
        <f t="shared" si="50"/>
        <v>5956614.4844606407</v>
      </c>
      <c r="J118" s="75">
        <f t="shared" si="50"/>
        <v>6359199.4634103924</v>
      </c>
      <c r="K118" s="75">
        <f t="shared" si="50"/>
        <v>5585496.8620287925</v>
      </c>
    </row>
    <row r="119" spans="1:12">
      <c r="A119" s="112" t="s">
        <v>290</v>
      </c>
      <c r="B119" s="56">
        <f>B117+B118</f>
        <v>7387000</v>
      </c>
      <c r="C119" s="56">
        <f t="shared" ref="C119:K119" si="51">C117+C118</f>
        <v>34643000</v>
      </c>
      <c r="D119" s="56">
        <f t="shared" si="51"/>
        <v>30902353.445592754</v>
      </c>
      <c r="E119" s="56">
        <f t="shared" si="51"/>
        <v>45226202.049991369</v>
      </c>
      <c r="F119" s="56">
        <f t="shared" si="51"/>
        <v>61044669.613988295</v>
      </c>
      <c r="G119" s="56">
        <f t="shared" si="51"/>
        <v>90347088.643415302</v>
      </c>
      <c r="H119" s="56">
        <f t="shared" si="51"/>
        <v>120776412.43102813</v>
      </c>
      <c r="I119" s="56">
        <f t="shared" si="51"/>
        <v>154391703.91461489</v>
      </c>
      <c r="J119" s="56">
        <f t="shared" si="51"/>
        <v>190459947.83829641</v>
      </c>
      <c r="K119" s="56">
        <f t="shared" si="51"/>
        <v>221832041.45835918</v>
      </c>
    </row>
    <row r="120" spans="1:12">
      <c r="A120" s="101" t="s">
        <v>291</v>
      </c>
      <c r="B120" s="74">
        <f>B111-B119</f>
        <v>4915000</v>
      </c>
      <c r="C120" s="74">
        <f t="shared" ref="C120:K120" si="52">C111-C119</f>
        <v>-22071000</v>
      </c>
      <c r="D120" s="74">
        <f t="shared" si="52"/>
        <v>-26482899.809549943</v>
      </c>
      <c r="E120" s="74">
        <f t="shared" si="52"/>
        <v>-38132283.852138378</v>
      </c>
      <c r="F120" s="74">
        <f t="shared" si="52"/>
        <v>-48841475.005555145</v>
      </c>
      <c r="G120" s="74">
        <f t="shared" si="52"/>
        <v>-68060273.681042641</v>
      </c>
      <c r="H120" s="74">
        <f t="shared" si="52"/>
        <v>-96067500.825567573</v>
      </c>
      <c r="I120" s="74">
        <f t="shared" si="52"/>
        <v>-126470250.05997154</v>
      </c>
      <c r="J120" s="74">
        <f t="shared" si="52"/>
        <v>-160284517.43948954</v>
      </c>
      <c r="K120" s="74">
        <f t="shared" si="52"/>
        <v>-194558381.21175241</v>
      </c>
    </row>
    <row r="121" spans="1:12">
      <c r="A121" s="101" t="s">
        <v>292</v>
      </c>
      <c r="B121" s="50">
        <f>MAX(100%*B120,0)</f>
        <v>4915000</v>
      </c>
      <c r="D121" s="50">
        <f>MAX(D15*D120,0)</f>
        <v>0</v>
      </c>
      <c r="E121" s="50">
        <f t="shared" ref="E121:K121" si="53">MAX(E15*E120,0)</f>
        <v>0</v>
      </c>
      <c r="F121" s="50">
        <f t="shared" si="53"/>
        <v>0</v>
      </c>
      <c r="G121" s="50">
        <f t="shared" si="53"/>
        <v>0</v>
      </c>
      <c r="H121" s="50">
        <f t="shared" si="53"/>
        <v>0</v>
      </c>
      <c r="I121" s="50">
        <f t="shared" si="53"/>
        <v>0</v>
      </c>
      <c r="J121" s="50">
        <f t="shared" si="53"/>
        <v>0</v>
      </c>
      <c r="K121" s="50">
        <f t="shared" si="53"/>
        <v>0</v>
      </c>
    </row>
    <row r="122" spans="1:12">
      <c r="A122" s="101" t="s">
        <v>293</v>
      </c>
      <c r="B122" s="74">
        <f>MAX(B120-B121,0)</f>
        <v>0</v>
      </c>
      <c r="C122" s="74">
        <f t="shared" ref="C122:K122" si="54">MAX(C120-C121,0)</f>
        <v>0</v>
      </c>
      <c r="D122" s="74">
        <f t="shared" si="54"/>
        <v>0</v>
      </c>
      <c r="E122" s="74">
        <f t="shared" si="54"/>
        <v>0</v>
      </c>
      <c r="F122" s="74">
        <f t="shared" si="54"/>
        <v>0</v>
      </c>
      <c r="G122" s="74">
        <f t="shared" si="54"/>
        <v>0</v>
      </c>
      <c r="H122" s="74">
        <f t="shared" si="54"/>
        <v>0</v>
      </c>
      <c r="I122" s="74">
        <f t="shared" si="54"/>
        <v>0</v>
      </c>
      <c r="J122" s="74">
        <f t="shared" si="54"/>
        <v>0</v>
      </c>
      <c r="K122" s="74">
        <f t="shared" si="54"/>
        <v>0</v>
      </c>
      <c r="L122" s="74"/>
    </row>
    <row r="123" spans="1:12">
      <c r="A123" s="112" t="s">
        <v>294</v>
      </c>
      <c r="B123" s="74">
        <f>B121+B122</f>
        <v>4915000</v>
      </c>
      <c r="C123" s="74">
        <f t="shared" ref="C123:K123" si="55">C121+C122</f>
        <v>0</v>
      </c>
      <c r="D123" s="74">
        <f t="shared" si="55"/>
        <v>0</v>
      </c>
      <c r="E123" s="74">
        <f t="shared" si="55"/>
        <v>0</v>
      </c>
      <c r="F123" s="74">
        <f t="shared" si="55"/>
        <v>0</v>
      </c>
      <c r="G123" s="74">
        <f t="shared" si="55"/>
        <v>0</v>
      </c>
      <c r="H123" s="74">
        <f t="shared" si="55"/>
        <v>0</v>
      </c>
      <c r="I123" s="74">
        <f t="shared" si="55"/>
        <v>0</v>
      </c>
      <c r="J123" s="74">
        <f t="shared" si="55"/>
        <v>0</v>
      </c>
      <c r="K123" s="74">
        <f t="shared" si="55"/>
        <v>0</v>
      </c>
    </row>
    <row r="124" spans="1:12">
      <c r="A124" s="100" t="s">
        <v>295</v>
      </c>
      <c r="B124" s="50">
        <f>B119+B123</f>
        <v>12302000</v>
      </c>
      <c r="C124" s="50">
        <f t="shared" ref="C124:K124" si="56">C119+C123</f>
        <v>34643000</v>
      </c>
      <c r="D124" s="50">
        <f t="shared" si="56"/>
        <v>30902353.445592754</v>
      </c>
      <c r="E124" s="50">
        <f t="shared" si="56"/>
        <v>45226202.049991369</v>
      </c>
      <c r="F124" s="50">
        <f t="shared" si="56"/>
        <v>61044669.613988295</v>
      </c>
      <c r="G124" s="50">
        <f t="shared" si="56"/>
        <v>90347088.643415302</v>
      </c>
      <c r="H124" s="50">
        <f t="shared" si="56"/>
        <v>120776412.43102813</v>
      </c>
      <c r="I124" s="50">
        <f t="shared" si="56"/>
        <v>154391703.91461489</v>
      </c>
      <c r="J124" s="50">
        <f t="shared" si="56"/>
        <v>190459947.83829641</v>
      </c>
      <c r="K124" s="50">
        <f t="shared" si="56"/>
        <v>221832041.45835918</v>
      </c>
    </row>
    <row r="126" spans="1:12">
      <c r="A126" s="20" t="s">
        <v>196</v>
      </c>
      <c r="B126" s="27">
        <v>2023</v>
      </c>
      <c r="C126" s="27">
        <v>2024</v>
      </c>
      <c r="D126" s="27">
        <v>2025</v>
      </c>
      <c r="E126" s="27">
        <v>2026</v>
      </c>
      <c r="F126" s="27">
        <v>2027</v>
      </c>
      <c r="G126" s="27">
        <v>2028</v>
      </c>
      <c r="H126" s="27">
        <v>2029</v>
      </c>
      <c r="I126" s="27">
        <v>2030</v>
      </c>
      <c r="J126" s="27">
        <v>2031</v>
      </c>
      <c r="K126" s="27">
        <v>2032</v>
      </c>
    </row>
    <row r="127" spans="1:12">
      <c r="A127" s="20"/>
      <c r="D127" s="50">
        <v>0</v>
      </c>
      <c r="E127" s="50">
        <v>1</v>
      </c>
      <c r="F127" s="50">
        <v>2</v>
      </c>
      <c r="G127" s="50">
        <v>3</v>
      </c>
      <c r="H127" s="50">
        <v>4</v>
      </c>
      <c r="I127" s="50">
        <v>5</v>
      </c>
      <c r="J127" s="50">
        <v>6</v>
      </c>
      <c r="K127" s="50">
        <v>7</v>
      </c>
      <c r="L127" s="50">
        <v>8</v>
      </c>
    </row>
    <row r="128" spans="1:12">
      <c r="A128" s="20" t="s">
        <v>199</v>
      </c>
      <c r="B128" s="75">
        <f>B58+B75-B71</f>
        <v>4892000</v>
      </c>
      <c r="C128" s="75">
        <f>C58+C75-C71</f>
        <v>29729000</v>
      </c>
      <c r="D128" s="75">
        <f t="shared" ref="D128:K128" si="57">D58+D75-D71</f>
        <v>34292115.337592751</v>
      </c>
      <c r="E128" s="75">
        <f t="shared" si="57"/>
        <v>42511501.05111137</v>
      </c>
      <c r="F128" s="75">
        <f t="shared" si="57"/>
        <v>56961717.407065094</v>
      </c>
      <c r="G128" s="75">
        <f t="shared" si="57"/>
        <v>83741455.869810492</v>
      </c>
      <c r="H128" s="75">
        <f t="shared" si="57"/>
        <v>113100836.90602164</v>
      </c>
      <c r="I128" s="75">
        <f t="shared" si="57"/>
        <v>146009499.96289974</v>
      </c>
      <c r="J128" s="75">
        <f t="shared" si="57"/>
        <v>181093017.43549043</v>
      </c>
      <c r="K128" s="75">
        <f t="shared" si="57"/>
        <v>211847738.09746438</v>
      </c>
    </row>
    <row r="129" spans="1:12">
      <c r="A129" s="20" t="s">
        <v>197</v>
      </c>
      <c r="C129" s="74">
        <f>C85-B85+C75</f>
        <v>1737000</v>
      </c>
      <c r="D129" s="74">
        <f t="shared" ref="D129:K129" si="58">D85-C85+D75</f>
        <v>1725803.6360428089</v>
      </c>
      <c r="E129" s="74">
        <f t="shared" si="58"/>
        <v>2644642.1978529925</v>
      </c>
      <c r="F129" s="74">
        <f t="shared" si="58"/>
        <v>4387299.7684331443</v>
      </c>
      <c r="G129" s="74">
        <f t="shared" si="58"/>
        <v>7809019.1675726594</v>
      </c>
      <c r="H129" s="74">
        <f t="shared" si="58"/>
        <v>8860345.7832805496</v>
      </c>
      <c r="I129" s="74">
        <f t="shared" si="58"/>
        <v>10193700.942119135</v>
      </c>
      <c r="J129" s="74">
        <f t="shared" si="58"/>
        <v>11249525.910125867</v>
      </c>
      <c r="K129" s="74">
        <f t="shared" si="58"/>
        <v>10650407.470715292</v>
      </c>
      <c r="L129" s="74"/>
    </row>
    <row r="130" spans="1:12">
      <c r="A130" s="20" t="s">
        <v>198</v>
      </c>
      <c r="C130" s="74">
        <f>(C84-C93)-(B84-B93)</f>
        <v>17204000</v>
      </c>
      <c r="D130" s="74">
        <f t="shared" ref="D130:K130" si="59">(D84-D93)-(C84-C93)</f>
        <v>-13546710</v>
      </c>
      <c r="E130" s="74">
        <f t="shared" si="59"/>
        <v>4840149.5999999978</v>
      </c>
      <c r="F130" s="74">
        <f t="shared" si="59"/>
        <v>8502529.4640000053</v>
      </c>
      <c r="G130" s="74">
        <f t="shared" si="59"/>
        <v>15749685.46007999</v>
      </c>
      <c r="H130" s="74">
        <f t="shared" si="59"/>
        <v>17240879.08342801</v>
      </c>
      <c r="I130" s="74">
        <f t="shared" si="59"/>
        <v>19285154.746177316</v>
      </c>
      <c r="J130" s="74">
        <f t="shared" si="59"/>
        <v>20588565.204884514</v>
      </c>
      <c r="K130" s="74">
        <f t="shared" si="59"/>
        <v>18083623.10495685</v>
      </c>
    </row>
    <row r="131" spans="1:12">
      <c r="A131" s="20"/>
    </row>
    <row r="132" spans="1:12">
      <c r="A132" s="20" t="s">
        <v>173</v>
      </c>
      <c r="C132" s="75"/>
      <c r="D132" s="113">
        <f>D128-D129-D130</f>
        <v>46113021.701549947</v>
      </c>
      <c r="E132" s="113">
        <f t="shared" ref="E132:K132" si="60">E128-E129-E130</f>
        <v>35026709.253258377</v>
      </c>
      <c r="F132" s="113">
        <f t="shared" si="60"/>
        <v>44071888.174631938</v>
      </c>
      <c r="G132" s="113">
        <f t="shared" si="60"/>
        <v>60182751.242157839</v>
      </c>
      <c r="H132" s="113">
        <f t="shared" si="60"/>
        <v>86999612.039313078</v>
      </c>
      <c r="I132" s="113">
        <f t="shared" si="60"/>
        <v>116530644.27460331</v>
      </c>
      <c r="J132" s="113">
        <f t="shared" si="60"/>
        <v>149254926.32048005</v>
      </c>
      <c r="K132" s="113">
        <f t="shared" si="60"/>
        <v>183113707.52179223</v>
      </c>
    </row>
    <row r="133" spans="1:12">
      <c r="A133" s="20" t="s">
        <v>332</v>
      </c>
      <c r="E133" s="76">
        <f>E132/D132-1</f>
        <v>-0.24041609157699018</v>
      </c>
      <c r="F133" s="76">
        <f t="shared" ref="F133:K133" si="61">(F132/E132-1)</f>
        <v>0.258236617547283</v>
      </c>
      <c r="G133" s="76">
        <f t="shared" si="61"/>
        <v>0.36555872087185537</v>
      </c>
      <c r="H133" s="76">
        <f t="shared" si="61"/>
        <v>0.44559047640165228</v>
      </c>
      <c r="I133" s="76">
        <f t="shared" si="61"/>
        <v>0.33943866579480675</v>
      </c>
      <c r="J133" s="76">
        <f t="shared" si="61"/>
        <v>0.28082125735752639</v>
      </c>
      <c r="K133" s="76">
        <f t="shared" si="61"/>
        <v>0.22685201779277042</v>
      </c>
    </row>
    <row r="134" spans="1:12">
      <c r="K134" s="113">
        <f>K132*(1+D12)/(D13-D12)</f>
        <v>2317853293.6671648</v>
      </c>
      <c r="L134" s="50" t="s">
        <v>315</v>
      </c>
    </row>
    <row r="135" spans="1:12">
      <c r="K135" s="113">
        <f>K132+K134</f>
        <v>2500967001.1889572</v>
      </c>
    </row>
    <row r="138" spans="1:12">
      <c r="A138" s="100" t="s">
        <v>305</v>
      </c>
      <c r="B138" s="75">
        <f>SUM(D138:K138)</f>
        <v>402712734.978553</v>
      </c>
      <c r="D138" s="75">
        <f t="shared" ref="D138:K138" si="62">D132/(1+D11)^E127</f>
        <v>41214283.463456243</v>
      </c>
      <c r="E138" s="75">
        <f t="shared" si="62"/>
        <v>27980278.448346138</v>
      </c>
      <c r="F138" s="75">
        <f t="shared" si="62"/>
        <v>31890686.682022624</v>
      </c>
      <c r="G138" s="75">
        <f t="shared" si="62"/>
        <v>39096839.848163687</v>
      </c>
      <c r="H138" s="75">
        <f t="shared" si="62"/>
        <v>50740452.761979207</v>
      </c>
      <c r="I138" s="75">
        <f t="shared" si="62"/>
        <v>61842166.509429827</v>
      </c>
      <c r="J138" s="75">
        <f t="shared" si="62"/>
        <v>71271185.146257028</v>
      </c>
      <c r="K138" s="75">
        <f t="shared" si="62"/>
        <v>78676842.118898198</v>
      </c>
    </row>
    <row r="139" spans="1:12">
      <c r="A139"/>
    </row>
    <row r="140" spans="1:12">
      <c r="A140" s="103" t="s">
        <v>306</v>
      </c>
      <c r="B140" s="56">
        <f>B138/D43</f>
        <v>16.343860997506209</v>
      </c>
    </row>
    <row r="141" spans="1:12">
      <c r="A141"/>
    </row>
    <row r="142" spans="1:12">
      <c r="A142" t="s">
        <v>307</v>
      </c>
      <c r="B142" s="75">
        <f>D95-D92-D80</f>
        <v>4537260</v>
      </c>
    </row>
    <row r="143" spans="1:12">
      <c r="A143"/>
    </row>
    <row r="144" spans="1:12">
      <c r="A144" s="103" t="s">
        <v>308</v>
      </c>
      <c r="B144" s="113">
        <f>B138-B142</f>
        <v>398175474.978553</v>
      </c>
    </row>
    <row r="145" spans="1:11">
      <c r="A145"/>
    </row>
    <row r="146" spans="1:11">
      <c r="A146" s="103" t="s">
        <v>309</v>
      </c>
      <c r="B146" s="75">
        <f>B144/D43</f>
        <v>16.159718952051662</v>
      </c>
    </row>
    <row r="147" spans="1:11">
      <c r="A147"/>
    </row>
    <row r="148" spans="1:11">
      <c r="A148" s="103" t="s">
        <v>310</v>
      </c>
    </row>
    <row r="149" spans="1:11">
      <c r="A149"/>
    </row>
    <row r="150" spans="1:11">
      <c r="A150" s="101" t="s">
        <v>311</v>
      </c>
      <c r="B150" s="74">
        <f>B7*B94</f>
        <v>0</v>
      </c>
      <c r="C150" s="74">
        <f t="shared" ref="C150:K150" si="63">C7*C94</f>
        <v>0</v>
      </c>
      <c r="D150" s="74">
        <f t="shared" si="63"/>
        <v>470108.92499999999</v>
      </c>
      <c r="E150" s="74">
        <f t="shared" si="63"/>
        <v>552254.27399999998</v>
      </c>
      <c r="F150" s="74">
        <f t="shared" si="63"/>
        <v>723575.82211199997</v>
      </c>
      <c r="G150" s="74">
        <f t="shared" si="63"/>
        <v>1063656.4585046398</v>
      </c>
      <c r="H150" s="74">
        <f t="shared" si="63"/>
        <v>1435936.2189812639</v>
      </c>
      <c r="I150" s="74">
        <f t="shared" si="63"/>
        <v>1852357.7224858305</v>
      </c>
      <c r="J150" s="74">
        <f t="shared" si="63"/>
        <v>2296923.5758824297</v>
      </c>
      <c r="K150" s="74">
        <f t="shared" si="63"/>
        <v>2687400.5837824428</v>
      </c>
    </row>
    <row r="151" spans="1:11">
      <c r="A151" s="101" t="s">
        <v>312</v>
      </c>
      <c r="B151" s="74">
        <f>B94</f>
        <v>9703000</v>
      </c>
      <c r="C151" s="74">
        <f>C94</f>
        <v>8459000</v>
      </c>
      <c r="D151" s="74">
        <f>C151+D121</f>
        <v>8459000</v>
      </c>
      <c r="E151" s="74">
        <f t="shared" ref="E151:K151" si="64">D151+E121</f>
        <v>8459000</v>
      </c>
      <c r="F151" s="74">
        <f t="shared" si="64"/>
        <v>8459000</v>
      </c>
      <c r="G151" s="74">
        <f t="shared" si="64"/>
        <v>8459000</v>
      </c>
      <c r="H151" s="74">
        <f t="shared" si="64"/>
        <v>8459000</v>
      </c>
      <c r="I151" s="74">
        <f t="shared" si="64"/>
        <v>8459000</v>
      </c>
      <c r="J151" s="74">
        <f t="shared" si="64"/>
        <v>8459000</v>
      </c>
      <c r="K151" s="74">
        <f t="shared" si="64"/>
        <v>8459000</v>
      </c>
    </row>
    <row r="152" spans="1:11">
      <c r="A152" s="101" t="s">
        <v>313</v>
      </c>
      <c r="D152" s="75">
        <f>D93+D94</f>
        <v>16126110</v>
      </c>
      <c r="E152" s="75">
        <f t="shared" ref="E152:K152" si="65">E93+E94</f>
        <v>19996376.399999999</v>
      </c>
      <c r="F152" s="75">
        <f t="shared" si="65"/>
        <v>26795144.376000002</v>
      </c>
      <c r="G152" s="75">
        <f t="shared" si="65"/>
        <v>39388862.232720003</v>
      </c>
      <c r="H152" s="75">
        <f t="shared" si="65"/>
        <v>53174964.014172003</v>
      </c>
      <c r="I152" s="75">
        <f t="shared" si="65"/>
        <v>68595703.578281879</v>
      </c>
      <c r="J152" s="75">
        <f t="shared" si="65"/>
        <v>85058672.437069535</v>
      </c>
      <c r="K152" s="75">
        <f t="shared" si="65"/>
        <v>99518646.751371354</v>
      </c>
    </row>
    <row r="155" spans="1:11">
      <c r="C155" s="50" t="s">
        <v>314</v>
      </c>
      <c r="D155" s="113">
        <f>K132/(D13-D12)</f>
        <v>2250343003.5603542</v>
      </c>
    </row>
  </sheetData>
  <phoneticPr fontId="1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A4C7-34D0-446D-9660-A01C0DD01799}">
  <dimension ref="B2:K24"/>
  <sheetViews>
    <sheetView workbookViewId="0">
      <selection activeCell="I19" sqref="I19"/>
    </sheetView>
  </sheetViews>
  <sheetFormatPr defaultRowHeight="15"/>
  <cols>
    <col min="2" max="2" width="25.42578125" bestFit="1" customWidth="1"/>
    <col min="3" max="3" width="11" bestFit="1" customWidth="1"/>
    <col min="5" max="5" width="10" bestFit="1" customWidth="1"/>
    <col min="7" max="7" width="10.28515625" bestFit="1" customWidth="1"/>
  </cols>
  <sheetData>
    <row r="2" spans="2:11">
      <c r="B2" s="114"/>
      <c r="C2" s="114" t="s">
        <v>331</v>
      </c>
      <c r="D2" s="114"/>
      <c r="E2" s="114" t="s">
        <v>122</v>
      </c>
      <c r="F2" s="114" t="s">
        <v>328</v>
      </c>
      <c r="G2" s="114" t="s">
        <v>329</v>
      </c>
      <c r="H2" s="114"/>
      <c r="I2" s="114"/>
      <c r="J2" s="114"/>
      <c r="K2" s="114"/>
    </row>
    <row r="3" spans="2:11">
      <c r="B3" s="101" t="s">
        <v>316</v>
      </c>
      <c r="C3">
        <f>C4*134.43</f>
        <v>3312355200</v>
      </c>
      <c r="E3">
        <f>E4*110.84</f>
        <v>179117440</v>
      </c>
      <c r="F3">
        <f>F4*24.87</f>
        <v>10768710</v>
      </c>
      <c r="G3">
        <f>G4*165.43</f>
        <v>184123590</v>
      </c>
    </row>
    <row r="4" spans="2:11">
      <c r="B4" s="101" t="s">
        <v>317</v>
      </c>
      <c r="C4">
        <f>'Projected Financial statement'!D43</f>
        <v>24640000</v>
      </c>
      <c r="E4" s="2">
        <f>AMD!B86</f>
        <v>1616000</v>
      </c>
      <c r="F4" s="2">
        <f>INTEL!B87</f>
        <v>433000</v>
      </c>
      <c r="G4" s="2">
        <f>QUALCOMM!B90</f>
        <v>1113000</v>
      </c>
    </row>
    <row r="5" spans="2:11">
      <c r="B5" s="101" t="s">
        <v>318</v>
      </c>
      <c r="C5" s="2">
        <f>'Projected Financial statement'!C63</f>
        <v>29760000</v>
      </c>
      <c r="E5" s="2">
        <f>AMD!B77</f>
        <v>854000</v>
      </c>
      <c r="F5" s="2">
        <f>INTEL!B78</f>
        <v>-18756</v>
      </c>
      <c r="G5" s="2">
        <f>QUALCOMM!B82</f>
        <v>10142000</v>
      </c>
    </row>
    <row r="6" spans="2:11">
      <c r="B6" s="101" t="s">
        <v>319</v>
      </c>
      <c r="C6" s="2">
        <f>'Projected Financial statement'!B63</f>
        <v>4368000</v>
      </c>
      <c r="E6" s="2">
        <f>AMD!C77</f>
        <v>1320000</v>
      </c>
      <c r="F6" s="2">
        <f>INTEL!C78</f>
        <v>1689</v>
      </c>
      <c r="G6" s="2">
        <f>QUALCOMM!C82</f>
        <v>7232000</v>
      </c>
    </row>
    <row r="7" spans="2:11">
      <c r="B7" s="101" t="s">
        <v>320</v>
      </c>
      <c r="C7" s="2">
        <f>'Projected Financial statement'!C58+'Projected Financial statement'!C75</f>
        <v>33787000</v>
      </c>
      <c r="E7" s="2">
        <f>AMD!B67+(AMD!B25-AMD!C25)</f>
        <v>681000</v>
      </c>
      <c r="F7" s="2">
        <f>INTEL!B66+(INTEL!B18-INTEL!C18)</f>
        <v>-7495</v>
      </c>
      <c r="G7" s="2">
        <f>QUALCOMM!B72+(QUALCOMM!B26-QUALCOMM!C26)</f>
        <v>11279000</v>
      </c>
    </row>
    <row r="8" spans="2:11">
      <c r="B8" s="101" t="s">
        <v>321</v>
      </c>
      <c r="C8" s="2">
        <f>'Projected Financial statement'!C52</f>
        <v>60922000</v>
      </c>
      <c r="E8" s="2">
        <f>AMD!B58</f>
        <v>22680000</v>
      </c>
      <c r="F8" s="2">
        <f>INTEL!B57</f>
        <v>53101</v>
      </c>
      <c r="G8" s="2">
        <f>QUALCOMM!B65</f>
        <v>38962000</v>
      </c>
    </row>
    <row r="9" spans="2:11">
      <c r="B9" s="101" t="s">
        <v>322</v>
      </c>
      <c r="C9">
        <f>'Projected Financial statement'!C98</f>
        <v>42978000</v>
      </c>
      <c r="E9" s="2">
        <f>AMD!B48</f>
        <v>55892000</v>
      </c>
      <c r="F9" s="2">
        <f>INTEL!B45</f>
        <v>99270</v>
      </c>
      <c r="G9" s="2">
        <f>QUALCOMM!B51</f>
        <v>26274000</v>
      </c>
    </row>
    <row r="10" spans="2:11">
      <c r="I10" t="s">
        <v>330</v>
      </c>
    </row>
    <row r="11" spans="2:11">
      <c r="B11" s="101" t="s">
        <v>323</v>
      </c>
      <c r="C11">
        <f>C3/C5</f>
        <v>111.30225806451612</v>
      </c>
      <c r="E11">
        <f t="shared" ref="E11:G11" si="0">E3/E5</f>
        <v>209.73939110070256</v>
      </c>
      <c r="F11">
        <f t="shared" si="0"/>
        <v>-574.1474728087012</v>
      </c>
      <c r="G11">
        <f t="shared" si="0"/>
        <v>18.154564188522972</v>
      </c>
      <c r="I11">
        <f>AVERAGE(E11,G11)</f>
        <v>113.94697764461277</v>
      </c>
    </row>
    <row r="12" spans="2:11">
      <c r="B12" s="101" t="s">
        <v>324</v>
      </c>
      <c r="C12">
        <f>C3/C6</f>
        <v>758.32307692307688</v>
      </c>
      <c r="E12">
        <f t="shared" ref="E12:G12" si="1">E3/E6</f>
        <v>135.69503030303031</v>
      </c>
      <c r="F12">
        <f t="shared" si="1"/>
        <v>6375.7904085257551</v>
      </c>
      <c r="G12">
        <f t="shared" si="1"/>
        <v>25.459567201327435</v>
      </c>
      <c r="I12">
        <f>AVERAGE(E12,G12)</f>
        <v>80.577298752178876</v>
      </c>
    </row>
    <row r="13" spans="2:11">
      <c r="B13" s="101" t="s">
        <v>325</v>
      </c>
      <c r="C13">
        <f>C3/C7</f>
        <v>98.036380856542451</v>
      </c>
      <c r="E13">
        <f t="shared" ref="E13:G13" si="2">E3/E7</f>
        <v>263.02120411160058</v>
      </c>
      <c r="F13">
        <f t="shared" si="2"/>
        <v>-1436.7858572381588</v>
      </c>
      <c r="G13">
        <f t="shared" si="2"/>
        <v>16.324460501817537</v>
      </c>
      <c r="I13">
        <f>AVERAGE(E13,G13)</f>
        <v>139.67283230670907</v>
      </c>
    </row>
    <row r="14" spans="2:11">
      <c r="B14" s="101" t="s">
        <v>326</v>
      </c>
      <c r="C14">
        <f>C3/C8</f>
        <v>54.37042776008667</v>
      </c>
      <c r="E14">
        <f t="shared" ref="E14:G14" si="3">E3/E8</f>
        <v>7.8975943562610231</v>
      </c>
      <c r="F14">
        <f t="shared" si="3"/>
        <v>202.79674582399579</v>
      </c>
      <c r="G14">
        <f t="shared" si="3"/>
        <v>4.7257222421846929</v>
      </c>
      <c r="I14">
        <f>AVERAGE(E14,G14)</f>
        <v>6.3116582992228576</v>
      </c>
    </row>
    <row r="15" spans="2:11">
      <c r="B15" s="101" t="s">
        <v>327</v>
      </c>
      <c r="C15">
        <f>C3/C9</f>
        <v>77.070947926846287</v>
      </c>
      <c r="E15">
        <f t="shared" ref="E15:G15" si="4">E3/E9</f>
        <v>3.2047062191369067</v>
      </c>
      <c r="F15">
        <f t="shared" si="4"/>
        <v>108.47899667573284</v>
      </c>
      <c r="G15">
        <f t="shared" si="4"/>
        <v>7.0078248458552181</v>
      </c>
      <c r="I15">
        <f>AVERAGE(E15,G15)</f>
        <v>5.106265532496062</v>
      </c>
    </row>
    <row r="17" spans="2:4">
      <c r="B17" s="101" t="s">
        <v>231</v>
      </c>
    </row>
    <row r="19" spans="2:4">
      <c r="B19" s="101" t="s">
        <v>324</v>
      </c>
      <c r="C19">
        <f>I11*C6</f>
        <v>497720398.3516686</v>
      </c>
      <c r="D19">
        <f>C19/'Projected Financial statement'!$D$43</f>
        <v>20.199691491544993</v>
      </c>
    </row>
    <row r="20" spans="2:4">
      <c r="B20" s="101" t="s">
        <v>325</v>
      </c>
      <c r="C20">
        <f>I12*C7</f>
        <v>2722465192.9398675</v>
      </c>
      <c r="D20">
        <f>C20/'Projected Financial statement'!$D$43</f>
        <v>110.48965880437774</v>
      </c>
    </row>
    <row r="21" spans="2:4">
      <c r="B21" s="101" t="s">
        <v>326</v>
      </c>
      <c r="C21">
        <f>I13*C8</f>
        <v>8509148289.7893295</v>
      </c>
      <c r="D21">
        <f>C21/'Projected Financial statement'!$D$43</f>
        <v>345.33881046222928</v>
      </c>
    </row>
    <row r="22" spans="2:4">
      <c r="B22" s="101" t="s">
        <v>327</v>
      </c>
      <c r="C22">
        <f>I14*C9</f>
        <v>271262450.384</v>
      </c>
      <c r="D22">
        <f>C22/'Projected Financial statement'!$D$43</f>
        <v>11.009028018831168</v>
      </c>
    </row>
    <row r="24" spans="2:4">
      <c r="C24" t="s">
        <v>330</v>
      </c>
      <c r="D24">
        <f>AVERAGE(D19:D22)</f>
        <v>121.75929719424579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441B-CE48-45E9-A32B-7D763441CF22}">
  <dimension ref="A1:E6"/>
  <sheetViews>
    <sheetView topLeftCell="B1" workbookViewId="0">
      <selection activeCell="E12" sqref="E12"/>
    </sheetView>
  </sheetViews>
  <sheetFormatPr defaultRowHeight="15"/>
  <cols>
    <col min="1" max="1" width="35" bestFit="1" customWidth="1"/>
    <col min="2" max="2" width="20.85546875" bestFit="1" customWidth="1"/>
    <col min="3" max="3" width="31.5703125" bestFit="1" customWidth="1"/>
    <col min="4" max="4" width="18.42578125" bestFit="1" customWidth="1"/>
    <col min="5" max="5" width="28" bestFit="1" customWidth="1"/>
  </cols>
  <sheetData>
    <row r="1" spans="1:5">
      <c r="B1" s="33" t="s">
        <v>120</v>
      </c>
      <c r="C1" s="33" t="s">
        <v>122</v>
      </c>
      <c r="D1" s="33" t="s">
        <v>124</v>
      </c>
      <c r="E1" s="33" t="s">
        <v>126</v>
      </c>
    </row>
    <row r="2" spans="1:5">
      <c r="B2" s="33" t="s">
        <v>121</v>
      </c>
      <c r="C2" s="33" t="s">
        <v>123</v>
      </c>
      <c r="D2" s="33" t="s">
        <v>125</v>
      </c>
      <c r="E2" s="33" t="s">
        <v>127</v>
      </c>
    </row>
    <row r="3" spans="1:5">
      <c r="A3" s="30" t="s">
        <v>108</v>
      </c>
      <c r="B3" s="31" t="s">
        <v>109</v>
      </c>
      <c r="C3" s="31" t="s">
        <v>110</v>
      </c>
      <c r="D3" s="31" t="s">
        <v>111</v>
      </c>
      <c r="E3" s="31" t="s">
        <v>112</v>
      </c>
    </row>
    <row r="4" spans="1:5" s="3" customFormat="1">
      <c r="A4" s="1" t="s">
        <v>113</v>
      </c>
      <c r="B4" s="3" t="s">
        <v>114</v>
      </c>
      <c r="C4" s="3" t="s">
        <v>115</v>
      </c>
      <c r="D4" s="3" t="s">
        <v>116</v>
      </c>
      <c r="E4" s="3" t="s">
        <v>117</v>
      </c>
    </row>
    <row r="5" spans="1:5">
      <c r="A5" s="30" t="s">
        <v>118</v>
      </c>
      <c r="B5" s="32">
        <v>0.75860000000000005</v>
      </c>
      <c r="C5" s="32">
        <v>0.48380000000000001</v>
      </c>
      <c r="D5" s="32">
        <v>0.34670000000000001</v>
      </c>
      <c r="E5" s="32">
        <v>0.56210000000000004</v>
      </c>
    </row>
    <row r="6" spans="1:5">
      <c r="A6" s="30" t="s">
        <v>119</v>
      </c>
      <c r="B6" s="32">
        <v>0.55689999999999995</v>
      </c>
      <c r="C6" s="32">
        <v>7.5200000000000003E-2</v>
      </c>
      <c r="D6" s="32">
        <v>-0.29420000000000002</v>
      </c>
      <c r="E6" s="32">
        <v>0.26029999999999998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5B4D-A0F7-4861-9351-E7673CEDD56E}">
  <dimension ref="A4:L103"/>
  <sheetViews>
    <sheetView topLeftCell="A6" workbookViewId="0">
      <selection activeCell="F104" sqref="F104"/>
    </sheetView>
  </sheetViews>
  <sheetFormatPr defaultRowHeight="15"/>
  <cols>
    <col min="1" max="1" width="61.85546875" bestFit="1" customWidth="1"/>
    <col min="2" max="11" width="10.7109375" bestFit="1" customWidth="1"/>
    <col min="12" max="191" width="12" customWidth="1"/>
  </cols>
  <sheetData>
    <row r="4" spans="1:12">
      <c r="A4" s="34" t="s">
        <v>52</v>
      </c>
    </row>
    <row r="5" spans="1:12" ht="20.25">
      <c r="A5" s="35" t="s">
        <v>128</v>
      </c>
    </row>
    <row r="7" spans="1:12">
      <c r="A7" s="36" t="s">
        <v>129</v>
      </c>
    </row>
    <row r="10" spans="1:12">
      <c r="A10" s="37" t="s">
        <v>50</v>
      </c>
    </row>
    <row r="11" spans="1:12">
      <c r="A11" s="38" t="s">
        <v>49</v>
      </c>
      <c r="B11" s="39" t="s">
        <v>130</v>
      </c>
      <c r="C11" s="39" t="s">
        <v>131</v>
      </c>
      <c r="D11" s="39" t="s">
        <v>132</v>
      </c>
      <c r="E11" s="39" t="s">
        <v>133</v>
      </c>
      <c r="F11" s="39" t="s">
        <v>134</v>
      </c>
      <c r="G11" s="39" t="s">
        <v>135</v>
      </c>
      <c r="H11" s="39" t="s">
        <v>136</v>
      </c>
      <c r="I11" s="39" t="s">
        <v>137</v>
      </c>
      <c r="J11" s="39" t="s">
        <v>138</v>
      </c>
      <c r="K11" s="39" t="s">
        <v>139</v>
      </c>
      <c r="L11" s="38"/>
    </row>
    <row r="12" spans="1:12">
      <c r="A12" s="38" t="s">
        <v>38</v>
      </c>
      <c r="B12" s="39" t="s">
        <v>37</v>
      </c>
      <c r="C12" s="39" t="s">
        <v>37</v>
      </c>
      <c r="D12" s="39" t="s">
        <v>37</v>
      </c>
      <c r="E12" s="39" t="s">
        <v>37</v>
      </c>
      <c r="F12" s="39" t="s">
        <v>37</v>
      </c>
      <c r="G12" s="39" t="s">
        <v>37</v>
      </c>
      <c r="H12" s="39" t="s">
        <v>37</v>
      </c>
      <c r="I12" s="39" t="s">
        <v>37</v>
      </c>
      <c r="J12" s="39" t="s">
        <v>37</v>
      </c>
      <c r="K12" s="39" t="s">
        <v>37</v>
      </c>
      <c r="L12" s="38"/>
    </row>
    <row r="13" spans="1:12" ht="25.5">
      <c r="A13" s="38" t="s">
        <v>36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 t="s">
        <v>35</v>
      </c>
      <c r="L13" s="38"/>
    </row>
    <row r="14" spans="1:12">
      <c r="A14" s="38" t="s">
        <v>34</v>
      </c>
      <c r="B14" s="39" t="s">
        <v>33</v>
      </c>
      <c r="C14" s="39" t="s">
        <v>33</v>
      </c>
      <c r="D14" s="39" t="s">
        <v>33</v>
      </c>
      <c r="E14" s="39" t="s">
        <v>33</v>
      </c>
      <c r="F14" s="39" t="s">
        <v>33</v>
      </c>
      <c r="G14" s="39" t="s">
        <v>33</v>
      </c>
      <c r="H14" s="39" t="s">
        <v>33</v>
      </c>
      <c r="I14" s="39" t="s">
        <v>33</v>
      </c>
      <c r="J14" s="39" t="s">
        <v>33</v>
      </c>
      <c r="K14" s="39" t="s">
        <v>33</v>
      </c>
      <c r="L14" s="38"/>
    </row>
    <row r="15" spans="1:12">
      <c r="A15" s="38" t="s">
        <v>32</v>
      </c>
      <c r="B15" s="39" t="s">
        <v>31</v>
      </c>
      <c r="C15" s="39" t="s">
        <v>31</v>
      </c>
      <c r="D15" s="39" t="s">
        <v>31</v>
      </c>
      <c r="E15" s="39" t="s">
        <v>31</v>
      </c>
      <c r="F15" s="39" t="s">
        <v>31</v>
      </c>
      <c r="G15" s="39" t="s">
        <v>31</v>
      </c>
      <c r="H15" s="39" t="s">
        <v>31</v>
      </c>
      <c r="I15" s="39" t="s">
        <v>31</v>
      </c>
      <c r="J15" s="39" t="s">
        <v>31</v>
      </c>
      <c r="K15" s="39" t="s">
        <v>31</v>
      </c>
      <c r="L15" s="38"/>
    </row>
    <row r="16" spans="1:12">
      <c r="A16" s="1" t="s">
        <v>30</v>
      </c>
      <c r="B16" s="2">
        <v>3933000</v>
      </c>
      <c r="C16" s="2">
        <v>4835000</v>
      </c>
      <c r="D16" s="2">
        <v>2535000</v>
      </c>
      <c r="E16" s="2">
        <v>1595000</v>
      </c>
      <c r="F16" s="2">
        <v>1503000</v>
      </c>
      <c r="G16" s="2">
        <v>1156000</v>
      </c>
      <c r="H16" s="2">
        <v>1185000</v>
      </c>
      <c r="I16" s="2">
        <v>1264000</v>
      </c>
      <c r="J16" s="2">
        <v>785000</v>
      </c>
      <c r="K16" s="2">
        <v>1040000</v>
      </c>
      <c r="L16" s="1"/>
    </row>
    <row r="17" spans="1:12">
      <c r="A17" s="1" t="s">
        <v>29</v>
      </c>
      <c r="B17" s="2">
        <v>1840000</v>
      </c>
      <c r="C17" s="2">
        <v>1020000</v>
      </c>
      <c r="D17" s="2">
        <v>1073000</v>
      </c>
      <c r="E17" s="2">
        <v>695000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1"/>
    </row>
    <row r="18" spans="1:12">
      <c r="A18" s="1" t="s">
        <v>28</v>
      </c>
      <c r="B18" s="2">
        <v>5773000</v>
      </c>
      <c r="C18" s="2">
        <v>5855000</v>
      </c>
      <c r="D18" s="2">
        <v>3608000</v>
      </c>
      <c r="E18" s="2">
        <v>2290000</v>
      </c>
      <c r="F18" s="2">
        <v>1503000</v>
      </c>
      <c r="G18" s="2">
        <v>1156000</v>
      </c>
      <c r="H18" s="2">
        <v>1185000</v>
      </c>
      <c r="I18" s="2">
        <v>1264000</v>
      </c>
      <c r="J18" s="2">
        <v>785000</v>
      </c>
      <c r="K18" s="2">
        <v>1040000</v>
      </c>
      <c r="L18" s="1"/>
    </row>
    <row r="19" spans="1:12">
      <c r="A19" s="1" t="s">
        <v>27</v>
      </c>
      <c r="B19" s="2">
        <v>5376000</v>
      </c>
      <c r="C19" s="2">
        <v>4126000</v>
      </c>
      <c r="D19" s="2">
        <v>2706000</v>
      </c>
      <c r="E19" s="2">
        <v>2066000</v>
      </c>
      <c r="F19" s="2">
        <v>1859000</v>
      </c>
      <c r="G19" s="2">
        <v>1235000</v>
      </c>
      <c r="H19" s="2">
        <v>400000</v>
      </c>
      <c r="I19" s="2">
        <v>311000</v>
      </c>
      <c r="J19" s="2">
        <v>533000</v>
      </c>
      <c r="K19" s="2">
        <v>818000</v>
      </c>
      <c r="L19" s="1"/>
    </row>
    <row r="20" spans="1:12">
      <c r="A20" s="1" t="s">
        <v>140</v>
      </c>
      <c r="B20" s="2">
        <v>9000</v>
      </c>
      <c r="C20" s="2">
        <v>2000</v>
      </c>
      <c r="D20" s="2">
        <v>2000</v>
      </c>
      <c r="E20" s="2">
        <v>10000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1"/>
    </row>
    <row r="21" spans="1:12">
      <c r="A21" s="1" t="s">
        <v>26</v>
      </c>
      <c r="B21" s="2">
        <v>4351000</v>
      </c>
      <c r="C21" s="2">
        <v>3771000</v>
      </c>
      <c r="D21" s="2">
        <v>1955000</v>
      </c>
      <c r="E21" s="2">
        <v>1399000</v>
      </c>
      <c r="F21" s="2">
        <v>982000</v>
      </c>
      <c r="G21" s="2">
        <v>845000</v>
      </c>
      <c r="H21" s="2">
        <v>739000</v>
      </c>
      <c r="I21" s="2">
        <v>751000</v>
      </c>
      <c r="J21" s="2">
        <v>678000</v>
      </c>
      <c r="K21" s="2">
        <v>685000</v>
      </c>
      <c r="L21" s="1"/>
    </row>
    <row r="22" spans="1:12">
      <c r="A22" s="1" t="s">
        <v>25</v>
      </c>
      <c r="B22" s="2">
        <v>1259000</v>
      </c>
      <c r="C22" s="2">
        <v>1265000</v>
      </c>
      <c r="D22" s="2">
        <v>312000</v>
      </c>
      <c r="E22" s="2">
        <v>378000</v>
      </c>
      <c r="F22" s="2">
        <v>253000</v>
      </c>
      <c r="G22" s="2">
        <v>247000</v>
      </c>
      <c r="H22" s="2">
        <v>221000</v>
      </c>
      <c r="I22" s="2">
        <v>109000</v>
      </c>
      <c r="J22" s="2">
        <v>248000</v>
      </c>
      <c r="K22" s="2">
        <v>80000</v>
      </c>
      <c r="L22" s="1"/>
    </row>
    <row r="23" spans="1:12">
      <c r="A23" s="1" t="s">
        <v>24</v>
      </c>
      <c r="B23" s="2">
        <v>16768000</v>
      </c>
      <c r="C23" s="2">
        <v>15019000</v>
      </c>
      <c r="D23" s="2">
        <v>8583000</v>
      </c>
      <c r="E23" s="2">
        <v>6143000</v>
      </c>
      <c r="F23" s="2">
        <v>4597000</v>
      </c>
      <c r="G23" s="2">
        <v>3540000</v>
      </c>
      <c r="H23" s="2">
        <v>2622000</v>
      </c>
      <c r="I23" s="2">
        <v>2530000</v>
      </c>
      <c r="J23" s="2">
        <v>2320000</v>
      </c>
      <c r="K23" s="2">
        <v>2736000</v>
      </c>
      <c r="L23" s="1"/>
    </row>
    <row r="24" spans="1:12">
      <c r="A24" s="1" t="s">
        <v>23</v>
      </c>
      <c r="B24" s="2">
        <v>3376000</v>
      </c>
      <c r="C24" s="2">
        <v>3020000</v>
      </c>
      <c r="D24" s="2">
        <v>1836000</v>
      </c>
      <c r="E24" s="2">
        <v>1553000</v>
      </c>
      <c r="F24" s="2">
        <v>1268000</v>
      </c>
      <c r="G24" s="2">
        <v>1055000</v>
      </c>
      <c r="H24" s="2">
        <v>1001000</v>
      </c>
      <c r="I24" s="2">
        <v>881000</v>
      </c>
      <c r="J24" s="2">
        <v>984000</v>
      </c>
      <c r="K24" s="2">
        <v>1680000</v>
      </c>
      <c r="L24" s="1"/>
    </row>
    <row r="25" spans="1:12">
      <c r="A25" s="1" t="s">
        <v>22</v>
      </c>
      <c r="B25" s="2">
        <v>1787000</v>
      </c>
      <c r="C25" s="2">
        <v>1507000</v>
      </c>
      <c r="D25" s="2">
        <v>1134000</v>
      </c>
      <c r="E25" s="2">
        <v>912000</v>
      </c>
      <c r="F25" s="2">
        <v>768000</v>
      </c>
      <c r="G25" s="2">
        <v>707000</v>
      </c>
      <c r="H25" s="2">
        <v>740000</v>
      </c>
      <c r="I25" s="2">
        <v>717000</v>
      </c>
      <c r="J25" s="2">
        <v>796000</v>
      </c>
      <c r="K25" s="2">
        <v>1378000</v>
      </c>
      <c r="L25" s="1"/>
    </row>
    <row r="26" spans="1:12">
      <c r="A26" s="1" t="s">
        <v>21</v>
      </c>
      <c r="B26" s="2">
        <v>1589000</v>
      </c>
      <c r="C26" s="2">
        <v>1513000</v>
      </c>
      <c r="D26" s="2">
        <v>702000</v>
      </c>
      <c r="E26" s="2">
        <v>641000</v>
      </c>
      <c r="F26" s="2">
        <v>500000</v>
      </c>
      <c r="G26" s="2">
        <v>348000</v>
      </c>
      <c r="H26" s="2">
        <v>261000</v>
      </c>
      <c r="I26" s="2">
        <v>164000</v>
      </c>
      <c r="J26" s="2">
        <v>188000</v>
      </c>
      <c r="K26" s="2">
        <v>302000</v>
      </c>
      <c r="L26" s="1"/>
    </row>
    <row r="27" spans="1:12">
      <c r="A27" s="1" t="s">
        <v>141</v>
      </c>
      <c r="B27" s="2">
        <v>99000</v>
      </c>
      <c r="C27" s="2">
        <v>83000</v>
      </c>
      <c r="D27" s="2">
        <v>69000</v>
      </c>
      <c r="E27" s="2">
        <v>63000</v>
      </c>
      <c r="F27" s="2">
        <v>58000</v>
      </c>
      <c r="G27" s="2">
        <v>58000</v>
      </c>
      <c r="H27" s="2">
        <v>58000</v>
      </c>
      <c r="I27" s="2">
        <v>59000</v>
      </c>
      <c r="J27" s="3">
        <v>0</v>
      </c>
      <c r="K27" s="3">
        <v>0</v>
      </c>
      <c r="L27" s="1"/>
    </row>
    <row r="28" spans="1:12">
      <c r="A28" s="1" t="s">
        <v>20</v>
      </c>
      <c r="B28" s="2">
        <v>45625000</v>
      </c>
      <c r="C28" s="2">
        <v>48657000</v>
      </c>
      <c r="D28" s="2">
        <v>617000</v>
      </c>
      <c r="E28" s="2">
        <v>518000</v>
      </c>
      <c r="F28" s="2">
        <v>499000</v>
      </c>
      <c r="G28" s="2">
        <v>515000</v>
      </c>
      <c r="H28" s="2">
        <v>528000</v>
      </c>
      <c r="I28" s="2">
        <v>521000</v>
      </c>
      <c r="J28" s="2">
        <v>278000</v>
      </c>
      <c r="K28" s="2">
        <v>385000</v>
      </c>
      <c r="L28" s="1"/>
    </row>
    <row r="29" spans="1:12">
      <c r="A29" s="1" t="s">
        <v>142</v>
      </c>
      <c r="B29" s="3">
        <v>0</v>
      </c>
      <c r="C29" s="2">
        <v>1252000</v>
      </c>
      <c r="D29" s="2">
        <v>916000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1"/>
    </row>
    <row r="30" spans="1:12">
      <c r="A30" s="1" t="s">
        <v>143</v>
      </c>
      <c r="B30" s="2">
        <v>366000</v>
      </c>
      <c r="C30" s="2">
        <v>58000</v>
      </c>
      <c r="D30" s="2">
        <v>931000</v>
      </c>
      <c r="E30" s="2">
        <v>1245000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1"/>
    </row>
    <row r="31" spans="1:12">
      <c r="A31" s="1" t="s">
        <v>19</v>
      </c>
      <c r="B31" s="2">
        <v>3438000</v>
      </c>
      <c r="C31" s="2">
        <v>998000</v>
      </c>
      <c r="D31" s="2">
        <v>601000</v>
      </c>
      <c r="E31" s="2">
        <v>352000</v>
      </c>
      <c r="F31" s="2">
        <v>374000</v>
      </c>
      <c r="G31" s="2">
        <v>95000</v>
      </c>
      <c r="H31" s="2">
        <v>71000</v>
      </c>
      <c r="I31" s="2">
        <v>47000</v>
      </c>
      <c r="J31" s="2">
        <v>323000</v>
      </c>
      <c r="K31" s="2">
        <v>344000</v>
      </c>
      <c r="L31" s="1"/>
    </row>
    <row r="32" spans="1:12">
      <c r="A32" s="1" t="s">
        <v>18</v>
      </c>
      <c r="B32" s="2">
        <v>67885000</v>
      </c>
      <c r="C32" s="2">
        <v>67580000</v>
      </c>
      <c r="D32" s="2">
        <v>12419000</v>
      </c>
      <c r="E32" s="2">
        <v>8962000</v>
      </c>
      <c r="F32" s="2">
        <v>6028000</v>
      </c>
      <c r="G32" s="2">
        <v>4556000</v>
      </c>
      <c r="H32" s="2">
        <v>3540000</v>
      </c>
      <c r="I32" s="2">
        <v>3321000</v>
      </c>
      <c r="J32" s="2">
        <v>3109000</v>
      </c>
      <c r="K32" s="2">
        <v>3767000</v>
      </c>
      <c r="L32" s="1"/>
    </row>
    <row r="33" spans="1:12">
      <c r="A33" s="1" t="s">
        <v>17</v>
      </c>
      <c r="B33" s="2">
        <v>5500000</v>
      </c>
      <c r="C33" s="2">
        <v>6033000</v>
      </c>
      <c r="D33" s="2">
        <v>3830000</v>
      </c>
      <c r="E33" s="2">
        <v>2342000</v>
      </c>
      <c r="F33" s="2">
        <v>2285000</v>
      </c>
      <c r="G33" s="2">
        <v>1824000</v>
      </c>
      <c r="H33" s="2">
        <v>1337000</v>
      </c>
      <c r="I33" s="2">
        <v>1214000</v>
      </c>
      <c r="J33" s="2">
        <v>996000</v>
      </c>
      <c r="K33" s="2">
        <v>1191000</v>
      </c>
      <c r="L33" s="1"/>
    </row>
    <row r="34" spans="1:12">
      <c r="A34" s="1" t="s">
        <v>16</v>
      </c>
      <c r="B34" s="2">
        <v>2055000</v>
      </c>
      <c r="C34" s="2">
        <v>2493000</v>
      </c>
      <c r="D34" s="2">
        <v>1321000</v>
      </c>
      <c r="E34" s="2">
        <v>468000</v>
      </c>
      <c r="F34" s="2">
        <v>988000</v>
      </c>
      <c r="G34" s="2">
        <v>528000</v>
      </c>
      <c r="H34" s="2">
        <v>384000</v>
      </c>
      <c r="I34" s="2">
        <v>440000</v>
      </c>
      <c r="J34" s="2">
        <v>279000</v>
      </c>
      <c r="K34" s="2">
        <v>415000</v>
      </c>
      <c r="L34" s="1"/>
    </row>
    <row r="35" spans="1:12">
      <c r="A35" s="1" t="s">
        <v>15</v>
      </c>
      <c r="B35" s="2">
        <v>3082000</v>
      </c>
      <c r="C35" s="2">
        <v>3077000</v>
      </c>
      <c r="D35" s="2">
        <v>2424000</v>
      </c>
      <c r="E35" s="2">
        <v>1796000</v>
      </c>
      <c r="F35" s="2">
        <v>1084000</v>
      </c>
      <c r="G35" s="2">
        <v>763000</v>
      </c>
      <c r="H35" s="2">
        <v>541000</v>
      </c>
      <c r="I35" s="2">
        <v>391000</v>
      </c>
      <c r="J35" s="2">
        <v>472000</v>
      </c>
      <c r="K35" s="2">
        <v>558000</v>
      </c>
      <c r="L35" s="1"/>
    </row>
    <row r="36" spans="1:12">
      <c r="A36" s="1" t="s">
        <v>14</v>
      </c>
      <c r="B36" s="2">
        <v>751000</v>
      </c>
      <c r="C36" s="3">
        <v>0</v>
      </c>
      <c r="D36" s="2">
        <v>312000</v>
      </c>
      <c r="E36" s="3">
        <v>0</v>
      </c>
      <c r="F36" s="3">
        <v>0</v>
      </c>
      <c r="G36" s="2">
        <v>136000</v>
      </c>
      <c r="H36" s="2">
        <v>70000</v>
      </c>
      <c r="I36" s="3" t="s">
        <v>2</v>
      </c>
      <c r="J36" s="2">
        <v>230000</v>
      </c>
      <c r="K36" s="2">
        <v>177000</v>
      </c>
      <c r="L36" s="1"/>
    </row>
    <row r="37" spans="1:12">
      <c r="A37" s="1" t="s">
        <v>13</v>
      </c>
      <c r="B37" s="2">
        <v>438000</v>
      </c>
      <c r="C37" s="2">
        <v>336000</v>
      </c>
      <c r="D37" s="2">
        <v>98000</v>
      </c>
      <c r="E37" s="2">
        <v>75000</v>
      </c>
      <c r="F37" s="2">
        <v>74000</v>
      </c>
      <c r="G37" s="2">
        <v>24000</v>
      </c>
      <c r="H37" s="2">
        <v>79000</v>
      </c>
      <c r="I37" s="2">
        <v>132000</v>
      </c>
      <c r="J37" s="2">
        <v>177000</v>
      </c>
      <c r="K37" s="2">
        <v>72000</v>
      </c>
      <c r="L37" s="1"/>
    </row>
    <row r="38" spans="1:12">
      <c r="A38" s="1" t="s">
        <v>12</v>
      </c>
      <c r="B38" s="2">
        <v>6689000</v>
      </c>
      <c r="C38" s="2">
        <v>6369000</v>
      </c>
      <c r="D38" s="2">
        <v>4240000</v>
      </c>
      <c r="E38" s="2">
        <v>2417000</v>
      </c>
      <c r="F38" s="2">
        <v>2359000</v>
      </c>
      <c r="G38" s="2">
        <v>1984000</v>
      </c>
      <c r="H38" s="2">
        <v>1486000</v>
      </c>
      <c r="I38" s="2">
        <v>1346000</v>
      </c>
      <c r="J38" s="2">
        <v>1403000</v>
      </c>
      <c r="K38" s="2">
        <v>1440000</v>
      </c>
      <c r="L38" s="1"/>
    </row>
    <row r="39" spans="1:12">
      <c r="A39" s="1" t="s">
        <v>11</v>
      </c>
      <c r="B39" s="2">
        <v>1717000</v>
      </c>
      <c r="C39" s="2">
        <v>2467000</v>
      </c>
      <c r="D39" s="2">
        <v>1000</v>
      </c>
      <c r="E39" s="2">
        <v>330000</v>
      </c>
      <c r="F39" s="2">
        <v>486000</v>
      </c>
      <c r="G39" s="2">
        <v>1114000</v>
      </c>
      <c r="H39" s="2">
        <v>1325000</v>
      </c>
      <c r="I39" s="2">
        <v>1435000</v>
      </c>
      <c r="J39" s="2">
        <v>2032000</v>
      </c>
      <c r="K39" s="2">
        <v>2035000</v>
      </c>
      <c r="L39" s="1"/>
    </row>
    <row r="40" spans="1:12">
      <c r="A40" s="1" t="s">
        <v>10</v>
      </c>
      <c r="B40" s="2">
        <v>1202000</v>
      </c>
      <c r="C40" s="2">
        <v>1934000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1"/>
    </row>
    <row r="41" spans="1:12">
      <c r="A41" s="1" t="s">
        <v>9</v>
      </c>
      <c r="B41" s="2">
        <v>2385000</v>
      </c>
      <c r="C41" s="2">
        <v>2060000</v>
      </c>
      <c r="D41" s="2">
        <v>681000</v>
      </c>
      <c r="E41" s="2">
        <v>378000</v>
      </c>
      <c r="F41" s="2">
        <v>356000</v>
      </c>
      <c r="G41" s="2">
        <v>192000</v>
      </c>
      <c r="H41" s="2">
        <v>118000</v>
      </c>
      <c r="I41" s="2">
        <v>124000</v>
      </c>
      <c r="J41" s="2">
        <v>86000</v>
      </c>
      <c r="K41" s="2">
        <v>105000</v>
      </c>
      <c r="L41" s="1"/>
    </row>
    <row r="42" spans="1:12">
      <c r="A42" s="1" t="s">
        <v>8</v>
      </c>
      <c r="B42" s="2">
        <v>11993000</v>
      </c>
      <c r="C42" s="2">
        <v>12830000</v>
      </c>
      <c r="D42" s="2">
        <v>4922000</v>
      </c>
      <c r="E42" s="2">
        <v>3125000</v>
      </c>
      <c r="F42" s="2">
        <v>3201000</v>
      </c>
      <c r="G42" s="2">
        <v>3290000</v>
      </c>
      <c r="H42" s="2">
        <v>2929000</v>
      </c>
      <c r="I42" s="2">
        <v>2905000</v>
      </c>
      <c r="J42" s="2">
        <v>3521000</v>
      </c>
      <c r="K42" s="2">
        <v>3580000</v>
      </c>
      <c r="L42" s="1"/>
    </row>
    <row r="43" spans="1:12">
      <c r="A43" s="1" t="s">
        <v>7</v>
      </c>
      <c r="B43" s="2">
        <v>17000</v>
      </c>
      <c r="C43" s="2">
        <v>16000</v>
      </c>
      <c r="D43" s="2">
        <v>12000</v>
      </c>
      <c r="E43" s="2">
        <v>12000</v>
      </c>
      <c r="F43" s="2">
        <v>12000</v>
      </c>
      <c r="G43" s="2">
        <v>10000</v>
      </c>
      <c r="H43" s="2">
        <v>9000</v>
      </c>
      <c r="I43" s="2">
        <v>9000</v>
      </c>
      <c r="J43" s="2">
        <v>8000</v>
      </c>
      <c r="K43" s="2">
        <v>8000</v>
      </c>
      <c r="L43" s="1"/>
    </row>
    <row r="44" spans="1:12">
      <c r="A44" s="1" t="s">
        <v>6</v>
      </c>
      <c r="B44" s="2">
        <v>59676000</v>
      </c>
      <c r="C44" s="2">
        <v>58005000</v>
      </c>
      <c r="D44" s="2">
        <v>11069000</v>
      </c>
      <c r="E44" s="2">
        <v>10544000</v>
      </c>
      <c r="F44" s="2">
        <v>9963000</v>
      </c>
      <c r="G44" s="2">
        <v>8750000</v>
      </c>
      <c r="H44" s="2">
        <v>8464000</v>
      </c>
      <c r="I44" s="2">
        <v>8334000</v>
      </c>
      <c r="J44" s="2">
        <v>7017000</v>
      </c>
      <c r="K44" s="2">
        <v>6949000</v>
      </c>
      <c r="L44" s="1"/>
    </row>
    <row r="45" spans="1:12">
      <c r="A45" s="1" t="s">
        <v>5</v>
      </c>
      <c r="B45" s="2">
        <v>723000</v>
      </c>
      <c r="C45" s="2">
        <v>-131000</v>
      </c>
      <c r="D45" s="2">
        <v>-1451000</v>
      </c>
      <c r="E45" s="2">
        <v>-4605000</v>
      </c>
      <c r="F45" s="2">
        <v>-7095000</v>
      </c>
      <c r="G45" s="2">
        <v>-7436000</v>
      </c>
      <c r="H45" s="2">
        <v>-7760000</v>
      </c>
      <c r="I45" s="2">
        <v>-7803000</v>
      </c>
      <c r="J45" s="2">
        <v>-7306000</v>
      </c>
      <c r="K45" s="2">
        <v>-6646000</v>
      </c>
      <c r="L45" s="1"/>
    </row>
    <row r="46" spans="1:12">
      <c r="A46" s="1" t="s">
        <v>4</v>
      </c>
      <c r="B46" s="2">
        <v>-10000</v>
      </c>
      <c r="C46" s="2">
        <v>-41000</v>
      </c>
      <c r="D46" s="2">
        <v>-3000</v>
      </c>
      <c r="E46" s="2">
        <v>17000</v>
      </c>
      <c r="F46" s="3">
        <v>0</v>
      </c>
      <c r="G46" s="2">
        <v>-8000</v>
      </c>
      <c r="H46" s="2">
        <v>6000</v>
      </c>
      <c r="I46" s="2">
        <v>-5000</v>
      </c>
      <c r="J46" s="2">
        <v>-8000</v>
      </c>
      <c r="K46" s="2">
        <v>-5000</v>
      </c>
      <c r="L46" s="1"/>
    </row>
    <row r="47" spans="1:12">
      <c r="A47" s="1" t="s">
        <v>3</v>
      </c>
      <c r="B47" s="2">
        <v>4514000</v>
      </c>
      <c r="C47" s="2">
        <v>3099000</v>
      </c>
      <c r="D47" s="2">
        <v>2130000</v>
      </c>
      <c r="E47" s="2">
        <v>131000</v>
      </c>
      <c r="F47" s="2">
        <v>53000</v>
      </c>
      <c r="G47" s="2">
        <v>50000</v>
      </c>
      <c r="H47" s="2">
        <v>108000</v>
      </c>
      <c r="I47" s="2">
        <v>119000</v>
      </c>
      <c r="J47" s="2">
        <v>123000</v>
      </c>
      <c r="K47" s="2">
        <v>119000</v>
      </c>
      <c r="L47" s="1"/>
    </row>
    <row r="48" spans="1:12">
      <c r="A48" s="1" t="s">
        <v>1</v>
      </c>
      <c r="B48" s="2">
        <v>55892000</v>
      </c>
      <c r="C48" s="2">
        <v>54750000</v>
      </c>
      <c r="D48" s="2">
        <v>7497000</v>
      </c>
      <c r="E48" s="2">
        <v>5837000</v>
      </c>
      <c r="F48" s="2">
        <v>2827000</v>
      </c>
      <c r="G48" s="2">
        <v>1266000</v>
      </c>
      <c r="H48" s="2">
        <v>611000</v>
      </c>
      <c r="I48" s="2">
        <v>416000</v>
      </c>
      <c r="J48" s="2">
        <v>-412000</v>
      </c>
      <c r="K48" s="2">
        <v>187000</v>
      </c>
      <c r="L48" s="1"/>
    </row>
    <row r="49" spans="1:12">
      <c r="A49" s="1" t="s">
        <v>0</v>
      </c>
      <c r="B49" s="2">
        <v>67885000</v>
      </c>
      <c r="C49" s="2">
        <v>67580000</v>
      </c>
      <c r="D49" s="2">
        <v>12419000</v>
      </c>
      <c r="E49" s="2">
        <v>8962000</v>
      </c>
      <c r="F49" s="2">
        <v>6028000</v>
      </c>
      <c r="G49" s="2">
        <v>4556000</v>
      </c>
      <c r="H49" s="2">
        <v>3540000</v>
      </c>
      <c r="I49" s="2">
        <v>3321000</v>
      </c>
      <c r="J49" s="2">
        <v>3109000</v>
      </c>
      <c r="K49" s="2">
        <v>3767000</v>
      </c>
      <c r="L49" s="1"/>
    </row>
    <row r="51" spans="1:12">
      <c r="A51" s="37" t="s">
        <v>53</v>
      </c>
    </row>
    <row r="52" spans="1:12">
      <c r="A52" s="38" t="s">
        <v>49</v>
      </c>
      <c r="B52" s="39" t="s">
        <v>130</v>
      </c>
      <c r="C52" s="39" t="s">
        <v>131</v>
      </c>
      <c r="D52" s="39" t="s">
        <v>132</v>
      </c>
      <c r="E52" s="39" t="s">
        <v>133</v>
      </c>
      <c r="F52" s="39" t="s">
        <v>134</v>
      </c>
      <c r="G52" s="39" t="s">
        <v>135</v>
      </c>
      <c r="H52" s="39" t="s">
        <v>136</v>
      </c>
      <c r="I52" s="39" t="s">
        <v>137</v>
      </c>
      <c r="J52" s="39" t="s">
        <v>138</v>
      </c>
      <c r="K52" s="39" t="s">
        <v>139</v>
      </c>
      <c r="L52" s="38"/>
    </row>
    <row r="53" spans="1:12">
      <c r="A53" s="38" t="s">
        <v>38</v>
      </c>
      <c r="B53" s="39" t="s">
        <v>37</v>
      </c>
      <c r="C53" s="39" t="s">
        <v>37</v>
      </c>
      <c r="D53" s="39" t="s">
        <v>37</v>
      </c>
      <c r="E53" s="39" t="s">
        <v>37</v>
      </c>
      <c r="F53" s="39" t="s">
        <v>37</v>
      </c>
      <c r="G53" s="39" t="s">
        <v>37</v>
      </c>
      <c r="H53" s="39" t="s">
        <v>37</v>
      </c>
      <c r="I53" s="39" t="s">
        <v>37</v>
      </c>
      <c r="J53" s="39" t="s">
        <v>37</v>
      </c>
      <c r="K53" s="39" t="s">
        <v>37</v>
      </c>
      <c r="L53" s="38"/>
    </row>
    <row r="54" spans="1:12" ht="25.5">
      <c r="A54" s="38" t="s">
        <v>36</v>
      </c>
      <c r="B54" s="39" t="s">
        <v>35</v>
      </c>
      <c r="C54" s="39" t="s">
        <v>35</v>
      </c>
      <c r="D54" s="39" t="s">
        <v>35</v>
      </c>
      <c r="E54" s="39" t="s">
        <v>35</v>
      </c>
      <c r="F54" s="39" t="s">
        <v>35</v>
      </c>
      <c r="G54" s="39" t="s">
        <v>35</v>
      </c>
      <c r="H54" s="39" t="s">
        <v>35</v>
      </c>
      <c r="I54" s="39" t="s">
        <v>35</v>
      </c>
      <c r="J54" s="39" t="s">
        <v>35</v>
      </c>
      <c r="K54" s="39" t="s">
        <v>35</v>
      </c>
      <c r="L54" s="38"/>
    </row>
    <row r="55" spans="1:12">
      <c r="A55" s="38" t="s">
        <v>34</v>
      </c>
      <c r="B55" s="39" t="s">
        <v>33</v>
      </c>
      <c r="C55" s="39" t="s">
        <v>33</v>
      </c>
      <c r="D55" s="39" t="s">
        <v>33</v>
      </c>
      <c r="E55" s="39" t="s">
        <v>33</v>
      </c>
      <c r="F55" s="39" t="s">
        <v>33</v>
      </c>
      <c r="G55" s="39" t="s">
        <v>33</v>
      </c>
      <c r="H55" s="39" t="s">
        <v>33</v>
      </c>
      <c r="I55" s="39" t="s">
        <v>33</v>
      </c>
      <c r="J55" s="39" t="s">
        <v>33</v>
      </c>
      <c r="K55" s="39" t="s">
        <v>33</v>
      </c>
      <c r="L55" s="38"/>
    </row>
    <row r="56" spans="1:12">
      <c r="A56" s="38" t="s">
        <v>32</v>
      </c>
      <c r="B56" s="39" t="s">
        <v>31</v>
      </c>
      <c r="C56" s="39" t="s">
        <v>31</v>
      </c>
      <c r="D56" s="39" t="s">
        <v>31</v>
      </c>
      <c r="E56" s="39" t="s">
        <v>31</v>
      </c>
      <c r="F56" s="39" t="s">
        <v>31</v>
      </c>
      <c r="G56" s="39" t="s">
        <v>31</v>
      </c>
      <c r="H56" s="39" t="s">
        <v>31</v>
      </c>
      <c r="I56" s="39" t="s">
        <v>31</v>
      </c>
      <c r="J56" s="39" t="s">
        <v>31</v>
      </c>
      <c r="K56" s="39" t="s">
        <v>31</v>
      </c>
      <c r="L56" s="38"/>
    </row>
    <row r="57" spans="1:12">
      <c r="A57" s="1" t="s">
        <v>146</v>
      </c>
      <c r="B57" s="2">
        <v>22680000</v>
      </c>
      <c r="C57" s="2">
        <v>23601000</v>
      </c>
      <c r="D57" s="2">
        <v>16434000</v>
      </c>
      <c r="E57" s="2">
        <v>9763000</v>
      </c>
      <c r="F57" s="2">
        <v>6731000</v>
      </c>
      <c r="G57" s="2">
        <v>6475000</v>
      </c>
      <c r="H57" s="2">
        <v>5329000</v>
      </c>
      <c r="I57" s="2">
        <v>4272000</v>
      </c>
      <c r="J57" s="2">
        <v>3991000</v>
      </c>
      <c r="K57" s="2">
        <v>5506000</v>
      </c>
      <c r="L57" s="1"/>
    </row>
    <row r="58" spans="1:12">
      <c r="A58" s="1" t="s">
        <v>55</v>
      </c>
      <c r="B58" s="2">
        <v>22680000</v>
      </c>
      <c r="C58" s="2">
        <v>23601000</v>
      </c>
      <c r="D58" s="2">
        <v>16434000</v>
      </c>
      <c r="E58" s="2">
        <v>9763000</v>
      </c>
      <c r="F58" s="2">
        <v>6731000</v>
      </c>
      <c r="G58" s="2">
        <v>6475000</v>
      </c>
      <c r="H58" s="2">
        <v>5329000</v>
      </c>
      <c r="I58" s="2">
        <v>4272000</v>
      </c>
      <c r="J58" s="2">
        <v>3991000</v>
      </c>
      <c r="K58" s="2">
        <v>5506000</v>
      </c>
      <c r="L58" s="1"/>
    </row>
    <row r="59" spans="1:12">
      <c r="A59" s="1" t="s">
        <v>56</v>
      </c>
      <c r="B59" s="2">
        <v>12220000</v>
      </c>
      <c r="C59" s="2">
        <v>12998000</v>
      </c>
      <c r="D59" s="2">
        <v>8505000</v>
      </c>
      <c r="E59" s="2">
        <v>5416000</v>
      </c>
      <c r="F59" s="2">
        <v>3863000</v>
      </c>
      <c r="G59" s="2">
        <v>4028000</v>
      </c>
      <c r="H59" s="2">
        <v>3506000</v>
      </c>
      <c r="I59" s="2">
        <v>3274000</v>
      </c>
      <c r="J59" s="2">
        <v>2911000</v>
      </c>
      <c r="K59" s="2">
        <v>3667000</v>
      </c>
      <c r="L59" s="1"/>
    </row>
    <row r="60" spans="1:12">
      <c r="A60" s="1" t="s">
        <v>57</v>
      </c>
      <c r="B60" s="2">
        <v>10460000</v>
      </c>
      <c r="C60" s="2">
        <v>10603000</v>
      </c>
      <c r="D60" s="2">
        <v>7929000</v>
      </c>
      <c r="E60" s="2">
        <v>4347000</v>
      </c>
      <c r="F60" s="2">
        <v>2868000</v>
      </c>
      <c r="G60" s="2">
        <v>2447000</v>
      </c>
      <c r="H60" s="2">
        <v>1823000</v>
      </c>
      <c r="I60" s="2">
        <v>998000</v>
      </c>
      <c r="J60" s="2">
        <v>1080000</v>
      </c>
      <c r="K60" s="2">
        <v>1839000</v>
      </c>
      <c r="L60" s="1"/>
    </row>
    <row r="61" spans="1:12">
      <c r="A61" s="1" t="s">
        <v>58</v>
      </c>
      <c r="B61" s="2">
        <v>2352000</v>
      </c>
      <c r="C61" s="2">
        <v>2336000</v>
      </c>
      <c r="D61" s="2">
        <v>1448000</v>
      </c>
      <c r="E61" s="2">
        <v>995000</v>
      </c>
      <c r="F61" s="2">
        <v>750000</v>
      </c>
      <c r="G61" s="2">
        <v>562000</v>
      </c>
      <c r="H61" s="2">
        <v>511000</v>
      </c>
      <c r="I61" s="2">
        <v>460000</v>
      </c>
      <c r="J61" s="2">
        <v>482000</v>
      </c>
      <c r="K61" s="2">
        <v>604000</v>
      </c>
      <c r="L61" s="1"/>
    </row>
    <row r="62" spans="1:12">
      <c r="A62" s="1" t="s">
        <v>147</v>
      </c>
      <c r="B62" s="2">
        <v>1869000</v>
      </c>
      <c r="C62" s="2">
        <v>2100000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2">
        <v>3000</v>
      </c>
      <c r="K62" s="2">
        <v>14000</v>
      </c>
      <c r="L62" s="1"/>
    </row>
    <row r="63" spans="1:12">
      <c r="A63" s="1" t="s">
        <v>59</v>
      </c>
      <c r="B63" s="2">
        <v>5872000</v>
      </c>
      <c r="C63" s="2">
        <v>5005000</v>
      </c>
      <c r="D63" s="2">
        <v>2845000</v>
      </c>
      <c r="E63" s="2">
        <v>1983000</v>
      </c>
      <c r="F63" s="2">
        <v>1547000</v>
      </c>
      <c r="G63" s="2">
        <v>1434000</v>
      </c>
      <c r="H63" s="2">
        <v>1160000</v>
      </c>
      <c r="I63" s="2">
        <v>1008000</v>
      </c>
      <c r="J63" s="2">
        <v>947000</v>
      </c>
      <c r="K63" s="2">
        <v>1072000</v>
      </c>
      <c r="L63" s="1"/>
    </row>
    <row r="64" spans="1:12">
      <c r="A64" s="1" t="s">
        <v>60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2">
        <v>-10000</v>
      </c>
      <c r="J64" s="2">
        <v>129000</v>
      </c>
      <c r="K64" s="2">
        <v>304000</v>
      </c>
      <c r="L64" s="1"/>
    </row>
    <row r="65" spans="1:12">
      <c r="A65" s="1" t="s">
        <v>148</v>
      </c>
      <c r="B65" s="2">
        <v>-34000</v>
      </c>
      <c r="C65" s="2">
        <v>-102000</v>
      </c>
      <c r="D65" s="2">
        <v>-12000</v>
      </c>
      <c r="E65" s="2">
        <v>0</v>
      </c>
      <c r="F65" s="2">
        <v>-60000</v>
      </c>
      <c r="G65" s="2">
        <v>0</v>
      </c>
      <c r="H65" s="2">
        <v>-52000</v>
      </c>
      <c r="I65" s="2">
        <v>-88000</v>
      </c>
      <c r="J65" s="2">
        <v>0</v>
      </c>
      <c r="K65" s="2">
        <v>0</v>
      </c>
      <c r="L65" s="1"/>
    </row>
    <row r="66" spans="1:12">
      <c r="A66" s="1" t="s">
        <v>61</v>
      </c>
      <c r="B66" s="2">
        <v>10059000</v>
      </c>
      <c r="C66" s="2">
        <v>9339000</v>
      </c>
      <c r="D66" s="2">
        <v>4281000</v>
      </c>
      <c r="E66" s="2">
        <v>2978000</v>
      </c>
      <c r="F66" s="2">
        <v>2237000</v>
      </c>
      <c r="G66" s="2">
        <v>1996000</v>
      </c>
      <c r="H66" s="2">
        <v>1619000</v>
      </c>
      <c r="I66" s="2">
        <v>1370000</v>
      </c>
      <c r="J66" s="2">
        <v>1561000</v>
      </c>
      <c r="K66" s="2">
        <v>1994000</v>
      </c>
      <c r="L66" s="1"/>
    </row>
    <row r="67" spans="1:12">
      <c r="A67" s="1" t="s">
        <v>62</v>
      </c>
      <c r="B67" s="2">
        <v>401000</v>
      </c>
      <c r="C67" s="2">
        <v>1264000</v>
      </c>
      <c r="D67" s="2">
        <v>3648000</v>
      </c>
      <c r="E67" s="2">
        <v>1369000</v>
      </c>
      <c r="F67" s="2">
        <v>631000</v>
      </c>
      <c r="G67" s="2">
        <v>451000</v>
      </c>
      <c r="H67" s="2">
        <v>204000</v>
      </c>
      <c r="I67" s="2">
        <v>-372000</v>
      </c>
      <c r="J67" s="2">
        <v>-481000</v>
      </c>
      <c r="K67" s="2">
        <v>-155000</v>
      </c>
      <c r="L67" s="1"/>
    </row>
    <row r="68" spans="1:12">
      <c r="A68" s="1" t="s">
        <v>63</v>
      </c>
      <c r="B68" s="2">
        <v>100000</v>
      </c>
      <c r="C68" s="2">
        <v>-23000</v>
      </c>
      <c r="D68" s="2">
        <v>-26000</v>
      </c>
      <c r="E68" s="2">
        <v>-39000</v>
      </c>
      <c r="F68" s="2">
        <v>-79000</v>
      </c>
      <c r="G68" s="2">
        <v>-121000</v>
      </c>
      <c r="H68" s="2">
        <v>-120000</v>
      </c>
      <c r="I68" s="2">
        <v>-154000</v>
      </c>
      <c r="J68" s="2">
        <v>-160000</v>
      </c>
      <c r="K68" s="2">
        <v>-174000</v>
      </c>
      <c r="L68" s="1"/>
    </row>
    <row r="69" spans="1:12">
      <c r="A69" s="1" t="s">
        <v>149</v>
      </c>
      <c r="B69" s="3">
        <v>0</v>
      </c>
      <c r="C69" s="2">
        <v>-62000</v>
      </c>
      <c r="D69" s="2">
        <v>56000</v>
      </c>
      <c r="E69" s="3">
        <v>0</v>
      </c>
      <c r="F69" s="3">
        <v>0</v>
      </c>
      <c r="G69" s="3">
        <v>0</v>
      </c>
      <c r="H69" s="2">
        <v>3000</v>
      </c>
      <c r="I69" s="2">
        <v>146000</v>
      </c>
      <c r="J69" s="3">
        <v>0</v>
      </c>
      <c r="K69" s="3">
        <v>0</v>
      </c>
      <c r="L69" s="1"/>
    </row>
    <row r="70" spans="1:12">
      <c r="A70" s="1" t="s">
        <v>64</v>
      </c>
      <c r="B70" s="2">
        <v>-8000</v>
      </c>
      <c r="C70" s="2">
        <v>5000</v>
      </c>
      <c r="D70" s="2">
        <v>-9000</v>
      </c>
      <c r="E70" s="2">
        <v>-55000</v>
      </c>
      <c r="F70" s="2">
        <v>-180000</v>
      </c>
      <c r="G70" s="2">
        <v>0</v>
      </c>
      <c r="H70" s="2">
        <v>-18000</v>
      </c>
      <c r="I70" s="2">
        <v>-68000</v>
      </c>
      <c r="J70" s="2">
        <v>-5000</v>
      </c>
      <c r="K70" s="2">
        <v>-69000</v>
      </c>
      <c r="L70" s="1"/>
    </row>
    <row r="71" spans="1:12">
      <c r="A71" s="1" t="s">
        <v>65</v>
      </c>
      <c r="B71" s="2">
        <v>92000</v>
      </c>
      <c r="C71" s="2">
        <v>-80000</v>
      </c>
      <c r="D71" s="2">
        <v>21000</v>
      </c>
      <c r="E71" s="2">
        <v>-94000</v>
      </c>
      <c r="F71" s="2">
        <v>-259000</v>
      </c>
      <c r="G71" s="2">
        <v>-121000</v>
      </c>
      <c r="H71" s="2">
        <v>-135000</v>
      </c>
      <c r="I71" s="2">
        <v>-76000</v>
      </c>
      <c r="J71" s="2">
        <v>-165000</v>
      </c>
      <c r="K71" s="2">
        <v>-243000</v>
      </c>
      <c r="L71" s="1"/>
    </row>
    <row r="72" spans="1:12">
      <c r="A72" s="1" t="s">
        <v>66</v>
      </c>
      <c r="B72" s="2">
        <v>493000</v>
      </c>
      <c r="C72" s="2">
        <v>1184000</v>
      </c>
      <c r="D72" s="2">
        <v>3669000</v>
      </c>
      <c r="E72" s="2">
        <v>1275000</v>
      </c>
      <c r="F72" s="2">
        <v>372000</v>
      </c>
      <c r="G72" s="2">
        <v>330000</v>
      </c>
      <c r="H72" s="2">
        <v>69000</v>
      </c>
      <c r="I72" s="2">
        <v>-448000</v>
      </c>
      <c r="J72" s="2">
        <v>-646000</v>
      </c>
      <c r="K72" s="2">
        <v>-398000</v>
      </c>
      <c r="L72" s="1"/>
    </row>
    <row r="73" spans="1:12">
      <c r="A73" s="1" t="s">
        <v>150</v>
      </c>
      <c r="B73" s="2">
        <v>-346000</v>
      </c>
      <c r="C73" s="2">
        <v>-122000</v>
      </c>
      <c r="D73" s="2">
        <v>513000</v>
      </c>
      <c r="E73" s="2">
        <v>-1210000</v>
      </c>
      <c r="F73" s="2">
        <v>31000</v>
      </c>
      <c r="G73" s="2">
        <v>-9000</v>
      </c>
      <c r="H73" s="2">
        <v>19000</v>
      </c>
      <c r="I73" s="2">
        <v>39000</v>
      </c>
      <c r="J73" s="2">
        <v>14000</v>
      </c>
      <c r="K73" s="2">
        <v>5000</v>
      </c>
      <c r="L73" s="1"/>
    </row>
    <row r="74" spans="1:12">
      <c r="A74" s="1" t="s">
        <v>151</v>
      </c>
      <c r="B74" s="2">
        <v>15000</v>
      </c>
      <c r="C74" s="2">
        <v>14000</v>
      </c>
      <c r="D74" s="2">
        <v>6000</v>
      </c>
      <c r="E74" s="2">
        <v>5000</v>
      </c>
      <c r="F74" s="3">
        <v>0</v>
      </c>
      <c r="G74" s="2">
        <v>-2000</v>
      </c>
      <c r="H74" s="2">
        <v>-7000</v>
      </c>
      <c r="I74" s="2">
        <v>-10000</v>
      </c>
      <c r="J74" s="3" t="s">
        <v>2</v>
      </c>
      <c r="K74" s="3" t="s">
        <v>2</v>
      </c>
      <c r="L74" s="1"/>
    </row>
    <row r="75" spans="1:12">
      <c r="A75" s="1" t="s">
        <v>152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1"/>
    </row>
    <row r="76" spans="1:12">
      <c r="A76" s="1" t="s">
        <v>153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1"/>
    </row>
    <row r="77" spans="1:12">
      <c r="A77" s="1" t="s">
        <v>67</v>
      </c>
      <c r="B77" s="2">
        <v>854000</v>
      </c>
      <c r="C77" s="2">
        <v>1320000</v>
      </c>
      <c r="D77" s="2">
        <v>3162000</v>
      </c>
      <c r="E77" s="2">
        <v>2490000</v>
      </c>
      <c r="F77" s="2">
        <v>341000</v>
      </c>
      <c r="G77" s="2">
        <v>337000</v>
      </c>
      <c r="H77" s="2">
        <v>43000</v>
      </c>
      <c r="I77" s="2">
        <v>-497000</v>
      </c>
      <c r="J77" s="2">
        <v>-660000</v>
      </c>
      <c r="K77" s="2">
        <v>-403000</v>
      </c>
      <c r="L77" s="1"/>
    </row>
    <row r="78" spans="1:12">
      <c r="A78" s="1" t="s">
        <v>154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1"/>
    </row>
    <row r="79" spans="1:12">
      <c r="A79" s="1" t="s">
        <v>68</v>
      </c>
      <c r="B79" s="2">
        <v>854000</v>
      </c>
      <c r="C79" s="2">
        <v>1320000</v>
      </c>
      <c r="D79" s="2">
        <v>3162000</v>
      </c>
      <c r="E79" s="2">
        <v>2490000</v>
      </c>
      <c r="F79" s="2">
        <v>341000</v>
      </c>
      <c r="G79" s="2">
        <v>337000</v>
      </c>
      <c r="H79" s="2">
        <v>43000</v>
      </c>
      <c r="I79" s="2">
        <v>-497000</v>
      </c>
      <c r="J79" s="2">
        <v>-660000</v>
      </c>
      <c r="K79" s="2">
        <v>-403000</v>
      </c>
      <c r="L79" s="1"/>
    </row>
    <row r="80" spans="1:12">
      <c r="A80" s="1" t="s">
        <v>69</v>
      </c>
      <c r="B80" s="2">
        <v>1614000</v>
      </c>
      <c r="C80" s="2">
        <v>1561000</v>
      </c>
      <c r="D80" s="2">
        <v>1213000</v>
      </c>
      <c r="E80" s="2">
        <v>1184000</v>
      </c>
      <c r="F80" s="2">
        <v>1091000</v>
      </c>
      <c r="G80" s="2">
        <v>982000</v>
      </c>
      <c r="H80" s="2">
        <v>952000</v>
      </c>
      <c r="I80" s="2">
        <v>835000</v>
      </c>
      <c r="J80" s="2">
        <v>783000</v>
      </c>
      <c r="K80" s="2">
        <v>768000</v>
      </c>
      <c r="L80" s="1"/>
    </row>
    <row r="81" spans="1:12">
      <c r="A81" s="1" t="s">
        <v>70</v>
      </c>
      <c r="B81" s="15">
        <v>0.53</v>
      </c>
      <c r="C81" s="15">
        <v>0.85</v>
      </c>
      <c r="D81" s="15">
        <v>2.61</v>
      </c>
      <c r="E81" s="40">
        <v>2.1</v>
      </c>
      <c r="F81" s="15">
        <v>0.31</v>
      </c>
      <c r="G81" s="15">
        <v>0.34</v>
      </c>
      <c r="H81" s="15">
        <v>0.04</v>
      </c>
      <c r="I81" s="40">
        <v>-0.6</v>
      </c>
      <c r="J81" s="15">
        <v>-0.84</v>
      </c>
      <c r="K81" s="15">
        <v>-0.53</v>
      </c>
      <c r="L81" s="1"/>
    </row>
    <row r="82" spans="1:12">
      <c r="A82" s="1" t="s">
        <v>71</v>
      </c>
      <c r="B82" s="15">
        <v>0.53</v>
      </c>
      <c r="C82" s="15">
        <v>0.85</v>
      </c>
      <c r="D82" s="15">
        <v>2.61</v>
      </c>
      <c r="E82" s="40">
        <v>2.1</v>
      </c>
      <c r="F82" s="15">
        <v>0.31</v>
      </c>
      <c r="G82" s="15">
        <v>0.34</v>
      </c>
      <c r="H82" s="15">
        <v>0.04</v>
      </c>
      <c r="I82" s="40">
        <v>-0.6</v>
      </c>
      <c r="J82" s="15">
        <v>-0.84</v>
      </c>
      <c r="K82" s="15">
        <v>-0.52</v>
      </c>
      <c r="L82" s="1"/>
    </row>
    <row r="83" spans="1:12">
      <c r="A83" s="1" t="s">
        <v>72</v>
      </c>
      <c r="B83" s="2">
        <v>1625000</v>
      </c>
      <c r="C83" s="2">
        <v>1571000</v>
      </c>
      <c r="D83" s="2">
        <v>1229000</v>
      </c>
      <c r="E83" s="2">
        <v>1207000</v>
      </c>
      <c r="F83" s="2">
        <v>1120000</v>
      </c>
      <c r="G83" s="2">
        <v>1064000</v>
      </c>
      <c r="H83" s="2">
        <v>1039000</v>
      </c>
      <c r="I83" s="2">
        <v>835000</v>
      </c>
      <c r="J83" s="2">
        <v>783000</v>
      </c>
      <c r="K83" s="2">
        <v>768000</v>
      </c>
      <c r="L83" s="1"/>
    </row>
    <row r="84" spans="1:12">
      <c r="A84" s="1" t="s">
        <v>73</v>
      </c>
      <c r="B84" s="15">
        <v>0.53</v>
      </c>
      <c r="C84" s="15">
        <v>0.84</v>
      </c>
      <c r="D84" s="15">
        <v>2.57</v>
      </c>
      <c r="E84" s="15">
        <v>2.06</v>
      </c>
      <c r="F84" s="40">
        <v>0.3</v>
      </c>
      <c r="G84" s="15">
        <v>0.32</v>
      </c>
      <c r="H84" s="15">
        <v>0.04</v>
      </c>
      <c r="I84" s="40">
        <v>-0.6</v>
      </c>
      <c r="J84" s="15">
        <v>-0.84</v>
      </c>
      <c r="K84" s="15">
        <v>-0.53</v>
      </c>
      <c r="L84" s="1"/>
    </row>
    <row r="85" spans="1:12">
      <c r="A85" s="1" t="s">
        <v>74</v>
      </c>
      <c r="B85" s="15">
        <v>0.53</v>
      </c>
      <c r="C85" s="15">
        <v>0.84</v>
      </c>
      <c r="D85" s="15">
        <v>2.57</v>
      </c>
      <c r="E85" s="15">
        <v>2.06</v>
      </c>
      <c r="F85" s="40">
        <v>0.3</v>
      </c>
      <c r="G85" s="15">
        <v>0.32</v>
      </c>
      <c r="H85" s="15">
        <v>0.04</v>
      </c>
      <c r="I85" s="40">
        <v>-0.6</v>
      </c>
      <c r="J85" s="15">
        <v>-0.84</v>
      </c>
      <c r="K85" s="15">
        <v>-0.52</v>
      </c>
      <c r="L85" s="1"/>
    </row>
    <row r="86" spans="1:12">
      <c r="A86" s="1" t="s">
        <v>75</v>
      </c>
      <c r="B86" s="2">
        <v>1616000</v>
      </c>
      <c r="C86" s="2">
        <v>1612000</v>
      </c>
      <c r="D86" s="2">
        <v>1207000</v>
      </c>
      <c r="E86" s="2">
        <v>1211000</v>
      </c>
      <c r="F86" s="2">
        <v>1170000</v>
      </c>
      <c r="G86" s="2">
        <v>1005000</v>
      </c>
      <c r="H86" s="2">
        <v>967000</v>
      </c>
      <c r="I86" s="2">
        <v>935000</v>
      </c>
      <c r="J86" s="2">
        <v>792000</v>
      </c>
      <c r="K86" s="2">
        <v>776000</v>
      </c>
      <c r="L86" s="1"/>
    </row>
    <row r="90" spans="1:12">
      <c r="A90" s="95" t="s">
        <v>221</v>
      </c>
      <c r="B90" s="69">
        <f>B67/B32</f>
        <v>5.9070486852765705E-3</v>
      </c>
      <c r="C90" s="69">
        <f t="shared" ref="C90:K90" si="0">C67/C32</f>
        <v>1.8703758508434448E-2</v>
      </c>
      <c r="D90" s="69">
        <f t="shared" si="0"/>
        <v>0.29374345760528225</v>
      </c>
      <c r="E90" s="69">
        <f t="shared" si="0"/>
        <v>0.15275608123186787</v>
      </c>
      <c r="F90" s="69">
        <f t="shared" si="0"/>
        <v>0.10467816854678169</v>
      </c>
      <c r="G90" s="69">
        <f t="shared" si="0"/>
        <v>9.8990342405618964E-2</v>
      </c>
      <c r="H90" s="69">
        <f t="shared" si="0"/>
        <v>5.7627118644067797E-2</v>
      </c>
      <c r="I90" s="69">
        <f t="shared" si="0"/>
        <v>-0.11201445347786811</v>
      </c>
      <c r="J90" s="69">
        <f t="shared" si="0"/>
        <v>-0.15471212608555807</v>
      </c>
      <c r="K90" s="69">
        <f t="shared" si="0"/>
        <v>-4.1146801168038226E-2</v>
      </c>
    </row>
    <row r="91" spans="1:12">
      <c r="A91" s="95" t="s">
        <v>222</v>
      </c>
      <c r="B91" s="69">
        <f>B77/B32</f>
        <v>1.2580098696324666E-2</v>
      </c>
      <c r="C91" s="69">
        <f t="shared" ref="C91:K91" si="1">C77/C32</f>
        <v>1.9532406037289139E-2</v>
      </c>
      <c r="D91" s="69">
        <f t="shared" si="1"/>
        <v>0.254609871970368</v>
      </c>
      <c r="E91" s="69">
        <f t="shared" si="1"/>
        <v>0.27783976790894888</v>
      </c>
      <c r="F91" s="69">
        <f t="shared" si="1"/>
        <v>5.6569343065693431E-2</v>
      </c>
      <c r="G91" s="69">
        <f t="shared" si="1"/>
        <v>7.3968393327480245E-2</v>
      </c>
      <c r="H91" s="69">
        <f t="shared" si="1"/>
        <v>1.2146892655367232E-2</v>
      </c>
      <c r="I91" s="69">
        <f t="shared" si="1"/>
        <v>-0.1496537187594098</v>
      </c>
      <c r="J91" s="69">
        <f t="shared" si="1"/>
        <v>-0.21228690897394661</v>
      </c>
      <c r="K91" s="69">
        <f t="shared" si="1"/>
        <v>-0.10698168303689939</v>
      </c>
    </row>
    <row r="92" spans="1:12">
      <c r="A92" s="95" t="s">
        <v>223</v>
      </c>
      <c r="B92" s="69">
        <f>B77/B48</f>
        <v>1.5279467544550203E-2</v>
      </c>
      <c r="C92" s="69">
        <f t="shared" ref="C92:K92" si="2">C77/C48</f>
        <v>2.4109589041095891E-2</v>
      </c>
      <c r="D92" s="69">
        <f t="shared" si="2"/>
        <v>0.42176870748299322</v>
      </c>
      <c r="E92" s="69">
        <f t="shared" si="2"/>
        <v>0.4265890011992462</v>
      </c>
      <c r="F92" s="69">
        <f t="shared" si="2"/>
        <v>0.12062256809338522</v>
      </c>
      <c r="G92" s="69">
        <f t="shared" si="2"/>
        <v>0.26619273301737756</v>
      </c>
      <c r="H92" s="69">
        <f t="shared" si="2"/>
        <v>7.0376432078559745E-2</v>
      </c>
      <c r="I92" s="69">
        <f t="shared" si="2"/>
        <v>-1.1947115384615385</v>
      </c>
      <c r="J92" s="69">
        <f t="shared" si="2"/>
        <v>1.6019417475728155</v>
      </c>
      <c r="K92" s="69">
        <f t="shared" si="2"/>
        <v>-2.1550802139037435</v>
      </c>
    </row>
    <row r="93" spans="1:12">
      <c r="A93" s="95" t="s">
        <v>224</v>
      </c>
      <c r="B93" s="69">
        <f>B60/B58</f>
        <v>0.46119929453262787</v>
      </c>
      <c r="C93" s="69">
        <f t="shared" ref="C93:K93" si="3">C60/C58</f>
        <v>0.4492606245498072</v>
      </c>
      <c r="D93" s="69">
        <f t="shared" si="3"/>
        <v>0.48247535596933189</v>
      </c>
      <c r="E93" s="69">
        <f t="shared" si="3"/>
        <v>0.44525248386766364</v>
      </c>
      <c r="F93" s="69">
        <f t="shared" si="3"/>
        <v>0.42608824840291187</v>
      </c>
      <c r="G93" s="69">
        <f t="shared" si="3"/>
        <v>0.37791505791505792</v>
      </c>
      <c r="H93" s="69">
        <f t="shared" si="3"/>
        <v>0.34209044848939762</v>
      </c>
      <c r="I93" s="69">
        <f t="shared" si="3"/>
        <v>0.23361423220973782</v>
      </c>
      <c r="J93" s="69">
        <f t="shared" si="3"/>
        <v>0.27060886995740419</v>
      </c>
      <c r="K93" s="69">
        <f t="shared" si="3"/>
        <v>0.33399927351979658</v>
      </c>
    </row>
    <row r="94" spans="1:12">
      <c r="A94" s="95" t="s">
        <v>225</v>
      </c>
      <c r="B94" s="69">
        <f>B63/B58</f>
        <v>0.25890652557319221</v>
      </c>
      <c r="C94" s="69">
        <f t="shared" ref="C94:K94" si="4">C63/C58</f>
        <v>0.21206728528452184</v>
      </c>
      <c r="D94" s="69">
        <f t="shared" si="4"/>
        <v>0.17311670926128758</v>
      </c>
      <c r="E94" s="69">
        <f t="shared" si="4"/>
        <v>0.20311379698863055</v>
      </c>
      <c r="F94" s="69">
        <f t="shared" si="4"/>
        <v>0.22983212004159859</v>
      </c>
      <c r="G94" s="69">
        <f t="shared" si="4"/>
        <v>0.22146718146718147</v>
      </c>
      <c r="H94" s="69">
        <f t="shared" si="4"/>
        <v>0.21767686245074122</v>
      </c>
      <c r="I94" s="69">
        <f t="shared" si="4"/>
        <v>0.23595505617977527</v>
      </c>
      <c r="J94" s="69">
        <f t="shared" si="4"/>
        <v>0.23728388874968678</v>
      </c>
      <c r="K94" s="69">
        <f t="shared" si="4"/>
        <v>0.19469669451507446</v>
      </c>
    </row>
    <row r="95" spans="1:12">
      <c r="A95" s="95" t="s">
        <v>226</v>
      </c>
      <c r="B95" s="69">
        <f>B77/B58</f>
        <v>3.7654320987654324E-2</v>
      </c>
      <c r="C95" s="69">
        <f t="shared" ref="C95:K95" si="5">C77/C58</f>
        <v>5.5929833481632135E-2</v>
      </c>
      <c r="D95" s="69">
        <f t="shared" si="5"/>
        <v>0.19240598758671049</v>
      </c>
      <c r="E95" s="69">
        <f t="shared" si="5"/>
        <v>0.25504455597664655</v>
      </c>
      <c r="F95" s="69">
        <f t="shared" si="5"/>
        <v>5.0661120190164909E-2</v>
      </c>
      <c r="G95" s="69">
        <f t="shared" si="5"/>
        <v>5.2046332046332043E-2</v>
      </c>
      <c r="H95" s="69">
        <f t="shared" si="5"/>
        <v>8.0690561080878215E-3</v>
      </c>
      <c r="I95" s="69">
        <f t="shared" si="5"/>
        <v>-0.11633895131086143</v>
      </c>
      <c r="J95" s="69">
        <f t="shared" si="5"/>
        <v>-0.16537208719619143</v>
      </c>
      <c r="K95" s="69">
        <f t="shared" si="5"/>
        <v>-7.3192880494006532E-2</v>
      </c>
    </row>
    <row r="96" spans="1:12">
      <c r="A96" s="96" t="s">
        <v>227</v>
      </c>
      <c r="B96" s="69">
        <f>B59/B58</f>
        <v>0.53880070546737213</v>
      </c>
      <c r="C96" s="69">
        <f t="shared" ref="C96:K96" si="6">C59/C58</f>
        <v>0.5507393754501928</v>
      </c>
      <c r="D96" s="69">
        <f t="shared" si="6"/>
        <v>0.51752464403066811</v>
      </c>
      <c r="E96" s="69">
        <f t="shared" si="6"/>
        <v>0.55474751613233642</v>
      </c>
      <c r="F96" s="69">
        <f t="shared" si="6"/>
        <v>0.57391175159708807</v>
      </c>
      <c r="G96" s="69">
        <f t="shared" si="6"/>
        <v>0.62208494208494214</v>
      </c>
      <c r="H96" s="69">
        <f t="shared" si="6"/>
        <v>0.65790955151060238</v>
      </c>
      <c r="I96" s="69">
        <f t="shared" si="6"/>
        <v>0.76638576779026213</v>
      </c>
      <c r="J96" s="69">
        <f t="shared" si="6"/>
        <v>0.72939113004259581</v>
      </c>
      <c r="K96" s="69">
        <f t="shared" si="6"/>
        <v>0.66600072648020336</v>
      </c>
    </row>
    <row r="97" spans="1:11">
      <c r="A97" s="95" t="s">
        <v>178</v>
      </c>
      <c r="B97" s="69">
        <f>B61/B58</f>
        <v>0.1037037037037037</v>
      </c>
      <c r="C97" s="69">
        <f t="shared" ref="C97:K97" si="7">C61/C58</f>
        <v>9.8978856828100509E-2</v>
      </c>
      <c r="D97" s="69">
        <f t="shared" si="7"/>
        <v>8.81100158208592E-2</v>
      </c>
      <c r="E97" s="69">
        <f t="shared" si="7"/>
        <v>0.10191539485813787</v>
      </c>
      <c r="F97" s="69">
        <f t="shared" si="7"/>
        <v>0.1114247511513891</v>
      </c>
      <c r="G97" s="69">
        <f t="shared" si="7"/>
        <v>8.6795366795366799E-2</v>
      </c>
      <c r="H97" s="69">
        <f t="shared" si="7"/>
        <v>9.5890410958904104E-2</v>
      </c>
      <c r="I97" s="69">
        <f t="shared" si="7"/>
        <v>0.10767790262172285</v>
      </c>
      <c r="J97" s="69">
        <f t="shared" si="7"/>
        <v>0.12077173640691556</v>
      </c>
      <c r="K97" s="69">
        <f t="shared" si="7"/>
        <v>0.10969851071558299</v>
      </c>
    </row>
    <row r="98" spans="1:11">
      <c r="A98" s="95" t="s">
        <v>228</v>
      </c>
      <c r="B98" s="69">
        <f>B19/B58</f>
        <v>0.23703703703703705</v>
      </c>
      <c r="C98" s="69">
        <f t="shared" ref="C98:K98" si="8">C19/C58</f>
        <v>0.17482310071607135</v>
      </c>
      <c r="D98" s="69">
        <f t="shared" si="8"/>
        <v>0.1646586345381526</v>
      </c>
      <c r="E98" s="69">
        <f t="shared" si="8"/>
        <v>0.21161528218785208</v>
      </c>
      <c r="F98" s="69">
        <f t="shared" si="8"/>
        <v>0.27618481652057641</v>
      </c>
      <c r="G98" s="69">
        <f t="shared" si="8"/>
        <v>0.19073359073359072</v>
      </c>
      <c r="H98" s="69">
        <f t="shared" si="8"/>
        <v>7.5060987051979736E-2</v>
      </c>
      <c r="I98" s="69">
        <f t="shared" si="8"/>
        <v>7.2799625468164791E-2</v>
      </c>
      <c r="J98" s="69">
        <f t="shared" si="8"/>
        <v>0.13355048859934854</v>
      </c>
      <c r="K98" s="69">
        <f t="shared" si="8"/>
        <v>0.14856520159825645</v>
      </c>
    </row>
    <row r="100" spans="1:11">
      <c r="A100" s="95" t="s">
        <v>229</v>
      </c>
      <c r="C100" s="69">
        <f>(C58-B58)/B58</f>
        <v>4.0608465608465608E-2</v>
      </c>
      <c r="D100" s="69">
        <f>(D58-C58)/C58</f>
        <v>-0.30367357315367993</v>
      </c>
      <c r="E100" s="69">
        <f t="shared" ref="E100:K100" si="9">(E58-D58)/D58</f>
        <v>-0.40592673725203848</v>
      </c>
      <c r="F100" s="69">
        <f t="shared" si="9"/>
        <v>-0.31056027860288843</v>
      </c>
      <c r="G100" s="69">
        <f t="shared" si="9"/>
        <v>-3.8032981726340814E-2</v>
      </c>
      <c r="H100" s="69">
        <f t="shared" si="9"/>
        <v>-0.176988416988417</v>
      </c>
      <c r="I100" s="69">
        <f t="shared" si="9"/>
        <v>-0.19834865828485646</v>
      </c>
      <c r="J100" s="69">
        <f t="shared" si="9"/>
        <v>-6.5777153558052429E-2</v>
      </c>
      <c r="K100" s="69">
        <f t="shared" si="9"/>
        <v>0.37960410924580307</v>
      </c>
    </row>
    <row r="103" spans="1:11">
      <c r="A103" s="95" t="s">
        <v>243</v>
      </c>
      <c r="B103" s="69">
        <f t="shared" ref="B103:K103" si="10">(B71*-1)/AVERAGE(B39:C39)</f>
        <v>-4.3977055449330782E-2</v>
      </c>
      <c r="C103" s="69">
        <f t="shared" si="10"/>
        <v>6.4829821717990274E-2</v>
      </c>
      <c r="D103" s="69">
        <f t="shared" si="10"/>
        <v>-0.12688821752265861</v>
      </c>
      <c r="E103" s="69">
        <f t="shared" si="10"/>
        <v>0.23039215686274508</v>
      </c>
      <c r="F103" s="69">
        <f t="shared" si="10"/>
        <v>0.32374999999999998</v>
      </c>
      <c r="G103" s="69">
        <f t="shared" si="10"/>
        <v>9.9220992209922101E-2</v>
      </c>
      <c r="H103" s="69">
        <f t="shared" si="10"/>
        <v>9.7826086956521743E-2</v>
      </c>
      <c r="I103" s="69">
        <f t="shared" si="10"/>
        <v>4.3841938275165852E-2</v>
      </c>
      <c r="J103" s="69">
        <f t="shared" si="10"/>
        <v>8.114089009097615E-2</v>
      </c>
      <c r="K103" s="69">
        <f t="shared" si="10"/>
        <v>0.1194103194103194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F35B-612B-44C2-A24D-5E10807C8EDD}">
  <dimension ref="A1:S103"/>
  <sheetViews>
    <sheetView workbookViewId="0">
      <selection activeCell="L87" sqref="L87"/>
    </sheetView>
  </sheetViews>
  <sheetFormatPr defaultRowHeight="15"/>
  <cols>
    <col min="1" max="1" width="36" bestFit="1" customWidth="1"/>
    <col min="2" max="2" width="10.140625" customWidth="1"/>
    <col min="3" max="3" width="11.28515625" customWidth="1"/>
    <col min="4" max="4" width="10.140625" customWidth="1"/>
    <col min="5" max="5" width="11.42578125" customWidth="1"/>
    <col min="6" max="6" width="10.42578125" customWidth="1"/>
    <col min="7" max="7" width="10.28515625" customWidth="1"/>
    <col min="8" max="8" width="12.85546875" customWidth="1"/>
    <col min="9" max="9" width="10.7109375" customWidth="1"/>
    <col min="10" max="10" width="10" customWidth="1"/>
    <col min="11" max="11" width="10.28515625" customWidth="1"/>
  </cols>
  <sheetData>
    <row r="1" spans="1:19" ht="20.25">
      <c r="A1" s="7" t="s">
        <v>216</v>
      </c>
    </row>
    <row r="3" spans="1:19" ht="25.5">
      <c r="A3" s="88" t="s">
        <v>49</v>
      </c>
      <c r="B3" s="89" t="s">
        <v>217</v>
      </c>
      <c r="C3" s="89" t="s">
        <v>130</v>
      </c>
      <c r="D3" s="89" t="s">
        <v>131</v>
      </c>
      <c r="E3" s="89" t="s">
        <v>132</v>
      </c>
      <c r="F3" s="89" t="s">
        <v>133</v>
      </c>
      <c r="G3" s="89" t="s">
        <v>134</v>
      </c>
      <c r="H3" s="89" t="s">
        <v>135</v>
      </c>
      <c r="I3" s="89" t="s">
        <v>136</v>
      </c>
      <c r="J3" s="89" t="s">
        <v>137</v>
      </c>
      <c r="K3" s="89" t="s">
        <v>138</v>
      </c>
      <c r="M3" s="88"/>
      <c r="O3" s="88"/>
      <c r="Q3" s="88"/>
      <c r="S3" s="88"/>
    </row>
    <row r="4" spans="1:19">
      <c r="A4" s="88" t="s">
        <v>38</v>
      </c>
      <c r="B4" s="89" t="s">
        <v>37</v>
      </c>
      <c r="C4" s="89" t="s">
        <v>37</v>
      </c>
      <c r="D4" s="89" t="s">
        <v>37</v>
      </c>
      <c r="E4" s="89" t="s">
        <v>37</v>
      </c>
      <c r="F4" s="89" t="s">
        <v>37</v>
      </c>
      <c r="G4" s="89" t="s">
        <v>37</v>
      </c>
      <c r="H4" s="89" t="s">
        <v>37</v>
      </c>
      <c r="I4" s="89" t="s">
        <v>37</v>
      </c>
      <c r="J4" s="89" t="s">
        <v>37</v>
      </c>
      <c r="K4" s="89" t="s">
        <v>37</v>
      </c>
      <c r="M4" s="88"/>
      <c r="O4" s="88"/>
      <c r="Q4" s="88"/>
      <c r="S4" s="88"/>
    </row>
    <row r="5" spans="1:19" ht="25.5">
      <c r="A5" s="88" t="s">
        <v>36</v>
      </c>
      <c r="B5" s="89" t="s">
        <v>35</v>
      </c>
      <c r="C5" s="89" t="s">
        <v>35</v>
      </c>
      <c r="D5" s="89" t="s">
        <v>35</v>
      </c>
      <c r="E5" s="89" t="s">
        <v>35</v>
      </c>
      <c r="F5" s="89" t="s">
        <v>35</v>
      </c>
      <c r="G5" s="89" t="s">
        <v>35</v>
      </c>
      <c r="H5" s="89" t="s">
        <v>35</v>
      </c>
      <c r="I5" s="89" t="s">
        <v>35</v>
      </c>
      <c r="J5" s="89" t="s">
        <v>35</v>
      </c>
      <c r="K5" s="89" t="s">
        <v>35</v>
      </c>
      <c r="M5" s="88"/>
      <c r="O5" s="88"/>
      <c r="Q5" s="88"/>
      <c r="S5" s="88"/>
    </row>
    <row r="6" spans="1:19">
      <c r="A6" s="88" t="s">
        <v>34</v>
      </c>
      <c r="B6" s="89" t="s">
        <v>33</v>
      </c>
      <c r="C6" s="89" t="s">
        <v>33</v>
      </c>
      <c r="D6" s="89" t="s">
        <v>33</v>
      </c>
      <c r="E6" s="89" t="s">
        <v>33</v>
      </c>
      <c r="F6" s="89" t="s">
        <v>33</v>
      </c>
      <c r="G6" s="89" t="s">
        <v>33</v>
      </c>
      <c r="H6" s="89" t="s">
        <v>33</v>
      </c>
      <c r="I6" s="89" t="s">
        <v>33</v>
      </c>
      <c r="J6" s="89" t="s">
        <v>33</v>
      </c>
      <c r="K6" s="89" t="s">
        <v>33</v>
      </c>
      <c r="M6" s="88"/>
      <c r="O6" s="88"/>
      <c r="Q6" s="88"/>
      <c r="S6" s="88"/>
    </row>
    <row r="7" spans="1:19">
      <c r="A7" s="88" t="s">
        <v>32</v>
      </c>
      <c r="B7" s="89" t="s">
        <v>218</v>
      </c>
      <c r="C7" s="89" t="s">
        <v>218</v>
      </c>
      <c r="D7" s="89" t="s">
        <v>218</v>
      </c>
      <c r="E7" s="89" t="s">
        <v>218</v>
      </c>
      <c r="F7" s="89" t="s">
        <v>218</v>
      </c>
      <c r="G7" s="89" t="s">
        <v>218</v>
      </c>
      <c r="H7" s="89" t="s">
        <v>218</v>
      </c>
      <c r="I7" s="89" t="s">
        <v>218</v>
      </c>
      <c r="J7" s="89" t="s">
        <v>218</v>
      </c>
      <c r="K7" s="89" t="s">
        <v>218</v>
      </c>
      <c r="M7" s="88"/>
      <c r="O7" s="88"/>
      <c r="Q7" s="88"/>
      <c r="S7" s="88"/>
    </row>
    <row r="8" spans="1:19">
      <c r="A8" s="90" t="s">
        <v>30</v>
      </c>
      <c r="B8" s="91">
        <v>8249</v>
      </c>
      <c r="C8" s="91">
        <v>7079</v>
      </c>
      <c r="D8" s="91">
        <v>11144</v>
      </c>
      <c r="E8" s="91">
        <v>4827</v>
      </c>
      <c r="F8" s="91">
        <v>5865</v>
      </c>
      <c r="G8" s="91">
        <v>4194</v>
      </c>
      <c r="H8" s="91">
        <v>3019</v>
      </c>
      <c r="I8" s="91">
        <v>3433</v>
      </c>
      <c r="J8" s="91">
        <v>5560</v>
      </c>
      <c r="K8" s="91">
        <v>15308</v>
      </c>
      <c r="M8" s="90"/>
      <c r="O8" s="90"/>
      <c r="Q8" s="90"/>
      <c r="S8" s="90"/>
    </row>
    <row r="9" spans="1:19">
      <c r="A9" s="90" t="s">
        <v>29</v>
      </c>
      <c r="B9" s="91">
        <v>13813</v>
      </c>
      <c r="C9" s="91">
        <v>17955</v>
      </c>
      <c r="D9" s="91">
        <v>17194</v>
      </c>
      <c r="E9" s="91">
        <v>23586</v>
      </c>
      <c r="F9" s="91">
        <v>18030</v>
      </c>
      <c r="G9" s="91">
        <v>8929</v>
      </c>
      <c r="H9" s="91">
        <v>8631</v>
      </c>
      <c r="I9" s="91">
        <v>10569</v>
      </c>
      <c r="J9" s="91">
        <v>11539</v>
      </c>
      <c r="K9" s="91">
        <v>10005</v>
      </c>
      <c r="M9" s="90"/>
      <c r="O9" s="90"/>
      <c r="Q9" s="90"/>
      <c r="S9" s="90"/>
    </row>
    <row r="10" spans="1:19">
      <c r="A10" s="90" t="s">
        <v>28</v>
      </c>
      <c r="B10" s="91">
        <v>22062</v>
      </c>
      <c r="C10" s="91">
        <v>25034</v>
      </c>
      <c r="D10" s="91">
        <v>28338</v>
      </c>
      <c r="E10" s="91">
        <v>28413</v>
      </c>
      <c r="F10" s="91">
        <v>23895</v>
      </c>
      <c r="G10" s="91">
        <v>13123</v>
      </c>
      <c r="H10" s="91">
        <v>11650</v>
      </c>
      <c r="I10" s="91">
        <v>14002</v>
      </c>
      <c r="J10" s="91">
        <v>17099</v>
      </c>
      <c r="K10" s="91">
        <v>25313</v>
      </c>
      <c r="M10" s="90"/>
      <c r="O10" s="90"/>
      <c r="Q10" s="90"/>
      <c r="S10" s="90"/>
    </row>
    <row r="11" spans="1:19">
      <c r="A11" s="90" t="s">
        <v>27</v>
      </c>
      <c r="B11" s="91">
        <v>3478</v>
      </c>
      <c r="C11" s="91">
        <v>3402</v>
      </c>
      <c r="D11" s="91">
        <v>4133</v>
      </c>
      <c r="E11" s="91">
        <v>9457</v>
      </c>
      <c r="F11" s="91">
        <v>6782</v>
      </c>
      <c r="G11" s="91">
        <v>7659</v>
      </c>
      <c r="H11" s="91">
        <v>6722</v>
      </c>
      <c r="I11" s="91">
        <v>5607</v>
      </c>
      <c r="J11" s="91">
        <v>4690</v>
      </c>
      <c r="K11" s="91">
        <v>4787</v>
      </c>
      <c r="M11" s="90"/>
      <c r="O11" s="90"/>
      <c r="Q11" s="90"/>
      <c r="S11" s="90"/>
    </row>
    <row r="12" spans="1:19">
      <c r="A12" s="90" t="s">
        <v>26</v>
      </c>
      <c r="B12" s="91">
        <v>12198</v>
      </c>
      <c r="C12" s="91">
        <v>11127</v>
      </c>
      <c r="D12" s="91">
        <v>13224</v>
      </c>
      <c r="E12" s="91">
        <v>10776</v>
      </c>
      <c r="F12" s="91">
        <v>8427</v>
      </c>
      <c r="G12" s="91">
        <v>8744</v>
      </c>
      <c r="H12" s="91">
        <v>7253</v>
      </c>
      <c r="I12" s="91">
        <v>6983</v>
      </c>
      <c r="J12" s="91">
        <v>5553</v>
      </c>
      <c r="K12" s="91">
        <v>5167</v>
      </c>
      <c r="M12" s="90"/>
      <c r="O12" s="90"/>
      <c r="Q12" s="90"/>
      <c r="S12" s="90"/>
    </row>
    <row r="13" spans="1:19">
      <c r="A13" s="90" t="s">
        <v>166</v>
      </c>
      <c r="B13" s="92" t="s">
        <v>2</v>
      </c>
      <c r="C13" s="92" t="s">
        <v>2</v>
      </c>
      <c r="D13" s="92" t="s">
        <v>2</v>
      </c>
      <c r="E13" s="92" t="s">
        <v>2</v>
      </c>
      <c r="F13" s="92" t="s">
        <v>2</v>
      </c>
      <c r="G13" s="92" t="s">
        <v>2</v>
      </c>
      <c r="H13" s="92" t="s">
        <v>2</v>
      </c>
      <c r="I13" s="92" t="s">
        <v>2</v>
      </c>
      <c r="J13" s="92" t="s">
        <v>2</v>
      </c>
      <c r="K13" s="91">
        <v>2036</v>
      </c>
      <c r="M13" s="90"/>
      <c r="O13" s="90"/>
      <c r="Q13" s="90"/>
      <c r="S13" s="90"/>
    </row>
    <row r="14" spans="1:19">
      <c r="A14" s="90" t="s">
        <v>167</v>
      </c>
      <c r="B14" s="92" t="s">
        <v>2</v>
      </c>
      <c r="C14" s="92" t="s">
        <v>2</v>
      </c>
      <c r="D14" s="91">
        <v>45</v>
      </c>
      <c r="E14" s="91">
        <v>6942</v>
      </c>
      <c r="F14" s="91">
        <v>5400</v>
      </c>
      <c r="G14" s="92" t="s">
        <v>2</v>
      </c>
      <c r="H14" s="92" t="s">
        <v>2</v>
      </c>
      <c r="I14" s="92" t="s">
        <v>2</v>
      </c>
      <c r="J14" s="91">
        <v>5210</v>
      </c>
      <c r="K14" s="92" t="s">
        <v>2</v>
      </c>
      <c r="M14" s="90"/>
      <c r="O14" s="90"/>
      <c r="Q14" s="90"/>
      <c r="S14" s="90"/>
    </row>
    <row r="15" spans="1:19">
      <c r="A15" s="90" t="s">
        <v>25</v>
      </c>
      <c r="B15" s="91">
        <v>9586</v>
      </c>
      <c r="C15" s="91">
        <v>3706</v>
      </c>
      <c r="D15" s="91">
        <v>4667</v>
      </c>
      <c r="E15" s="91">
        <v>2130</v>
      </c>
      <c r="F15" s="91">
        <v>2745</v>
      </c>
      <c r="G15" s="91">
        <v>1713</v>
      </c>
      <c r="H15" s="91">
        <v>3162</v>
      </c>
      <c r="I15" s="91">
        <v>2908</v>
      </c>
      <c r="J15" s="91">
        <v>2956</v>
      </c>
      <c r="K15" s="91">
        <v>3053</v>
      </c>
      <c r="M15" s="90"/>
      <c r="O15" s="90"/>
      <c r="Q15" s="90"/>
      <c r="S15" s="90"/>
    </row>
    <row r="16" spans="1:19">
      <c r="A16" s="90" t="s">
        <v>24</v>
      </c>
      <c r="B16" s="91">
        <v>47324</v>
      </c>
      <c r="C16" s="91">
        <v>43269</v>
      </c>
      <c r="D16" s="91">
        <v>50407</v>
      </c>
      <c r="E16" s="91">
        <v>57718</v>
      </c>
      <c r="F16" s="91">
        <v>47249</v>
      </c>
      <c r="G16" s="91">
        <v>31239</v>
      </c>
      <c r="H16" s="91">
        <v>28787</v>
      </c>
      <c r="I16" s="91">
        <v>29500</v>
      </c>
      <c r="J16" s="91">
        <v>35508</v>
      </c>
      <c r="K16" s="91">
        <v>40356</v>
      </c>
      <c r="M16" s="90"/>
      <c r="O16" s="90"/>
      <c r="Q16" s="90"/>
      <c r="S16" s="90"/>
    </row>
    <row r="17" spans="1:19">
      <c r="A17" s="90" t="s">
        <v>23</v>
      </c>
      <c r="B17" s="91">
        <v>210112</v>
      </c>
      <c r="C17" s="91">
        <v>194657</v>
      </c>
      <c r="D17" s="91">
        <v>174246</v>
      </c>
      <c r="E17" s="91">
        <v>148539</v>
      </c>
      <c r="F17" s="91">
        <v>134229</v>
      </c>
      <c r="G17" s="91">
        <v>128707</v>
      </c>
      <c r="H17" s="91">
        <v>114318</v>
      </c>
      <c r="I17" s="91">
        <v>100395</v>
      </c>
      <c r="J17" s="91">
        <v>90105</v>
      </c>
      <c r="K17" s="91">
        <v>83396</v>
      </c>
      <c r="M17" s="90"/>
      <c r="O17" s="90"/>
      <c r="Q17" s="90"/>
      <c r="S17" s="90"/>
    </row>
    <row r="18" spans="1:19">
      <c r="A18" s="90" t="s">
        <v>22</v>
      </c>
      <c r="B18" s="91">
        <v>102193</v>
      </c>
      <c r="C18" s="91">
        <v>98010</v>
      </c>
      <c r="D18" s="91">
        <v>93386</v>
      </c>
      <c r="E18" s="91">
        <v>85294</v>
      </c>
      <c r="F18" s="91">
        <v>77645</v>
      </c>
      <c r="G18" s="91">
        <v>73321</v>
      </c>
      <c r="H18" s="91">
        <v>65342</v>
      </c>
      <c r="I18" s="91">
        <v>59286</v>
      </c>
      <c r="J18" s="91">
        <v>53934</v>
      </c>
      <c r="K18" s="91">
        <v>51538</v>
      </c>
      <c r="M18" s="90"/>
      <c r="O18" s="90"/>
      <c r="Q18" s="90"/>
      <c r="S18" s="90"/>
    </row>
    <row r="19" spans="1:19">
      <c r="A19" s="90" t="s">
        <v>21</v>
      </c>
      <c r="B19" s="91">
        <v>107919</v>
      </c>
      <c r="C19" s="91">
        <v>96647</v>
      </c>
      <c r="D19" s="91">
        <v>80860</v>
      </c>
      <c r="E19" s="91">
        <v>63245</v>
      </c>
      <c r="F19" s="91">
        <v>56584</v>
      </c>
      <c r="G19" s="91">
        <v>55386</v>
      </c>
      <c r="H19" s="91">
        <v>48976</v>
      </c>
      <c r="I19" s="91">
        <v>41109</v>
      </c>
      <c r="J19" s="91">
        <v>36171</v>
      </c>
      <c r="K19" s="91">
        <v>31858</v>
      </c>
      <c r="M19" s="90"/>
      <c r="O19" s="90"/>
      <c r="Q19" s="90"/>
      <c r="S19" s="90"/>
    </row>
    <row r="20" spans="1:19">
      <c r="A20" s="90" t="s">
        <v>219</v>
      </c>
      <c r="B20" s="92" t="s">
        <v>2</v>
      </c>
      <c r="C20" s="92" t="s">
        <v>2</v>
      </c>
      <c r="D20" s="92" t="s">
        <v>2</v>
      </c>
      <c r="E20" s="92" t="s">
        <v>2</v>
      </c>
      <c r="F20" s="92" t="s">
        <v>2</v>
      </c>
      <c r="G20" s="91">
        <v>554</v>
      </c>
      <c r="H20" s="91">
        <v>479</v>
      </c>
      <c r="I20" s="91">
        <v>860</v>
      </c>
      <c r="J20" s="91">
        <v>299</v>
      </c>
      <c r="K20" s="91">
        <v>960</v>
      </c>
      <c r="M20" s="90"/>
      <c r="O20" s="90"/>
      <c r="Q20" s="90"/>
      <c r="S20" s="90"/>
    </row>
    <row r="21" spans="1:19">
      <c r="A21" s="90" t="s">
        <v>141</v>
      </c>
      <c r="B21" s="91">
        <v>5383</v>
      </c>
      <c r="C21" s="91">
        <v>5829</v>
      </c>
      <c r="D21" s="91">
        <v>5912</v>
      </c>
      <c r="E21" s="91">
        <v>7138</v>
      </c>
      <c r="F21" s="91">
        <v>7344</v>
      </c>
      <c r="G21" s="91">
        <v>7243</v>
      </c>
      <c r="H21" s="91">
        <v>9430</v>
      </c>
      <c r="I21" s="91">
        <v>12404</v>
      </c>
      <c r="J21" s="91">
        <v>15322</v>
      </c>
      <c r="K21" s="91">
        <v>12374</v>
      </c>
      <c r="M21" s="90"/>
      <c r="O21" s="90"/>
      <c r="Q21" s="90"/>
      <c r="S21" s="90"/>
    </row>
    <row r="22" spans="1:19">
      <c r="A22" s="90" t="s">
        <v>20</v>
      </c>
      <c r="B22" s="91">
        <v>28384</v>
      </c>
      <c r="C22" s="91">
        <v>32180</v>
      </c>
      <c r="D22" s="91">
        <v>33609</v>
      </c>
      <c r="E22" s="91">
        <v>34233</v>
      </c>
      <c r="F22" s="91">
        <v>35997</v>
      </c>
      <c r="G22" s="91">
        <v>37103</v>
      </c>
      <c r="H22" s="91">
        <v>36349</v>
      </c>
      <c r="I22" s="91">
        <v>37134</v>
      </c>
      <c r="J22" s="91">
        <v>23593</v>
      </c>
      <c r="K22" s="91">
        <v>15265</v>
      </c>
      <c r="M22" s="90"/>
      <c r="O22" s="90"/>
      <c r="Q22" s="90"/>
      <c r="S22" s="90"/>
    </row>
    <row r="23" spans="1:19">
      <c r="A23" s="90" t="s">
        <v>142</v>
      </c>
      <c r="B23" s="92" t="s">
        <v>2</v>
      </c>
      <c r="C23" s="92" t="s">
        <v>2</v>
      </c>
      <c r="D23" s="92" t="s">
        <v>2</v>
      </c>
      <c r="E23" s="92" t="s">
        <v>2</v>
      </c>
      <c r="F23" s="91">
        <v>1502</v>
      </c>
      <c r="G23" s="91">
        <v>1641</v>
      </c>
      <c r="H23" s="91">
        <v>1507</v>
      </c>
      <c r="I23" s="91">
        <v>714</v>
      </c>
      <c r="J23" s="91">
        <v>347</v>
      </c>
      <c r="K23" s="91">
        <v>623</v>
      </c>
      <c r="M23" s="90"/>
      <c r="O23" s="90"/>
      <c r="Q23" s="90"/>
      <c r="S23" s="90"/>
    </row>
    <row r="24" spans="1:19">
      <c r="A24" s="90" t="s">
        <v>143</v>
      </c>
      <c r="B24" s="92" t="s">
        <v>2</v>
      </c>
      <c r="C24" s="92" t="s">
        <v>2</v>
      </c>
      <c r="D24" s="92" t="s">
        <v>2</v>
      </c>
      <c r="E24" s="92" t="s">
        <v>2</v>
      </c>
      <c r="F24" s="91">
        <v>1232</v>
      </c>
      <c r="G24" s="91">
        <v>1209</v>
      </c>
      <c r="H24" s="91">
        <v>1122</v>
      </c>
      <c r="I24" s="91">
        <v>840</v>
      </c>
      <c r="J24" s="91">
        <v>907</v>
      </c>
      <c r="K24" s="91">
        <v>600</v>
      </c>
      <c r="M24" s="90"/>
      <c r="O24" s="90"/>
      <c r="Q24" s="90"/>
      <c r="S24" s="90"/>
    </row>
    <row r="25" spans="1:19">
      <c r="A25" s="90" t="s">
        <v>19</v>
      </c>
      <c r="B25" s="91">
        <v>7475</v>
      </c>
      <c r="C25" s="91">
        <v>13647</v>
      </c>
      <c r="D25" s="91">
        <v>11315</v>
      </c>
      <c r="E25" s="91">
        <v>6072</v>
      </c>
      <c r="F25" s="91">
        <v>3183</v>
      </c>
      <c r="G25" s="91">
        <v>2149</v>
      </c>
      <c r="H25" s="91">
        <v>1313</v>
      </c>
      <c r="I25" s="91">
        <v>688</v>
      </c>
      <c r="J25" s="91">
        <v>1180</v>
      </c>
      <c r="K25" s="91">
        <v>1029</v>
      </c>
      <c r="M25" s="90"/>
      <c r="O25" s="90"/>
      <c r="Q25" s="90"/>
      <c r="S25" s="90"/>
    </row>
    <row r="26" spans="1:19">
      <c r="A26" s="90" t="s">
        <v>18</v>
      </c>
      <c r="B26" s="91">
        <v>196485</v>
      </c>
      <c r="C26" s="91">
        <v>191572</v>
      </c>
      <c r="D26" s="91">
        <v>182103</v>
      </c>
      <c r="E26" s="91">
        <v>168406</v>
      </c>
      <c r="F26" s="91">
        <v>153091</v>
      </c>
      <c r="G26" s="91">
        <v>136524</v>
      </c>
      <c r="H26" s="91">
        <v>127963</v>
      </c>
      <c r="I26" s="91">
        <v>123249</v>
      </c>
      <c r="J26" s="91">
        <v>113327</v>
      </c>
      <c r="K26" s="91">
        <v>103065</v>
      </c>
      <c r="M26" s="90"/>
      <c r="O26" s="90"/>
      <c r="Q26" s="90"/>
      <c r="S26" s="90"/>
    </row>
    <row r="27" spans="1:19">
      <c r="A27" s="90" t="s">
        <v>17</v>
      </c>
      <c r="B27" s="91">
        <v>30000</v>
      </c>
      <c r="C27" s="91">
        <v>24516</v>
      </c>
      <c r="D27" s="91">
        <v>25537</v>
      </c>
      <c r="E27" s="91">
        <v>22871</v>
      </c>
      <c r="F27" s="91">
        <v>22250</v>
      </c>
      <c r="G27" s="91">
        <v>18617</v>
      </c>
      <c r="H27" s="91">
        <v>15365</v>
      </c>
      <c r="I27" s="91">
        <v>13989</v>
      </c>
      <c r="J27" s="91">
        <v>12030</v>
      </c>
      <c r="K27" s="91">
        <v>10845</v>
      </c>
      <c r="M27" s="90"/>
      <c r="O27" s="90"/>
      <c r="Q27" s="90"/>
      <c r="S27" s="90"/>
    </row>
    <row r="28" spans="1:19">
      <c r="A28" s="90" t="s">
        <v>16</v>
      </c>
      <c r="B28" s="91">
        <v>12556</v>
      </c>
      <c r="C28" s="91">
        <v>8578</v>
      </c>
      <c r="D28" s="91">
        <v>9595</v>
      </c>
      <c r="E28" s="91">
        <v>5747</v>
      </c>
      <c r="F28" s="91">
        <v>5581</v>
      </c>
      <c r="G28" s="91">
        <v>4128</v>
      </c>
      <c r="H28" s="91">
        <v>3824</v>
      </c>
      <c r="I28" s="91">
        <v>2928</v>
      </c>
      <c r="J28" s="91">
        <v>2475</v>
      </c>
      <c r="K28" s="91">
        <v>2063</v>
      </c>
      <c r="M28" s="90"/>
      <c r="O28" s="90"/>
      <c r="Q28" s="90"/>
      <c r="S28" s="90"/>
    </row>
    <row r="29" spans="1:19">
      <c r="A29" s="90" t="s">
        <v>15</v>
      </c>
      <c r="B29" s="91">
        <v>17444</v>
      </c>
      <c r="C29" s="91">
        <v>15938</v>
      </c>
      <c r="D29" s="91">
        <v>15942</v>
      </c>
      <c r="E29" s="91">
        <v>17124</v>
      </c>
      <c r="F29" s="91">
        <v>16669</v>
      </c>
      <c r="G29" s="91">
        <v>14489</v>
      </c>
      <c r="H29" s="91">
        <v>11541</v>
      </c>
      <c r="I29" s="91">
        <v>11061</v>
      </c>
      <c r="J29" s="91">
        <v>9555</v>
      </c>
      <c r="K29" s="91">
        <v>8782</v>
      </c>
      <c r="M29" s="90"/>
      <c r="O29" s="90"/>
      <c r="Q29" s="90"/>
      <c r="S29" s="90"/>
    </row>
    <row r="30" spans="1:19">
      <c r="A30" s="90" t="s">
        <v>14</v>
      </c>
      <c r="B30" s="91">
        <v>3729</v>
      </c>
      <c r="C30" s="91">
        <v>2288</v>
      </c>
      <c r="D30" s="91">
        <v>4367</v>
      </c>
      <c r="E30" s="91">
        <v>4591</v>
      </c>
      <c r="F30" s="91">
        <v>2504</v>
      </c>
      <c r="G30" s="91">
        <v>3693</v>
      </c>
      <c r="H30" s="91">
        <v>1261</v>
      </c>
      <c r="I30" s="91">
        <v>1776</v>
      </c>
      <c r="J30" s="91">
        <v>4634</v>
      </c>
      <c r="K30" s="91">
        <v>2634</v>
      </c>
      <c r="M30" s="90"/>
      <c r="O30" s="90"/>
      <c r="Q30" s="90"/>
      <c r="S30" s="90"/>
    </row>
    <row r="31" spans="1:19">
      <c r="A31" s="90" t="s">
        <v>13</v>
      </c>
      <c r="B31" s="91">
        <v>1937</v>
      </c>
      <c r="C31" s="91">
        <v>1249</v>
      </c>
      <c r="D31" s="91">
        <v>2251</v>
      </c>
      <c r="E31" s="91">
        <v>0</v>
      </c>
      <c r="F31" s="91">
        <v>0</v>
      </c>
      <c r="G31" s="91">
        <v>0</v>
      </c>
      <c r="H31" s="91">
        <v>0</v>
      </c>
      <c r="I31" s="91">
        <v>1656</v>
      </c>
      <c r="J31" s="91">
        <v>3638</v>
      </c>
      <c r="K31" s="91">
        <v>2188</v>
      </c>
      <c r="M31" s="90"/>
      <c r="O31" s="90"/>
      <c r="Q31" s="90"/>
      <c r="S31" s="90"/>
    </row>
    <row r="32" spans="1:19">
      <c r="A32" s="90" t="s">
        <v>12</v>
      </c>
      <c r="B32" s="91">
        <v>35666</v>
      </c>
      <c r="C32" s="91">
        <v>28053</v>
      </c>
      <c r="D32" s="91">
        <v>32155</v>
      </c>
      <c r="E32" s="91">
        <v>27462</v>
      </c>
      <c r="F32" s="91">
        <v>24754</v>
      </c>
      <c r="G32" s="91">
        <v>22310</v>
      </c>
      <c r="H32" s="91">
        <v>16626</v>
      </c>
      <c r="I32" s="91">
        <v>17421</v>
      </c>
      <c r="J32" s="91">
        <v>20302</v>
      </c>
      <c r="K32" s="91">
        <v>15667</v>
      </c>
      <c r="M32" s="90"/>
      <c r="O32" s="90"/>
      <c r="Q32" s="90"/>
      <c r="S32" s="90"/>
    </row>
    <row r="33" spans="1:19">
      <c r="A33" s="90" t="s">
        <v>11</v>
      </c>
      <c r="B33" s="91">
        <v>46282</v>
      </c>
      <c r="C33" s="91">
        <v>46978</v>
      </c>
      <c r="D33" s="91">
        <v>37684</v>
      </c>
      <c r="E33" s="91">
        <v>33510</v>
      </c>
      <c r="F33" s="91">
        <v>33897</v>
      </c>
      <c r="G33" s="91">
        <v>25308</v>
      </c>
      <c r="H33" s="91">
        <v>25098</v>
      </c>
      <c r="I33" s="91">
        <v>25037</v>
      </c>
      <c r="J33" s="91">
        <v>20649</v>
      </c>
      <c r="K33" s="91">
        <v>20036</v>
      </c>
      <c r="M33" s="90"/>
      <c r="O33" s="90"/>
      <c r="Q33" s="90"/>
      <c r="S33" s="90"/>
    </row>
    <row r="34" spans="1:19">
      <c r="A34" s="90" t="s">
        <v>10</v>
      </c>
      <c r="B34" s="92" t="s">
        <v>2</v>
      </c>
      <c r="C34" s="92" t="s">
        <v>2</v>
      </c>
      <c r="D34" s="91">
        <v>202</v>
      </c>
      <c r="E34" s="91">
        <v>2667</v>
      </c>
      <c r="F34" s="91">
        <v>3843</v>
      </c>
      <c r="G34" s="91">
        <v>2044</v>
      </c>
      <c r="H34" s="91">
        <v>1665</v>
      </c>
      <c r="I34" s="91">
        <v>3046</v>
      </c>
      <c r="J34" s="91">
        <v>1730</v>
      </c>
      <c r="K34" s="91">
        <v>2539</v>
      </c>
      <c r="M34" s="90"/>
      <c r="O34" s="90"/>
      <c r="Q34" s="90"/>
      <c r="S34" s="90"/>
    </row>
    <row r="35" spans="1:19">
      <c r="A35" s="90" t="s">
        <v>144</v>
      </c>
      <c r="B35" s="91">
        <v>5762</v>
      </c>
      <c r="C35" s="91">
        <v>4375</v>
      </c>
      <c r="D35" s="91">
        <v>1863</v>
      </c>
      <c r="E35" s="91">
        <v>0</v>
      </c>
      <c r="F35" s="91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  <c r="M35" s="90"/>
      <c r="O35" s="90"/>
      <c r="Q35" s="90"/>
      <c r="S35" s="90"/>
    </row>
    <row r="36" spans="1:19">
      <c r="A36" s="90" t="s">
        <v>9</v>
      </c>
      <c r="B36" s="91">
        <v>9505</v>
      </c>
      <c r="C36" s="91">
        <v>6576</v>
      </c>
      <c r="D36" s="91">
        <v>8776</v>
      </c>
      <c r="E36" s="91">
        <v>9376</v>
      </c>
      <c r="F36" s="91">
        <v>9559</v>
      </c>
      <c r="G36" s="91">
        <v>9203</v>
      </c>
      <c r="H36" s="91">
        <v>9592</v>
      </c>
      <c r="I36" s="91">
        <v>7860</v>
      </c>
      <c r="J36" s="91">
        <v>3538</v>
      </c>
      <c r="K36" s="91">
        <v>2841</v>
      </c>
      <c r="M36" s="90"/>
      <c r="O36" s="90"/>
      <c r="Q36" s="90"/>
      <c r="S36" s="90"/>
    </row>
    <row r="37" spans="1:19">
      <c r="A37" s="90" t="s">
        <v>8</v>
      </c>
      <c r="B37" s="91">
        <v>97215</v>
      </c>
      <c r="C37" s="91">
        <v>85982</v>
      </c>
      <c r="D37" s="91">
        <v>80680</v>
      </c>
      <c r="E37" s="91">
        <v>73015</v>
      </c>
      <c r="F37" s="91">
        <v>72053</v>
      </c>
      <c r="G37" s="91">
        <v>58865</v>
      </c>
      <c r="H37" s="91">
        <v>52981</v>
      </c>
      <c r="I37" s="91">
        <v>53364</v>
      </c>
      <c r="J37" s="91">
        <v>46219</v>
      </c>
      <c r="K37" s="91">
        <v>41083</v>
      </c>
      <c r="M37" s="90"/>
      <c r="O37" s="90"/>
      <c r="Q37" s="90"/>
      <c r="S37" s="90"/>
    </row>
    <row r="38" spans="1:19">
      <c r="A38" s="90" t="s">
        <v>220</v>
      </c>
      <c r="B38" s="92" t="s">
        <v>2</v>
      </c>
      <c r="C38" s="92" t="s">
        <v>2</v>
      </c>
      <c r="D38" s="92" t="s">
        <v>2</v>
      </c>
      <c r="E38" s="92" t="s">
        <v>2</v>
      </c>
      <c r="F38" s="92" t="s">
        <v>2</v>
      </c>
      <c r="G38" s="91">
        <v>155</v>
      </c>
      <c r="H38" s="91">
        <v>419</v>
      </c>
      <c r="I38" s="91">
        <v>866</v>
      </c>
      <c r="J38" s="91">
        <v>882</v>
      </c>
      <c r="K38" s="91">
        <v>897</v>
      </c>
      <c r="M38" s="90"/>
      <c r="O38" s="90"/>
      <c r="Q38" s="90"/>
      <c r="S38" s="90"/>
    </row>
    <row r="39" spans="1:19">
      <c r="A39" s="90" t="s">
        <v>7</v>
      </c>
      <c r="B39" s="93">
        <v>4.33</v>
      </c>
      <c r="C39" s="94">
        <v>4.2279999999999998</v>
      </c>
      <c r="D39" s="91">
        <v>31580</v>
      </c>
      <c r="E39" s="91">
        <v>28006</v>
      </c>
      <c r="F39" s="91">
        <v>25556</v>
      </c>
      <c r="G39" s="91">
        <v>25261</v>
      </c>
      <c r="H39" s="91">
        <v>25365</v>
      </c>
      <c r="I39" s="91">
        <v>26074</v>
      </c>
      <c r="J39" s="91">
        <v>25373</v>
      </c>
      <c r="K39" s="91">
        <v>23411</v>
      </c>
      <c r="M39" s="90"/>
      <c r="O39" s="90"/>
      <c r="Q39" s="90"/>
      <c r="S39" s="90"/>
    </row>
    <row r="40" spans="1:19">
      <c r="A40" s="90" t="s">
        <v>6</v>
      </c>
      <c r="B40" s="93">
        <v>50944.67</v>
      </c>
      <c r="C40" s="94">
        <v>36644.771999999997</v>
      </c>
      <c r="D40" s="92" t="s">
        <v>2</v>
      </c>
      <c r="E40" s="92" t="s">
        <v>2</v>
      </c>
      <c r="F40" s="92" t="s">
        <v>2</v>
      </c>
      <c r="G40" s="92" t="s">
        <v>2</v>
      </c>
      <c r="H40" s="92" t="s">
        <v>2</v>
      </c>
      <c r="I40" s="92" t="s">
        <v>2</v>
      </c>
      <c r="J40" s="92" t="s">
        <v>2</v>
      </c>
      <c r="K40" s="92" t="s">
        <v>2</v>
      </c>
      <c r="M40" s="90"/>
      <c r="O40" s="90"/>
      <c r="Q40" s="90"/>
      <c r="S40" s="90"/>
    </row>
    <row r="41" spans="1:19">
      <c r="A41" s="90" t="s">
        <v>5</v>
      </c>
      <c r="B41" s="91">
        <v>49032</v>
      </c>
      <c r="C41" s="91">
        <v>69156</v>
      </c>
      <c r="D41" s="91">
        <v>70405</v>
      </c>
      <c r="E41" s="91">
        <v>68265</v>
      </c>
      <c r="F41" s="91">
        <v>56233</v>
      </c>
      <c r="G41" s="91">
        <v>53523</v>
      </c>
      <c r="H41" s="91">
        <v>50172</v>
      </c>
      <c r="I41" s="91">
        <v>42083</v>
      </c>
      <c r="J41" s="91">
        <v>40747</v>
      </c>
      <c r="K41" s="91">
        <v>37614</v>
      </c>
      <c r="M41" s="90"/>
      <c r="O41" s="90"/>
      <c r="Q41" s="90"/>
      <c r="S41" s="90"/>
    </row>
    <row r="42" spans="1:19">
      <c r="A42" s="90" t="s">
        <v>4</v>
      </c>
      <c r="B42" s="91">
        <v>-711</v>
      </c>
      <c r="C42" s="91">
        <v>-215</v>
      </c>
      <c r="D42" s="91">
        <v>-562</v>
      </c>
      <c r="E42" s="91">
        <v>-880</v>
      </c>
      <c r="F42" s="91">
        <v>-751</v>
      </c>
      <c r="G42" s="91">
        <v>-1280</v>
      </c>
      <c r="H42" s="91">
        <v>-974</v>
      </c>
      <c r="I42" s="91">
        <v>862</v>
      </c>
      <c r="J42" s="91">
        <v>106</v>
      </c>
      <c r="K42" s="91">
        <v>60</v>
      </c>
      <c r="M42" s="90"/>
      <c r="O42" s="90"/>
      <c r="Q42" s="90"/>
      <c r="S42" s="90"/>
    </row>
    <row r="43" spans="1:19">
      <c r="A43" s="90" t="s">
        <v>169</v>
      </c>
      <c r="B43" s="91">
        <v>4</v>
      </c>
      <c r="C43" s="91">
        <v>5</v>
      </c>
      <c r="D43" s="92" t="s">
        <v>2</v>
      </c>
      <c r="E43" s="92" t="s">
        <v>2</v>
      </c>
      <c r="F43" s="92" t="s">
        <v>2</v>
      </c>
      <c r="G43" s="92" t="s">
        <v>2</v>
      </c>
      <c r="H43" s="92" t="s">
        <v>2</v>
      </c>
      <c r="I43" s="91">
        <v>-9</v>
      </c>
      <c r="J43" s="91">
        <v>-519</v>
      </c>
      <c r="K43" s="91">
        <v>-515</v>
      </c>
      <c r="M43" s="90"/>
      <c r="O43" s="90"/>
      <c r="Q43" s="90"/>
      <c r="S43" s="90"/>
    </row>
    <row r="44" spans="1:19">
      <c r="A44" s="90" t="s">
        <v>145</v>
      </c>
      <c r="B44" s="91">
        <v>-4</v>
      </c>
      <c r="C44" s="91">
        <v>-5</v>
      </c>
      <c r="D44" s="91">
        <v>0</v>
      </c>
      <c r="E44" s="91">
        <v>0</v>
      </c>
      <c r="F44" s="91">
        <v>0</v>
      </c>
      <c r="G44" s="91">
        <v>0</v>
      </c>
      <c r="H44" s="91">
        <v>0</v>
      </c>
      <c r="I44" s="91">
        <v>9</v>
      </c>
      <c r="J44" s="91">
        <v>519</v>
      </c>
      <c r="K44" s="91">
        <v>515</v>
      </c>
      <c r="M44" s="90"/>
      <c r="O44" s="90"/>
      <c r="Q44" s="90"/>
      <c r="S44" s="90"/>
    </row>
    <row r="45" spans="1:19">
      <c r="A45" s="90" t="s">
        <v>1</v>
      </c>
      <c r="B45" s="91">
        <v>99270</v>
      </c>
      <c r="C45" s="91">
        <v>105590</v>
      </c>
      <c r="D45" s="91">
        <v>101423</v>
      </c>
      <c r="E45" s="91">
        <v>95391</v>
      </c>
      <c r="F45" s="91">
        <v>81038</v>
      </c>
      <c r="G45" s="91">
        <v>77659</v>
      </c>
      <c r="H45" s="91">
        <v>74982</v>
      </c>
      <c r="I45" s="91">
        <v>69885</v>
      </c>
      <c r="J45" s="91">
        <v>67108</v>
      </c>
      <c r="K45" s="91">
        <v>61982</v>
      </c>
      <c r="M45" s="90"/>
      <c r="O45" s="90"/>
      <c r="Q45" s="90"/>
      <c r="S45" s="90"/>
    </row>
    <row r="46" spans="1:19">
      <c r="A46" s="90" t="s">
        <v>0</v>
      </c>
      <c r="B46" s="91">
        <v>196485</v>
      </c>
      <c r="C46" s="91">
        <v>191572</v>
      </c>
      <c r="D46" s="91">
        <v>182103</v>
      </c>
      <c r="E46" s="91">
        <v>168406</v>
      </c>
      <c r="F46" s="91">
        <v>153091</v>
      </c>
      <c r="G46" s="91">
        <v>136524</v>
      </c>
      <c r="H46" s="91">
        <v>127963</v>
      </c>
      <c r="I46" s="91">
        <v>123249</v>
      </c>
      <c r="J46" s="91">
        <v>113327</v>
      </c>
      <c r="K46" s="91">
        <v>103065</v>
      </c>
      <c r="M46" s="90"/>
      <c r="O46" s="90"/>
      <c r="Q46" s="90"/>
      <c r="S46" s="90"/>
    </row>
    <row r="50" spans="1:12" ht="25.5">
      <c r="A50" s="6" t="s">
        <v>53</v>
      </c>
    </row>
    <row r="51" spans="1:12" ht="25.5">
      <c r="A51" s="4" t="s">
        <v>49</v>
      </c>
      <c r="B51" s="5" t="s">
        <v>217</v>
      </c>
      <c r="C51" s="5" t="s">
        <v>130</v>
      </c>
      <c r="D51" s="5" t="s">
        <v>131</v>
      </c>
      <c r="E51" s="5" t="s">
        <v>132</v>
      </c>
      <c r="F51" s="5" t="s">
        <v>133</v>
      </c>
      <c r="G51" s="5" t="s">
        <v>134</v>
      </c>
      <c r="H51" s="5" t="s">
        <v>135</v>
      </c>
      <c r="I51" s="5" t="s">
        <v>136</v>
      </c>
      <c r="J51" s="5" t="s">
        <v>137</v>
      </c>
      <c r="K51" s="5" t="s">
        <v>138</v>
      </c>
      <c r="L51" s="4"/>
    </row>
    <row r="52" spans="1:12">
      <c r="A52" s="4" t="s">
        <v>38</v>
      </c>
      <c r="B52" s="5" t="s">
        <v>37</v>
      </c>
      <c r="C52" s="5" t="s">
        <v>37</v>
      </c>
      <c r="D52" s="5" t="s">
        <v>37</v>
      </c>
      <c r="E52" s="5" t="s">
        <v>37</v>
      </c>
      <c r="F52" s="5" t="s">
        <v>37</v>
      </c>
      <c r="G52" s="5" t="s">
        <v>37</v>
      </c>
      <c r="H52" s="5" t="s">
        <v>37</v>
      </c>
      <c r="I52" s="5" t="s">
        <v>37</v>
      </c>
      <c r="J52" s="5" t="s">
        <v>37</v>
      </c>
      <c r="K52" s="5" t="s">
        <v>37</v>
      </c>
      <c r="L52" s="4"/>
    </row>
    <row r="53" spans="1:12" ht="25.5">
      <c r="A53" s="4" t="s">
        <v>36</v>
      </c>
      <c r="B53" s="5" t="s">
        <v>35</v>
      </c>
      <c r="C53" s="5" t="s">
        <v>35</v>
      </c>
      <c r="D53" s="5" t="s">
        <v>35</v>
      </c>
      <c r="E53" s="5" t="s">
        <v>35</v>
      </c>
      <c r="F53" s="5" t="s">
        <v>35</v>
      </c>
      <c r="G53" s="5" t="s">
        <v>35</v>
      </c>
      <c r="H53" s="5" t="s">
        <v>35</v>
      </c>
      <c r="I53" s="5" t="s">
        <v>35</v>
      </c>
      <c r="J53" s="5" t="s">
        <v>35</v>
      </c>
      <c r="K53" s="5" t="s">
        <v>35</v>
      </c>
      <c r="L53" s="4"/>
    </row>
    <row r="54" spans="1:12">
      <c r="A54" s="4" t="s">
        <v>34</v>
      </c>
      <c r="B54" s="5" t="s">
        <v>33</v>
      </c>
      <c r="C54" s="5" t="s">
        <v>33</v>
      </c>
      <c r="D54" s="5" t="s">
        <v>33</v>
      </c>
      <c r="E54" s="5" t="s">
        <v>33</v>
      </c>
      <c r="F54" s="5" t="s">
        <v>33</v>
      </c>
      <c r="G54" s="5" t="s">
        <v>33</v>
      </c>
      <c r="H54" s="5" t="s">
        <v>33</v>
      </c>
      <c r="I54" s="5" t="s">
        <v>33</v>
      </c>
      <c r="J54" s="5" t="s">
        <v>33</v>
      </c>
      <c r="K54" s="5" t="s">
        <v>33</v>
      </c>
      <c r="L54" s="4"/>
    </row>
    <row r="55" spans="1:12">
      <c r="A55" s="4" t="s">
        <v>32</v>
      </c>
      <c r="B55" s="5" t="s">
        <v>218</v>
      </c>
      <c r="C55" s="5" t="s">
        <v>218</v>
      </c>
      <c r="D55" s="5" t="s">
        <v>218</v>
      </c>
      <c r="E55" s="5" t="s">
        <v>218</v>
      </c>
      <c r="F55" s="5" t="s">
        <v>218</v>
      </c>
      <c r="G55" s="5" t="s">
        <v>218</v>
      </c>
      <c r="H55" s="5" t="s">
        <v>218</v>
      </c>
      <c r="I55" s="5" t="s">
        <v>218</v>
      </c>
      <c r="J55" s="5" t="s">
        <v>218</v>
      </c>
      <c r="K55" s="5" t="s">
        <v>218</v>
      </c>
      <c r="L55" s="4"/>
    </row>
    <row r="56" spans="1:12">
      <c r="A56" s="1" t="s">
        <v>54</v>
      </c>
      <c r="B56" s="2">
        <v>53101</v>
      </c>
      <c r="C56" s="2">
        <v>54228</v>
      </c>
      <c r="D56" s="3" t="s">
        <v>2</v>
      </c>
      <c r="E56" s="3" t="s">
        <v>2</v>
      </c>
      <c r="F56" s="3" t="s">
        <v>2</v>
      </c>
      <c r="G56" s="3" t="s">
        <v>2</v>
      </c>
      <c r="H56" s="3" t="s">
        <v>2</v>
      </c>
      <c r="I56" s="3" t="s">
        <v>2</v>
      </c>
      <c r="J56" s="3" t="s">
        <v>2</v>
      </c>
      <c r="K56" s="3" t="s">
        <v>2</v>
      </c>
      <c r="L56" s="1"/>
    </row>
    <row r="57" spans="1:12">
      <c r="A57" s="1" t="s">
        <v>55</v>
      </c>
      <c r="B57" s="2">
        <v>53101</v>
      </c>
      <c r="C57" s="2">
        <v>54228</v>
      </c>
      <c r="D57" s="2">
        <v>63054</v>
      </c>
      <c r="E57" s="2">
        <v>79024</v>
      </c>
      <c r="F57" s="2">
        <v>77867</v>
      </c>
      <c r="G57" s="2">
        <v>71965</v>
      </c>
      <c r="H57" s="2">
        <v>70848</v>
      </c>
      <c r="I57" s="2">
        <v>62761</v>
      </c>
      <c r="J57" s="2">
        <v>59387</v>
      </c>
      <c r="K57" s="2">
        <v>55355</v>
      </c>
      <c r="L57" s="1"/>
    </row>
    <row r="58" spans="1:12">
      <c r="A58" s="1" t="s">
        <v>56</v>
      </c>
      <c r="B58" s="2">
        <v>35756</v>
      </c>
      <c r="C58" s="2">
        <v>32517</v>
      </c>
      <c r="D58" s="2">
        <v>36188</v>
      </c>
      <c r="E58" s="2">
        <v>35209</v>
      </c>
      <c r="F58" s="2">
        <v>34255</v>
      </c>
      <c r="G58" s="2">
        <v>29825</v>
      </c>
      <c r="H58" s="2">
        <v>27111</v>
      </c>
      <c r="I58" s="2">
        <v>23692</v>
      </c>
      <c r="J58" s="2">
        <v>23196</v>
      </c>
      <c r="K58" s="2">
        <v>20676</v>
      </c>
      <c r="L58" s="1"/>
    </row>
    <row r="59" spans="1:12">
      <c r="A59" s="1" t="s">
        <v>57</v>
      </c>
      <c r="B59" s="2">
        <v>17345</v>
      </c>
      <c r="C59" s="2">
        <v>21711</v>
      </c>
      <c r="D59" s="2">
        <v>26866</v>
      </c>
      <c r="E59" s="2">
        <v>43815</v>
      </c>
      <c r="F59" s="2">
        <v>43612</v>
      </c>
      <c r="G59" s="2">
        <v>42140</v>
      </c>
      <c r="H59" s="2">
        <v>43737</v>
      </c>
      <c r="I59" s="2">
        <v>39069</v>
      </c>
      <c r="J59" s="2">
        <v>36191</v>
      </c>
      <c r="K59" s="2">
        <v>34679</v>
      </c>
      <c r="L59" s="1"/>
    </row>
    <row r="60" spans="1:12">
      <c r="A60" s="1" t="s">
        <v>58</v>
      </c>
      <c r="B60" s="2">
        <v>5507</v>
      </c>
      <c r="C60" s="2">
        <v>5634</v>
      </c>
      <c r="D60" s="2">
        <v>7002</v>
      </c>
      <c r="E60" s="2">
        <v>6543</v>
      </c>
      <c r="F60" s="2">
        <v>6180</v>
      </c>
      <c r="G60" s="2">
        <v>6150</v>
      </c>
      <c r="H60" s="2">
        <v>6750</v>
      </c>
      <c r="I60" s="2">
        <v>7474</v>
      </c>
      <c r="J60" s="2">
        <v>8397</v>
      </c>
      <c r="K60" s="2">
        <v>7930</v>
      </c>
      <c r="L60" s="1"/>
    </row>
    <row r="61" spans="1:12">
      <c r="A61" s="1" t="s">
        <v>147</v>
      </c>
      <c r="B61" s="3" t="s">
        <v>2</v>
      </c>
      <c r="C61" s="3" t="s">
        <v>2</v>
      </c>
      <c r="D61" s="3" t="s">
        <v>2</v>
      </c>
      <c r="E61" s="3" t="s">
        <v>2</v>
      </c>
      <c r="F61" s="3" t="s">
        <v>2</v>
      </c>
      <c r="G61" s="2">
        <v>200</v>
      </c>
      <c r="H61" s="2">
        <v>200</v>
      </c>
      <c r="I61" s="2">
        <v>177</v>
      </c>
      <c r="J61" s="2">
        <v>294</v>
      </c>
      <c r="K61" s="2">
        <v>265</v>
      </c>
      <c r="L61" s="1"/>
    </row>
    <row r="62" spans="1:12">
      <c r="A62" s="1" t="s">
        <v>59</v>
      </c>
      <c r="B62" s="2">
        <v>16546</v>
      </c>
      <c r="C62" s="2">
        <v>16046</v>
      </c>
      <c r="D62" s="2">
        <v>17528</v>
      </c>
      <c r="E62" s="2">
        <v>15190</v>
      </c>
      <c r="F62" s="2">
        <v>13556</v>
      </c>
      <c r="G62" s="2">
        <v>13362</v>
      </c>
      <c r="H62" s="2">
        <v>13543</v>
      </c>
      <c r="I62" s="2">
        <v>13098</v>
      </c>
      <c r="J62" s="2">
        <v>12740</v>
      </c>
      <c r="K62" s="2">
        <v>12128</v>
      </c>
      <c r="L62" s="1"/>
    </row>
    <row r="63" spans="1:12">
      <c r="A63" s="1" t="s">
        <v>60</v>
      </c>
      <c r="B63" s="2">
        <v>6112</v>
      </c>
      <c r="C63" s="2">
        <v>267</v>
      </c>
      <c r="D63" s="2">
        <v>2</v>
      </c>
      <c r="E63" s="2">
        <v>2626</v>
      </c>
      <c r="F63" s="2">
        <v>198</v>
      </c>
      <c r="G63" s="2">
        <v>393</v>
      </c>
      <c r="H63" s="2">
        <v>-72</v>
      </c>
      <c r="I63" s="2">
        <v>384</v>
      </c>
      <c r="J63" s="2">
        <v>1886</v>
      </c>
      <c r="K63" s="2">
        <v>354</v>
      </c>
      <c r="L63" s="1"/>
    </row>
    <row r="64" spans="1:12">
      <c r="A64" s="1" t="s">
        <v>148</v>
      </c>
      <c r="B64" s="2">
        <v>858</v>
      </c>
      <c r="C64" s="2">
        <v>-329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1"/>
    </row>
    <row r="65" spans="1:12">
      <c r="A65" s="1" t="s">
        <v>61</v>
      </c>
      <c r="B65" s="2">
        <v>29023</v>
      </c>
      <c r="C65" s="2">
        <v>21618</v>
      </c>
      <c r="D65" s="2">
        <v>24532</v>
      </c>
      <c r="E65" s="2">
        <v>24359</v>
      </c>
      <c r="F65" s="2">
        <v>19934</v>
      </c>
      <c r="G65" s="2">
        <v>20105</v>
      </c>
      <c r="H65" s="2">
        <v>20421</v>
      </c>
      <c r="I65" s="2">
        <v>21133</v>
      </c>
      <c r="J65" s="2">
        <v>23317</v>
      </c>
      <c r="K65" s="2">
        <v>20677</v>
      </c>
      <c r="L65" s="1"/>
    </row>
    <row r="66" spans="1:12">
      <c r="A66" s="1" t="s">
        <v>62</v>
      </c>
      <c r="B66" s="2">
        <v>-11678</v>
      </c>
      <c r="C66" s="2">
        <v>93</v>
      </c>
      <c r="D66" s="2">
        <v>2334</v>
      </c>
      <c r="E66" s="2">
        <v>19456</v>
      </c>
      <c r="F66" s="2">
        <v>23678</v>
      </c>
      <c r="G66" s="2">
        <v>22035</v>
      </c>
      <c r="H66" s="2">
        <v>23316</v>
      </c>
      <c r="I66" s="2">
        <v>17936</v>
      </c>
      <c r="J66" s="2">
        <v>12874</v>
      </c>
      <c r="K66" s="2">
        <v>14002</v>
      </c>
      <c r="L66" s="1"/>
    </row>
    <row r="67" spans="1:12">
      <c r="A67" s="1" t="s">
        <v>63</v>
      </c>
      <c r="B67" s="2">
        <v>211</v>
      </c>
      <c r="C67" s="2">
        <v>629</v>
      </c>
      <c r="D67" s="2">
        <v>1166</v>
      </c>
      <c r="E67" s="2">
        <v>-482</v>
      </c>
      <c r="F67" s="2">
        <v>-504</v>
      </c>
      <c r="G67" s="2">
        <v>484</v>
      </c>
      <c r="H67" s="2">
        <v>126</v>
      </c>
      <c r="I67" s="2">
        <v>-235</v>
      </c>
      <c r="J67" s="2">
        <v>-444</v>
      </c>
      <c r="K67" s="2">
        <v>-105</v>
      </c>
      <c r="L67" s="1"/>
    </row>
    <row r="68" spans="1:12">
      <c r="A68" s="1" t="s">
        <v>149</v>
      </c>
      <c r="B68" s="2">
        <v>-126</v>
      </c>
      <c r="C68" s="2">
        <v>-19</v>
      </c>
      <c r="D68" s="2">
        <v>4268</v>
      </c>
      <c r="E68" s="2">
        <v>2729</v>
      </c>
      <c r="F68" s="2">
        <v>1904</v>
      </c>
      <c r="G68" s="2">
        <v>1539</v>
      </c>
      <c r="H68" s="2">
        <v>-125</v>
      </c>
      <c r="I68" s="2">
        <v>2815</v>
      </c>
      <c r="J68" s="2">
        <v>470</v>
      </c>
      <c r="K68" s="2">
        <v>358</v>
      </c>
      <c r="L68" s="1"/>
    </row>
    <row r="69" spans="1:12">
      <c r="A69" s="1" t="s">
        <v>64</v>
      </c>
      <c r="B69" s="2">
        <v>15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68</v>
      </c>
      <c r="J69" s="2">
        <v>74</v>
      </c>
      <c r="K69" s="2">
        <v>52</v>
      </c>
      <c r="L69" s="1"/>
    </row>
    <row r="70" spans="1:12">
      <c r="A70" s="1" t="s">
        <v>65</v>
      </c>
      <c r="B70" s="2">
        <v>100</v>
      </c>
      <c r="C70" s="2">
        <v>610</v>
      </c>
      <c r="D70" s="2">
        <v>5434</v>
      </c>
      <c r="E70" s="2">
        <v>2247</v>
      </c>
      <c r="F70" s="2">
        <v>1400</v>
      </c>
      <c r="G70" s="2">
        <v>2023</v>
      </c>
      <c r="H70" s="2">
        <v>1</v>
      </c>
      <c r="I70" s="2">
        <v>2648</v>
      </c>
      <c r="J70" s="2">
        <v>100</v>
      </c>
      <c r="K70" s="2">
        <v>305</v>
      </c>
      <c r="L70" s="1"/>
    </row>
    <row r="71" spans="1:12">
      <c r="A71" s="1" t="s">
        <v>66</v>
      </c>
      <c r="B71" s="2">
        <v>-11578</v>
      </c>
      <c r="C71" s="2">
        <v>703</v>
      </c>
      <c r="D71" s="2">
        <v>7768</v>
      </c>
      <c r="E71" s="2">
        <v>21703</v>
      </c>
      <c r="F71" s="2">
        <v>25078</v>
      </c>
      <c r="G71" s="2">
        <v>24058</v>
      </c>
      <c r="H71" s="2">
        <v>23317</v>
      </c>
      <c r="I71" s="2">
        <v>20584</v>
      </c>
      <c r="J71" s="2">
        <v>12974</v>
      </c>
      <c r="K71" s="2">
        <v>14307</v>
      </c>
      <c r="L71" s="1"/>
    </row>
    <row r="72" spans="1:12">
      <c r="A72" s="1" t="s">
        <v>150</v>
      </c>
      <c r="B72" s="2">
        <v>8023</v>
      </c>
      <c r="C72" s="2">
        <v>-913</v>
      </c>
      <c r="D72" s="2">
        <v>-249</v>
      </c>
      <c r="E72" s="2">
        <v>1835</v>
      </c>
      <c r="F72" s="2">
        <v>4179</v>
      </c>
      <c r="G72" s="2">
        <v>3010</v>
      </c>
      <c r="H72" s="2">
        <v>2264</v>
      </c>
      <c r="I72" s="2">
        <v>10751</v>
      </c>
      <c r="J72" s="2">
        <v>2620</v>
      </c>
      <c r="K72" s="2">
        <v>2792</v>
      </c>
      <c r="L72" s="1"/>
    </row>
    <row r="73" spans="1:12">
      <c r="A73" s="1" t="s">
        <v>171</v>
      </c>
      <c r="B73" s="2">
        <v>-19601</v>
      </c>
      <c r="C73" s="3" t="s">
        <v>2</v>
      </c>
      <c r="D73" s="3" t="s">
        <v>2</v>
      </c>
      <c r="E73" s="3" t="s">
        <v>2</v>
      </c>
      <c r="F73" s="3" t="s">
        <v>2</v>
      </c>
      <c r="G73" s="3" t="s">
        <v>2</v>
      </c>
      <c r="H73" s="3" t="s">
        <v>2</v>
      </c>
      <c r="I73" s="3" t="s">
        <v>2</v>
      </c>
      <c r="J73" s="3" t="s">
        <v>2</v>
      </c>
      <c r="K73" s="3" t="s">
        <v>2</v>
      </c>
      <c r="L73" s="1"/>
    </row>
    <row r="74" spans="1:12">
      <c r="A74" s="1" t="s">
        <v>144</v>
      </c>
      <c r="B74" s="2">
        <v>-477</v>
      </c>
      <c r="C74" s="2">
        <v>-14</v>
      </c>
      <c r="D74" s="2">
        <v>3</v>
      </c>
      <c r="E74" s="3" t="s">
        <v>2</v>
      </c>
      <c r="F74" s="3" t="s">
        <v>2</v>
      </c>
      <c r="G74" s="3" t="s">
        <v>2</v>
      </c>
      <c r="H74" s="3" t="s">
        <v>2</v>
      </c>
      <c r="I74" s="3" t="s">
        <v>2</v>
      </c>
      <c r="J74" s="3" t="s">
        <v>2</v>
      </c>
      <c r="K74" s="3" t="s">
        <v>2</v>
      </c>
      <c r="L74" s="1"/>
    </row>
    <row r="75" spans="1:12">
      <c r="A75" s="1" t="s">
        <v>151</v>
      </c>
      <c r="B75" s="2">
        <v>368</v>
      </c>
      <c r="C75" s="2">
        <v>59</v>
      </c>
      <c r="D75" s="3" t="s">
        <v>2</v>
      </c>
      <c r="E75" s="3" t="s">
        <v>2</v>
      </c>
      <c r="F75" s="3" t="s">
        <v>2</v>
      </c>
      <c r="G75" s="3" t="s">
        <v>2</v>
      </c>
      <c r="H75" s="3" t="s">
        <v>2</v>
      </c>
      <c r="I75" s="2">
        <v>-232</v>
      </c>
      <c r="J75" s="2">
        <v>-38</v>
      </c>
      <c r="K75" s="2">
        <v>-95</v>
      </c>
      <c r="L75" s="1"/>
    </row>
    <row r="76" spans="1:12">
      <c r="A76" s="1" t="s">
        <v>152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1"/>
    </row>
    <row r="77" spans="1:12">
      <c r="A77" s="1" t="s">
        <v>153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1"/>
    </row>
    <row r="78" spans="1:12">
      <c r="A78" s="1" t="s">
        <v>67</v>
      </c>
      <c r="B78" s="2">
        <v>-18756</v>
      </c>
      <c r="C78" s="2">
        <v>1689</v>
      </c>
      <c r="D78" s="2">
        <v>8014</v>
      </c>
      <c r="E78" s="2">
        <v>19868</v>
      </c>
      <c r="F78" s="2">
        <v>20899</v>
      </c>
      <c r="G78" s="2">
        <v>21048</v>
      </c>
      <c r="H78" s="2">
        <v>21053</v>
      </c>
      <c r="I78" s="2">
        <v>9601</v>
      </c>
      <c r="J78" s="2">
        <v>10316</v>
      </c>
      <c r="K78" s="2">
        <v>11420</v>
      </c>
      <c r="L78" s="1"/>
    </row>
    <row r="79" spans="1:12">
      <c r="A79" s="1" t="s">
        <v>154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1"/>
    </row>
    <row r="80" spans="1:12">
      <c r="A80" s="1" t="s">
        <v>68</v>
      </c>
      <c r="B80" s="2">
        <v>-18756</v>
      </c>
      <c r="C80" s="2">
        <v>1689</v>
      </c>
      <c r="D80" s="2">
        <v>8014</v>
      </c>
      <c r="E80" s="2">
        <v>19868</v>
      </c>
      <c r="F80" s="2">
        <v>20899</v>
      </c>
      <c r="G80" s="2">
        <v>21048</v>
      </c>
      <c r="H80" s="2">
        <v>21053</v>
      </c>
      <c r="I80" s="2">
        <v>9601</v>
      </c>
      <c r="J80" s="2">
        <v>10316</v>
      </c>
      <c r="K80" s="2">
        <v>11420</v>
      </c>
      <c r="L80" s="1"/>
    </row>
    <row r="81" spans="1:12">
      <c r="A81" s="1" t="s">
        <v>69</v>
      </c>
      <c r="B81" s="2">
        <v>4280</v>
      </c>
      <c r="C81" s="2">
        <v>4190</v>
      </c>
      <c r="D81" s="2">
        <v>4108</v>
      </c>
      <c r="E81" s="2">
        <v>4059</v>
      </c>
      <c r="F81" s="2">
        <v>4199</v>
      </c>
      <c r="G81" s="2">
        <v>4417</v>
      </c>
      <c r="H81" s="2">
        <v>4611</v>
      </c>
      <c r="I81" s="2">
        <v>4701</v>
      </c>
      <c r="J81" s="2">
        <v>4730</v>
      </c>
      <c r="K81" s="2">
        <v>4742</v>
      </c>
      <c r="L81" s="1"/>
    </row>
    <row r="82" spans="1:12">
      <c r="A82" s="1" t="s">
        <v>70</v>
      </c>
      <c r="B82" s="15">
        <v>-4.38</v>
      </c>
      <c r="C82" s="40">
        <v>0.4</v>
      </c>
      <c r="D82" s="15">
        <v>1.95</v>
      </c>
      <c r="E82" s="15">
        <v>4.8899999999999997</v>
      </c>
      <c r="F82" s="15">
        <v>4.9800000000000004</v>
      </c>
      <c r="G82" s="15">
        <v>4.7699999999999996</v>
      </c>
      <c r="H82" s="15">
        <v>4.57</v>
      </c>
      <c r="I82" s="15">
        <v>2.04</v>
      </c>
      <c r="J82" s="15">
        <v>2.1800000000000002</v>
      </c>
      <c r="K82" s="15">
        <v>2.41</v>
      </c>
      <c r="L82" s="1"/>
    </row>
    <row r="83" spans="1:12">
      <c r="A83" s="1" t="s">
        <v>71</v>
      </c>
      <c r="B83" s="15">
        <v>-4.38</v>
      </c>
      <c r="C83" s="40">
        <v>0.4</v>
      </c>
      <c r="D83" s="15">
        <v>1.95</v>
      </c>
      <c r="E83" s="15">
        <v>4.8899999999999997</v>
      </c>
      <c r="F83" s="15">
        <v>4.9800000000000004</v>
      </c>
      <c r="G83" s="15">
        <v>4.7699999999999996</v>
      </c>
      <c r="H83" s="15">
        <v>4.57</v>
      </c>
      <c r="I83" s="15">
        <v>2.04</v>
      </c>
      <c r="J83" s="15">
        <v>2.1800000000000002</v>
      </c>
      <c r="K83" s="15">
        <v>2.41</v>
      </c>
      <c r="L83" s="1"/>
    </row>
    <row r="84" spans="1:12">
      <c r="A84" s="1" t="s">
        <v>72</v>
      </c>
      <c r="B84" s="2">
        <v>4280</v>
      </c>
      <c r="C84" s="2">
        <v>4212</v>
      </c>
      <c r="D84" s="2">
        <v>4123</v>
      </c>
      <c r="E84" s="2">
        <v>4090</v>
      </c>
      <c r="F84" s="2">
        <v>4232</v>
      </c>
      <c r="G84" s="2">
        <v>4473</v>
      </c>
      <c r="H84" s="2">
        <v>4701</v>
      </c>
      <c r="I84" s="2">
        <v>4835</v>
      </c>
      <c r="J84" s="2">
        <v>4875</v>
      </c>
      <c r="K84" s="2">
        <v>4894</v>
      </c>
      <c r="L84" s="1"/>
    </row>
    <row r="85" spans="1:12">
      <c r="A85" s="1" t="s">
        <v>73</v>
      </c>
      <c r="B85" s="15">
        <v>-4.38</v>
      </c>
      <c r="C85" s="40">
        <v>0.4</v>
      </c>
      <c r="D85" s="15">
        <v>1.94</v>
      </c>
      <c r="E85" s="15">
        <v>4.8600000000000003</v>
      </c>
      <c r="F85" s="15">
        <v>4.9400000000000004</v>
      </c>
      <c r="G85" s="15">
        <v>4.71</v>
      </c>
      <c r="H85" s="15">
        <v>4.4800000000000004</v>
      </c>
      <c r="I85" s="15">
        <v>1.99</v>
      </c>
      <c r="J85" s="15">
        <v>2.12</v>
      </c>
      <c r="K85" s="15">
        <v>2.33</v>
      </c>
      <c r="L85" s="1"/>
    </row>
    <row r="86" spans="1:12">
      <c r="A86" s="1" t="s">
        <v>74</v>
      </c>
      <c r="B86" s="15">
        <v>-4.38</v>
      </c>
      <c r="C86" s="40">
        <v>0.4</v>
      </c>
      <c r="D86" s="15">
        <v>1.94</v>
      </c>
      <c r="E86" s="15">
        <v>4.8600000000000003</v>
      </c>
      <c r="F86" s="15">
        <v>4.9400000000000004</v>
      </c>
      <c r="G86" s="15">
        <v>4.71</v>
      </c>
      <c r="H86" s="15">
        <v>4.4800000000000004</v>
      </c>
      <c r="I86" s="15">
        <v>1.99</v>
      </c>
      <c r="J86" s="15">
        <v>2.12</v>
      </c>
      <c r="K86" s="15">
        <v>2.33</v>
      </c>
      <c r="L86" s="1"/>
    </row>
    <row r="87" spans="1:12">
      <c r="A87" s="1" t="s">
        <v>75</v>
      </c>
      <c r="B87" s="2">
        <v>433000</v>
      </c>
      <c r="C87" s="2">
        <v>422800</v>
      </c>
      <c r="D87" s="2">
        <v>413700</v>
      </c>
      <c r="E87" s="2">
        <v>4070000</v>
      </c>
      <c r="F87" s="2">
        <v>4062000</v>
      </c>
      <c r="G87" s="2">
        <v>4290000</v>
      </c>
      <c r="H87" s="2">
        <v>451600</v>
      </c>
      <c r="I87" s="2">
        <v>468700</v>
      </c>
      <c r="J87" s="2">
        <v>473000</v>
      </c>
      <c r="K87" s="2">
        <v>472500</v>
      </c>
      <c r="L87" s="1"/>
    </row>
    <row r="91" spans="1:12">
      <c r="A91" s="95" t="s">
        <v>221</v>
      </c>
      <c r="B91" s="69">
        <f>B66/B26</f>
        <v>-5.9434562434791463E-2</v>
      </c>
      <c r="C91" s="69">
        <f t="shared" ref="C91:K91" si="0">C66/C26</f>
        <v>4.8545716493015678E-4</v>
      </c>
      <c r="D91" s="69">
        <f t="shared" si="0"/>
        <v>1.2816922291230787E-2</v>
      </c>
      <c r="E91" s="69">
        <f t="shared" si="0"/>
        <v>0.1155303255228436</v>
      </c>
      <c r="F91" s="69">
        <f t="shared" si="0"/>
        <v>0.15466617893932366</v>
      </c>
      <c r="G91" s="69">
        <f t="shared" si="0"/>
        <v>0.16140019337259384</v>
      </c>
      <c r="H91" s="69">
        <f t="shared" si="0"/>
        <v>0.18220891976586981</v>
      </c>
      <c r="I91" s="69">
        <f t="shared" si="0"/>
        <v>0.14552653571225729</v>
      </c>
      <c r="J91" s="69">
        <f t="shared" si="0"/>
        <v>0.113600465908389</v>
      </c>
      <c r="K91" s="69">
        <f t="shared" si="0"/>
        <v>0.13585601319555621</v>
      </c>
    </row>
    <row r="92" spans="1:12">
      <c r="A92" s="95" t="s">
        <v>222</v>
      </c>
      <c r="B92" s="69">
        <f>B78/B26</f>
        <v>-9.5457668524314837E-2</v>
      </c>
      <c r="C92" s="69">
        <f t="shared" ref="C92:K92" si="1">C78/C26</f>
        <v>8.8165285114734926E-3</v>
      </c>
      <c r="D92" s="69">
        <f t="shared" si="1"/>
        <v>4.4008061371860981E-2</v>
      </c>
      <c r="E92" s="69">
        <f t="shared" si="1"/>
        <v>0.11797679417597948</v>
      </c>
      <c r="F92" s="69">
        <f t="shared" si="1"/>
        <v>0.13651357689217525</v>
      </c>
      <c r="G92" s="69">
        <f t="shared" si="1"/>
        <v>0.15417069526237145</v>
      </c>
      <c r="H92" s="69">
        <f t="shared" si="1"/>
        <v>0.16452412025351079</v>
      </c>
      <c r="I92" s="69">
        <f t="shared" si="1"/>
        <v>7.7899212163993217E-2</v>
      </c>
      <c r="J92" s="69">
        <f t="shared" si="1"/>
        <v>9.1028616305028814E-2</v>
      </c>
      <c r="K92" s="69">
        <f t="shared" si="1"/>
        <v>0.11080386164071217</v>
      </c>
    </row>
    <row r="93" spans="1:12">
      <c r="A93" s="95" t="s">
        <v>223</v>
      </c>
      <c r="B93" s="69">
        <f>B78/B45</f>
        <v>-0.18893925657298277</v>
      </c>
      <c r="C93" s="69">
        <f t="shared" ref="C93:K93" si="2">C78/C45</f>
        <v>1.5995832938725259E-2</v>
      </c>
      <c r="D93" s="69">
        <f t="shared" si="2"/>
        <v>7.9015607899588849E-2</v>
      </c>
      <c r="E93" s="69">
        <f t="shared" si="2"/>
        <v>0.20827960709081569</v>
      </c>
      <c r="F93" s="69">
        <f t="shared" si="2"/>
        <v>0.25789135960907228</v>
      </c>
      <c r="G93" s="69">
        <f t="shared" si="2"/>
        <v>0.27103104598307987</v>
      </c>
      <c r="H93" s="69">
        <f t="shared" si="2"/>
        <v>0.28077405243925208</v>
      </c>
      <c r="I93" s="69">
        <f t="shared" si="2"/>
        <v>0.13738284324246977</v>
      </c>
      <c r="J93" s="69">
        <f t="shared" si="2"/>
        <v>0.1537223579901055</v>
      </c>
      <c r="K93" s="69">
        <f t="shared" si="2"/>
        <v>0.18424703946306992</v>
      </c>
    </row>
    <row r="94" spans="1:12">
      <c r="A94" s="95" t="s">
        <v>224</v>
      </c>
      <c r="B94" s="69">
        <f>B59/B57</f>
        <v>0.32664168283083184</v>
      </c>
      <c r="C94" s="69">
        <f t="shared" ref="C94:K94" si="3">C59/C57</f>
        <v>0.40036512502766097</v>
      </c>
      <c r="D94" s="69">
        <f t="shared" si="3"/>
        <v>0.42607923367272499</v>
      </c>
      <c r="E94" s="69">
        <f t="shared" si="3"/>
        <v>0.5544518121077141</v>
      </c>
      <c r="F94" s="69">
        <f t="shared" si="3"/>
        <v>0.5600832188218372</v>
      </c>
      <c r="G94" s="69">
        <f t="shared" si="3"/>
        <v>0.5855624261793928</v>
      </c>
      <c r="H94" s="69">
        <f t="shared" si="3"/>
        <v>0.61733570460704612</v>
      </c>
      <c r="I94" s="69">
        <f t="shared" si="3"/>
        <v>0.6225044215356671</v>
      </c>
      <c r="J94" s="69">
        <f t="shared" si="3"/>
        <v>0.60940946671830531</v>
      </c>
      <c r="K94" s="69">
        <f t="shared" si="3"/>
        <v>0.62648360581699936</v>
      </c>
    </row>
    <row r="95" spans="1:12">
      <c r="A95" s="95" t="s">
        <v>225</v>
      </c>
      <c r="B95" s="69">
        <f>B62/B57</f>
        <v>0.31159488521873413</v>
      </c>
      <c r="C95" s="69">
        <f t="shared" ref="C95:K95" si="4">C62/C57</f>
        <v>0.29589879766910082</v>
      </c>
      <c r="D95" s="69">
        <f t="shared" si="4"/>
        <v>0.27798395026485234</v>
      </c>
      <c r="E95" s="69">
        <f t="shared" si="4"/>
        <v>0.19222008503745697</v>
      </c>
      <c r="F95" s="69">
        <f t="shared" si="4"/>
        <v>0.17409172049777183</v>
      </c>
      <c r="G95" s="69">
        <f t="shared" si="4"/>
        <v>0.18567359132911831</v>
      </c>
      <c r="H95" s="69">
        <f t="shared" si="4"/>
        <v>0.19115571364046974</v>
      </c>
      <c r="I95" s="69">
        <f t="shared" si="4"/>
        <v>0.20869648348496678</v>
      </c>
      <c r="J95" s="69">
        <f t="shared" si="4"/>
        <v>0.21452506440803543</v>
      </c>
      <c r="K95" s="69">
        <f t="shared" si="4"/>
        <v>0.21909493270707253</v>
      </c>
    </row>
    <row r="96" spans="1:12">
      <c r="A96" s="95" t="s">
        <v>226</v>
      </c>
      <c r="B96" s="69">
        <f>B78/B57</f>
        <v>-0.35321368712453627</v>
      </c>
      <c r="C96" s="69">
        <f t="shared" ref="C96:K96" si="5">C78/C57</f>
        <v>3.1146271298959947E-2</v>
      </c>
      <c r="D96" s="69">
        <f t="shared" si="5"/>
        <v>0.1270974085704317</v>
      </c>
      <c r="E96" s="69">
        <f t="shared" si="5"/>
        <v>0.25141729094958493</v>
      </c>
      <c r="F96" s="69">
        <f t="shared" si="5"/>
        <v>0.26839354283586114</v>
      </c>
      <c r="G96" s="69">
        <f t="shared" si="5"/>
        <v>0.2924755089279511</v>
      </c>
      <c r="H96" s="69">
        <f t="shared" si="5"/>
        <v>0.29715729448961159</v>
      </c>
      <c r="I96" s="69">
        <f t="shared" si="5"/>
        <v>0.15297716734914996</v>
      </c>
      <c r="J96" s="69">
        <f t="shared" si="5"/>
        <v>0.17370805058346103</v>
      </c>
      <c r="K96" s="69">
        <f t="shared" si="5"/>
        <v>0.20630476018426519</v>
      </c>
    </row>
    <row r="97" spans="1:11">
      <c r="A97" s="96" t="s">
        <v>227</v>
      </c>
      <c r="B97" s="69">
        <f>B58/B57</f>
        <v>0.67335831716916816</v>
      </c>
      <c r="C97" s="69">
        <f t="shared" ref="C97:K97" si="6">C58/C57</f>
        <v>0.59963487497233903</v>
      </c>
      <c r="D97" s="69">
        <f t="shared" si="6"/>
        <v>0.57392076632727507</v>
      </c>
      <c r="E97" s="69">
        <f t="shared" si="6"/>
        <v>0.4455481878922859</v>
      </c>
      <c r="F97" s="69">
        <f t="shared" si="6"/>
        <v>0.43991678117816274</v>
      </c>
      <c r="G97" s="69">
        <f t="shared" si="6"/>
        <v>0.41443757382060725</v>
      </c>
      <c r="H97" s="69">
        <f t="shared" si="6"/>
        <v>0.38266429539295393</v>
      </c>
      <c r="I97" s="69">
        <f t="shared" si="6"/>
        <v>0.37749557846433296</v>
      </c>
      <c r="J97" s="69">
        <f t="shared" si="6"/>
        <v>0.39059053328169463</v>
      </c>
      <c r="K97" s="69">
        <f t="shared" si="6"/>
        <v>0.37351639418300064</v>
      </c>
    </row>
    <row r="98" spans="1:11">
      <c r="A98" s="95" t="s">
        <v>178</v>
      </c>
      <c r="B98" s="69">
        <f>B60/B57</f>
        <v>0.10370802809739929</v>
      </c>
      <c r="C98" s="69">
        <f t="shared" ref="C98:K98" si="7">C60/C57</f>
        <v>0.10389466696171719</v>
      </c>
      <c r="D98" s="69">
        <f t="shared" si="7"/>
        <v>0.11104767342278048</v>
      </c>
      <c r="E98" s="69">
        <f t="shared" si="7"/>
        <v>8.2797631099412836E-2</v>
      </c>
      <c r="F98" s="69">
        <f t="shared" si="7"/>
        <v>7.9366098604029947E-2</v>
      </c>
      <c r="G98" s="69">
        <f t="shared" si="7"/>
        <v>8.5458208851525053E-2</v>
      </c>
      <c r="H98" s="69">
        <f t="shared" si="7"/>
        <v>9.527439024390244E-2</v>
      </c>
      <c r="I98" s="69">
        <f t="shared" si="7"/>
        <v>0.119086693965998</v>
      </c>
      <c r="J98" s="69">
        <f t="shared" si="7"/>
        <v>0.14139458130567295</v>
      </c>
      <c r="K98" s="69">
        <f t="shared" si="7"/>
        <v>0.14325715834161323</v>
      </c>
    </row>
    <row r="99" spans="1:11">
      <c r="A99" s="95" t="s">
        <v>228</v>
      </c>
      <c r="B99" s="69">
        <f>B11/B57</f>
        <v>6.5497824899719406E-2</v>
      </c>
      <c r="C99" s="69">
        <f t="shared" ref="C99:K99" si="8">C11/C57</f>
        <v>6.2735118389024125E-2</v>
      </c>
      <c r="D99" s="69">
        <f t="shared" si="8"/>
        <v>6.5546991467630919E-2</v>
      </c>
      <c r="E99" s="69">
        <f t="shared" si="8"/>
        <v>0.11967250455557805</v>
      </c>
      <c r="F99" s="69">
        <f t="shared" si="8"/>
        <v>8.7097229891995323E-2</v>
      </c>
      <c r="G99" s="69">
        <f t="shared" si="8"/>
        <v>0.106426735218509</v>
      </c>
      <c r="H99" s="69">
        <f t="shared" si="8"/>
        <v>9.4879177958446248E-2</v>
      </c>
      <c r="I99" s="69">
        <f t="shared" si="8"/>
        <v>8.9338920667293389E-2</v>
      </c>
      <c r="J99" s="69">
        <f t="shared" si="8"/>
        <v>7.8973512721639411E-2</v>
      </c>
      <c r="K99" s="69">
        <f t="shared" si="8"/>
        <v>8.6478186252371053E-2</v>
      </c>
    </row>
    <row r="101" spans="1:11">
      <c r="A101" s="95" t="s">
        <v>229</v>
      </c>
      <c r="C101" s="69">
        <f>(C57-B57)/B57</f>
        <v>2.1223705768252953E-2</v>
      </c>
      <c r="D101" s="69">
        <f t="shared" ref="D101:K101" si="9">(D57-C57)/C57</f>
        <v>0.16275724717857934</v>
      </c>
      <c r="E101" s="69">
        <f t="shared" si="9"/>
        <v>0.25327497066006915</v>
      </c>
      <c r="F101" s="69">
        <f t="shared" si="9"/>
        <v>-1.4641121684551528E-2</v>
      </c>
      <c r="G101" s="69">
        <f t="shared" si="9"/>
        <v>-7.5795908407926341E-2</v>
      </c>
      <c r="H101" s="69">
        <f t="shared" si="9"/>
        <v>-1.552143403043146E-2</v>
      </c>
      <c r="I101" s="69">
        <f t="shared" si="9"/>
        <v>-0.11414577687443542</v>
      </c>
      <c r="J101" s="69">
        <f t="shared" si="9"/>
        <v>-5.375950032663597E-2</v>
      </c>
      <c r="K101" s="69">
        <f t="shared" si="9"/>
        <v>-6.7893646757707912E-2</v>
      </c>
    </row>
    <row r="103" spans="1:11">
      <c r="A103" s="95" t="s">
        <v>243</v>
      </c>
      <c r="B103" s="69">
        <f>(B70*-1)/AVERAGE(B33:C33)</f>
        <v>-2.1445421402530558E-3</v>
      </c>
      <c r="C103" s="69">
        <f t="shared" ref="C103:K103" si="10">(C70*-1)/AVERAGE(C33:D33)</f>
        <v>-1.4410243084264487E-2</v>
      </c>
      <c r="D103" s="69">
        <f t="shared" si="10"/>
        <v>-0.15265331348147315</v>
      </c>
      <c r="E103" s="69">
        <f t="shared" si="10"/>
        <v>-6.6669633717566429E-2</v>
      </c>
      <c r="F103" s="69">
        <f t="shared" si="10"/>
        <v>-4.7293302930495738E-2</v>
      </c>
      <c r="G103" s="69">
        <f t="shared" si="10"/>
        <v>-8.0268222037059078E-2</v>
      </c>
      <c r="H103" s="69">
        <f t="shared" si="10"/>
        <v>-3.989229081480004E-5</v>
      </c>
      <c r="I103" s="69">
        <f t="shared" si="10"/>
        <v>-0.11592172656831415</v>
      </c>
      <c r="J103" s="69">
        <f t="shared" si="10"/>
        <v>-4.9158166400393262E-3</v>
      </c>
      <c r="K103" s="69">
        <f t="shared" si="10"/>
        <v>-1.5222599321221801E-2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EFE5-7C61-45C5-8A15-6BBF6810E07F}">
  <dimension ref="A4:L106"/>
  <sheetViews>
    <sheetView topLeftCell="A102" zoomScaleNormal="100" workbookViewId="0">
      <selection activeCell="N73" sqref="N73"/>
    </sheetView>
  </sheetViews>
  <sheetFormatPr defaultRowHeight="15"/>
  <cols>
    <col min="1" max="1" width="46" bestFit="1" customWidth="1"/>
    <col min="2" max="11" width="10.7109375" bestFit="1" customWidth="1"/>
    <col min="12" max="191" width="12" customWidth="1"/>
  </cols>
  <sheetData>
    <row r="4" spans="1:12">
      <c r="A4" s="34" t="s">
        <v>52</v>
      </c>
    </row>
    <row r="5" spans="1:12" ht="20.25">
      <c r="A5" s="35" t="s">
        <v>155</v>
      </c>
    </row>
    <row r="7" spans="1:12" ht="30">
      <c r="A7" s="36" t="s">
        <v>129</v>
      </c>
    </row>
    <row r="10" spans="1:12">
      <c r="A10" s="37" t="s">
        <v>50</v>
      </c>
    </row>
    <row r="11" spans="1:12">
      <c r="A11" s="38" t="s">
        <v>49</v>
      </c>
      <c r="B11" s="39" t="s">
        <v>156</v>
      </c>
      <c r="C11" s="39" t="s">
        <v>157</v>
      </c>
      <c r="D11" s="39" t="s">
        <v>158</v>
      </c>
      <c r="E11" s="39" t="s">
        <v>159</v>
      </c>
      <c r="F11" s="39" t="s">
        <v>160</v>
      </c>
      <c r="G11" s="39" t="s">
        <v>161</v>
      </c>
      <c r="H11" s="39" t="s">
        <v>162</v>
      </c>
      <c r="I11" s="39" t="s">
        <v>163</v>
      </c>
      <c r="J11" s="39" t="s">
        <v>164</v>
      </c>
      <c r="K11" s="39" t="s">
        <v>165</v>
      </c>
      <c r="L11" s="38"/>
    </row>
    <row r="12" spans="1:12">
      <c r="A12" s="38" t="s">
        <v>38</v>
      </c>
      <c r="B12" s="39" t="s">
        <v>37</v>
      </c>
      <c r="C12" s="39" t="s">
        <v>37</v>
      </c>
      <c r="D12" s="39" t="s">
        <v>37</v>
      </c>
      <c r="E12" s="39" t="s">
        <v>37</v>
      </c>
      <c r="F12" s="39" t="s">
        <v>37</v>
      </c>
      <c r="G12" s="39" t="s">
        <v>37</v>
      </c>
      <c r="H12" s="39" t="s">
        <v>37</v>
      </c>
      <c r="I12" s="39" t="s">
        <v>37</v>
      </c>
      <c r="J12" s="39" t="s">
        <v>37</v>
      </c>
      <c r="K12" s="39" t="s">
        <v>37</v>
      </c>
      <c r="L12" s="38"/>
    </row>
    <row r="13" spans="1:12" ht="25.5">
      <c r="A13" s="38" t="s">
        <v>36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 t="s">
        <v>35</v>
      </c>
      <c r="L13" s="38"/>
    </row>
    <row r="14" spans="1:12">
      <c r="A14" s="38" t="s">
        <v>34</v>
      </c>
      <c r="B14" s="39" t="s">
        <v>33</v>
      </c>
      <c r="C14" s="39" t="s">
        <v>33</v>
      </c>
      <c r="D14" s="39" t="s">
        <v>33</v>
      </c>
      <c r="E14" s="39" t="s">
        <v>33</v>
      </c>
      <c r="F14" s="39" t="s">
        <v>33</v>
      </c>
      <c r="G14" s="39" t="s">
        <v>33</v>
      </c>
      <c r="H14" s="39" t="s">
        <v>33</v>
      </c>
      <c r="I14" s="39" t="s">
        <v>33</v>
      </c>
      <c r="J14" s="39" t="s">
        <v>33</v>
      </c>
      <c r="K14" s="39" t="s">
        <v>33</v>
      </c>
      <c r="L14" s="38"/>
    </row>
    <row r="15" spans="1:12">
      <c r="A15" s="38" t="s">
        <v>32</v>
      </c>
      <c r="B15" s="39" t="s">
        <v>31</v>
      </c>
      <c r="C15" s="39" t="s">
        <v>31</v>
      </c>
      <c r="D15" s="39" t="s">
        <v>31</v>
      </c>
      <c r="E15" s="39" t="s">
        <v>31</v>
      </c>
      <c r="F15" s="39" t="s">
        <v>31</v>
      </c>
      <c r="G15" s="39" t="s">
        <v>31</v>
      </c>
      <c r="H15" s="39" t="s">
        <v>31</v>
      </c>
      <c r="I15" s="39" t="s">
        <v>31</v>
      </c>
      <c r="J15" s="39" t="s">
        <v>31</v>
      </c>
      <c r="K15" s="39" t="s">
        <v>31</v>
      </c>
      <c r="L15" s="38"/>
    </row>
    <row r="16" spans="1:12">
      <c r="A16" s="1" t="s">
        <v>30</v>
      </c>
      <c r="B16" s="2">
        <v>7849000</v>
      </c>
      <c r="C16" s="2">
        <v>8450000</v>
      </c>
      <c r="D16" s="2">
        <v>2773000</v>
      </c>
      <c r="E16" s="2">
        <v>7116000</v>
      </c>
      <c r="F16" s="2">
        <v>6707000</v>
      </c>
      <c r="G16" s="2">
        <v>11839000</v>
      </c>
      <c r="H16" s="2">
        <v>11777000</v>
      </c>
      <c r="I16" s="2">
        <v>35029000</v>
      </c>
      <c r="J16" s="2">
        <v>5946000</v>
      </c>
      <c r="K16" s="2">
        <v>7560000</v>
      </c>
      <c r="L16" s="1"/>
    </row>
    <row r="17" spans="1:12">
      <c r="A17" s="1" t="s">
        <v>29</v>
      </c>
      <c r="B17" s="2">
        <v>5451000</v>
      </c>
      <c r="C17" s="2">
        <v>2874000</v>
      </c>
      <c r="D17" s="2">
        <v>3609000</v>
      </c>
      <c r="E17" s="2">
        <v>5298000</v>
      </c>
      <c r="F17" s="2">
        <v>4507000</v>
      </c>
      <c r="G17" s="2">
        <v>421000</v>
      </c>
      <c r="H17" s="2">
        <v>311000</v>
      </c>
      <c r="I17" s="2">
        <v>2279000</v>
      </c>
      <c r="J17" s="2">
        <v>12702000</v>
      </c>
      <c r="K17" s="2">
        <v>9761000</v>
      </c>
      <c r="L17" s="1"/>
    </row>
    <row r="18" spans="1:12">
      <c r="A18" s="1" t="s">
        <v>28</v>
      </c>
      <c r="B18" s="2">
        <v>13300000</v>
      </c>
      <c r="C18" s="2">
        <v>11324000</v>
      </c>
      <c r="D18" s="2">
        <v>6382000</v>
      </c>
      <c r="E18" s="2">
        <v>12414000</v>
      </c>
      <c r="F18" s="2">
        <v>11214000</v>
      </c>
      <c r="G18" s="2">
        <v>12260000</v>
      </c>
      <c r="H18" s="2">
        <v>12088000</v>
      </c>
      <c r="I18" s="2">
        <v>37308000</v>
      </c>
      <c r="J18" s="2">
        <v>18648000</v>
      </c>
      <c r="K18" s="2">
        <v>17321000</v>
      </c>
      <c r="L18" s="1"/>
    </row>
    <row r="19" spans="1:12">
      <c r="A19" s="1" t="s">
        <v>27</v>
      </c>
      <c r="B19" s="2">
        <v>3929000</v>
      </c>
      <c r="C19" s="2">
        <v>3183000</v>
      </c>
      <c r="D19" s="2">
        <v>5643000</v>
      </c>
      <c r="E19" s="2">
        <v>3579000</v>
      </c>
      <c r="F19" s="2">
        <v>4003000</v>
      </c>
      <c r="G19" s="2">
        <v>2471000</v>
      </c>
      <c r="H19" s="2">
        <v>2904000</v>
      </c>
      <c r="I19" s="2">
        <v>3632000</v>
      </c>
      <c r="J19" s="2">
        <v>2219000</v>
      </c>
      <c r="K19" s="2">
        <v>1964000</v>
      </c>
      <c r="L19" s="1"/>
    </row>
    <row r="20" spans="1:12">
      <c r="A20" s="1" t="s">
        <v>26</v>
      </c>
      <c r="B20" s="2">
        <v>6423000</v>
      </c>
      <c r="C20" s="2">
        <v>6422000</v>
      </c>
      <c r="D20" s="2">
        <v>6341000</v>
      </c>
      <c r="E20" s="2">
        <v>3228000</v>
      </c>
      <c r="F20" s="2">
        <v>2598000</v>
      </c>
      <c r="G20" s="2">
        <v>1400000</v>
      </c>
      <c r="H20" s="2">
        <v>1693000</v>
      </c>
      <c r="I20" s="2">
        <v>2035000</v>
      </c>
      <c r="J20" s="2">
        <v>1556000</v>
      </c>
      <c r="K20" s="2">
        <v>1492000</v>
      </c>
      <c r="L20" s="1"/>
    </row>
    <row r="21" spans="1:12">
      <c r="A21" s="1" t="s">
        <v>166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2">
        <v>635000</v>
      </c>
      <c r="L21" s="1"/>
    </row>
    <row r="22" spans="1:12">
      <c r="A22" s="1" t="s">
        <v>167</v>
      </c>
      <c r="B22" s="3">
        <v>0</v>
      </c>
      <c r="C22" s="2">
        <v>341000</v>
      </c>
      <c r="D22" s="2">
        <v>733000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1"/>
    </row>
    <row r="23" spans="1:12">
      <c r="A23" s="1" t="s">
        <v>25</v>
      </c>
      <c r="B23" s="2">
        <v>1579000</v>
      </c>
      <c r="C23" s="2">
        <v>1194000</v>
      </c>
      <c r="D23" s="2">
        <v>1625000</v>
      </c>
      <c r="E23" s="2">
        <v>854000</v>
      </c>
      <c r="F23" s="2">
        <v>704000</v>
      </c>
      <c r="G23" s="2">
        <v>634000</v>
      </c>
      <c r="H23" s="2">
        <v>699000</v>
      </c>
      <c r="I23" s="2">
        <v>618000</v>
      </c>
      <c r="J23" s="2">
        <v>558000</v>
      </c>
      <c r="K23" s="2">
        <v>687000</v>
      </c>
      <c r="L23" s="1"/>
    </row>
    <row r="24" spans="1:12">
      <c r="A24" s="1" t="s">
        <v>24</v>
      </c>
      <c r="B24" s="2">
        <v>25231000</v>
      </c>
      <c r="C24" s="2">
        <v>22464000</v>
      </c>
      <c r="D24" s="2">
        <v>20724000</v>
      </c>
      <c r="E24" s="2">
        <v>20075000</v>
      </c>
      <c r="F24" s="2">
        <v>18519000</v>
      </c>
      <c r="G24" s="2">
        <v>16765000</v>
      </c>
      <c r="H24" s="2">
        <v>17384000</v>
      </c>
      <c r="I24" s="2">
        <v>43593000</v>
      </c>
      <c r="J24" s="2">
        <v>22981000</v>
      </c>
      <c r="K24" s="2">
        <v>22099000</v>
      </c>
      <c r="L24" s="1"/>
    </row>
    <row r="25" spans="1:12">
      <c r="A25" s="1" t="s">
        <v>23</v>
      </c>
      <c r="B25" s="2">
        <v>13541000</v>
      </c>
      <c r="C25" s="2">
        <v>12710000</v>
      </c>
      <c r="D25" s="2">
        <v>11770000</v>
      </c>
      <c r="E25" s="2">
        <v>10454000</v>
      </c>
      <c r="F25" s="2">
        <v>8845000</v>
      </c>
      <c r="G25" s="2">
        <v>7648000</v>
      </c>
      <c r="H25" s="2">
        <v>7461000</v>
      </c>
      <c r="I25" s="2">
        <v>7419000</v>
      </c>
      <c r="J25" s="2">
        <v>6040000</v>
      </c>
      <c r="K25" s="2">
        <v>5894000</v>
      </c>
      <c r="L25" s="1"/>
    </row>
    <row r="26" spans="1:12">
      <c r="A26" s="1" t="s">
        <v>22</v>
      </c>
      <c r="B26" s="2">
        <v>8876000</v>
      </c>
      <c r="C26" s="2">
        <v>7668000</v>
      </c>
      <c r="D26" s="2">
        <v>6602000</v>
      </c>
      <c r="E26" s="2">
        <v>5895000</v>
      </c>
      <c r="F26" s="2">
        <v>5134000</v>
      </c>
      <c r="G26" s="2">
        <v>4567000</v>
      </c>
      <c r="H26" s="2">
        <v>4486000</v>
      </c>
      <c r="I26" s="2">
        <v>4203000</v>
      </c>
      <c r="J26" s="2">
        <v>3734000</v>
      </c>
      <c r="K26" s="2">
        <v>3360000</v>
      </c>
      <c r="L26" s="1"/>
    </row>
    <row r="27" spans="1:12">
      <c r="A27" s="1" t="s">
        <v>21</v>
      </c>
      <c r="B27" s="2">
        <v>4665000</v>
      </c>
      <c r="C27" s="2">
        <v>5042000</v>
      </c>
      <c r="D27" s="2">
        <v>5168000</v>
      </c>
      <c r="E27" s="2">
        <v>4559000</v>
      </c>
      <c r="F27" s="2">
        <v>3711000</v>
      </c>
      <c r="G27" s="2">
        <v>3081000</v>
      </c>
      <c r="H27" s="2">
        <v>2975000</v>
      </c>
      <c r="I27" s="2">
        <v>3216000</v>
      </c>
      <c r="J27" s="2">
        <v>2306000</v>
      </c>
      <c r="K27" s="2">
        <v>2534000</v>
      </c>
      <c r="L27" s="1"/>
    </row>
    <row r="28" spans="1:12">
      <c r="A28" s="1" t="s">
        <v>168</v>
      </c>
      <c r="B28" s="3">
        <v>0</v>
      </c>
      <c r="C28" s="2">
        <v>88000</v>
      </c>
      <c r="D28" s="2">
        <v>1200000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1"/>
    </row>
    <row r="29" spans="1:12">
      <c r="A29" s="1" t="s">
        <v>141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2">
        <v>35000</v>
      </c>
      <c r="I29" s="2">
        <v>1270000</v>
      </c>
      <c r="J29" s="2">
        <v>13702000</v>
      </c>
      <c r="K29" s="2">
        <v>13626000</v>
      </c>
      <c r="L29" s="1"/>
    </row>
    <row r="30" spans="1:12">
      <c r="A30" s="1" t="s">
        <v>20</v>
      </c>
      <c r="B30" s="2">
        <v>12043000</v>
      </c>
      <c r="C30" s="2">
        <v>12050000</v>
      </c>
      <c r="D30" s="2">
        <v>12390000</v>
      </c>
      <c r="E30" s="2">
        <v>8704000</v>
      </c>
      <c r="F30" s="2">
        <v>7976000</v>
      </c>
      <c r="G30" s="2">
        <v>8454000</v>
      </c>
      <c r="H30" s="2">
        <v>9453000</v>
      </c>
      <c r="I30" s="2">
        <v>10360000</v>
      </c>
      <c r="J30" s="2">
        <v>9179000</v>
      </c>
      <c r="K30" s="2">
        <v>9221000</v>
      </c>
      <c r="L30" s="1"/>
    </row>
    <row r="31" spans="1:12">
      <c r="A31" s="1" t="s">
        <v>143</v>
      </c>
      <c r="B31" s="2">
        <v>5162000</v>
      </c>
      <c r="C31" s="2">
        <v>3310000</v>
      </c>
      <c r="D31" s="2">
        <v>1803000</v>
      </c>
      <c r="E31" s="2">
        <v>1591000</v>
      </c>
      <c r="F31" s="2">
        <v>1351000</v>
      </c>
      <c r="G31" s="2">
        <v>1196000</v>
      </c>
      <c r="H31" s="2">
        <v>904000</v>
      </c>
      <c r="I31" s="2">
        <v>2900000</v>
      </c>
      <c r="J31" s="2">
        <v>2030000</v>
      </c>
      <c r="K31" s="2">
        <v>1453000</v>
      </c>
      <c r="L31" s="1"/>
    </row>
    <row r="32" spans="1:12">
      <c r="A32" s="1" t="s">
        <v>19</v>
      </c>
      <c r="B32" s="2">
        <v>8053000</v>
      </c>
      <c r="C32" s="2">
        <v>8086000</v>
      </c>
      <c r="D32" s="2">
        <v>7729000</v>
      </c>
      <c r="E32" s="2">
        <v>6311000</v>
      </c>
      <c r="F32" s="2">
        <v>4037000</v>
      </c>
      <c r="G32" s="2">
        <v>3461000</v>
      </c>
      <c r="H32" s="2">
        <v>1935000</v>
      </c>
      <c r="I32" s="2">
        <v>4147000</v>
      </c>
      <c r="J32" s="2">
        <v>2161000</v>
      </c>
      <c r="K32" s="2">
        <v>1863000</v>
      </c>
      <c r="L32" s="1"/>
    </row>
    <row r="33" spans="1:12">
      <c r="A33" s="1" t="s">
        <v>18</v>
      </c>
      <c r="B33" s="2">
        <v>55154000</v>
      </c>
      <c r="C33" s="2">
        <v>51040000</v>
      </c>
      <c r="D33" s="2">
        <v>49014000</v>
      </c>
      <c r="E33" s="2">
        <v>41240000</v>
      </c>
      <c r="F33" s="2">
        <v>35594000</v>
      </c>
      <c r="G33" s="2">
        <v>32957000</v>
      </c>
      <c r="H33" s="2">
        <v>32686000</v>
      </c>
      <c r="I33" s="2">
        <v>65486000</v>
      </c>
      <c r="J33" s="2">
        <v>52359000</v>
      </c>
      <c r="K33" s="2">
        <v>50796000</v>
      </c>
      <c r="L33" s="1"/>
    </row>
    <row r="34" spans="1:12">
      <c r="A34" s="1" t="s">
        <v>17</v>
      </c>
      <c r="B34" s="2">
        <v>4418000</v>
      </c>
      <c r="C34" s="2">
        <v>3597000</v>
      </c>
      <c r="D34" s="2">
        <v>5527000</v>
      </c>
      <c r="E34" s="2">
        <v>5803000</v>
      </c>
      <c r="F34" s="2">
        <v>4788000</v>
      </c>
      <c r="G34" s="2">
        <v>3795000</v>
      </c>
      <c r="H34" s="2">
        <v>4073000</v>
      </c>
      <c r="I34" s="2">
        <v>3932000</v>
      </c>
      <c r="J34" s="2">
        <v>2792000</v>
      </c>
      <c r="K34" s="2">
        <v>2161000</v>
      </c>
      <c r="L34" s="1"/>
    </row>
    <row r="35" spans="1:12">
      <c r="A35" s="1" t="s">
        <v>16</v>
      </c>
      <c r="B35" s="2">
        <v>2584000</v>
      </c>
      <c r="C35" s="2">
        <v>1912000</v>
      </c>
      <c r="D35" s="2">
        <v>3796000</v>
      </c>
      <c r="E35" s="2">
        <v>2750000</v>
      </c>
      <c r="F35" s="2">
        <v>2248000</v>
      </c>
      <c r="G35" s="2">
        <v>1368000</v>
      </c>
      <c r="H35" s="2">
        <v>1825000</v>
      </c>
      <c r="I35" s="2">
        <v>1971000</v>
      </c>
      <c r="J35" s="2">
        <v>1858000</v>
      </c>
      <c r="K35" s="2">
        <v>1300000</v>
      </c>
      <c r="L35" s="1"/>
    </row>
    <row r="36" spans="1:12">
      <c r="A36" s="1" t="s">
        <v>15</v>
      </c>
      <c r="B36" s="2">
        <v>1834000</v>
      </c>
      <c r="C36" s="2">
        <v>1685000</v>
      </c>
      <c r="D36" s="2">
        <v>1731000</v>
      </c>
      <c r="E36" s="2">
        <v>3053000</v>
      </c>
      <c r="F36" s="2">
        <v>2540000</v>
      </c>
      <c r="G36" s="2">
        <v>2427000</v>
      </c>
      <c r="H36" s="2">
        <v>2248000</v>
      </c>
      <c r="I36" s="2">
        <v>1961000</v>
      </c>
      <c r="J36" s="2">
        <v>934000</v>
      </c>
      <c r="K36" s="2">
        <v>861000</v>
      </c>
      <c r="L36" s="1"/>
    </row>
    <row r="37" spans="1:12">
      <c r="A37" s="1" t="s">
        <v>14</v>
      </c>
      <c r="B37" s="2">
        <v>1364000</v>
      </c>
      <c r="C37" s="2">
        <v>914000</v>
      </c>
      <c r="D37" s="2">
        <v>1945000</v>
      </c>
      <c r="E37" s="2">
        <v>2044000</v>
      </c>
      <c r="F37" s="2">
        <v>500000</v>
      </c>
      <c r="G37" s="2">
        <v>2496000</v>
      </c>
      <c r="H37" s="2">
        <v>1005000</v>
      </c>
      <c r="I37" s="2">
        <v>2495000</v>
      </c>
      <c r="J37" s="2">
        <v>1749000</v>
      </c>
      <c r="K37" s="2">
        <v>1000000</v>
      </c>
      <c r="L37" s="1"/>
    </row>
    <row r="38" spans="1:12">
      <c r="A38" s="1" t="s">
        <v>13</v>
      </c>
      <c r="B38" s="2">
        <v>4722000</v>
      </c>
      <c r="C38" s="2">
        <v>5117000</v>
      </c>
      <c r="D38" s="2">
        <v>4394000</v>
      </c>
      <c r="E38" s="2">
        <v>4104000</v>
      </c>
      <c r="F38" s="2">
        <v>3384000</v>
      </c>
      <c r="G38" s="2">
        <v>2644000</v>
      </c>
      <c r="H38" s="2">
        <v>6158000</v>
      </c>
      <c r="I38" s="2">
        <v>4480000</v>
      </c>
      <c r="J38" s="2">
        <v>2770000</v>
      </c>
      <c r="K38" s="2">
        <v>2939000</v>
      </c>
      <c r="L38" s="1"/>
    </row>
    <row r="39" spans="1:12">
      <c r="A39" s="1" t="s">
        <v>12</v>
      </c>
      <c r="B39" s="2">
        <v>10504000</v>
      </c>
      <c r="C39" s="2">
        <v>9628000</v>
      </c>
      <c r="D39" s="2">
        <v>11866000</v>
      </c>
      <c r="E39" s="2">
        <v>11951000</v>
      </c>
      <c r="F39" s="2">
        <v>8672000</v>
      </c>
      <c r="G39" s="2">
        <v>8935000</v>
      </c>
      <c r="H39" s="2">
        <v>11236000</v>
      </c>
      <c r="I39" s="2">
        <v>10907000</v>
      </c>
      <c r="J39" s="2">
        <v>7311000</v>
      </c>
      <c r="K39" s="2">
        <v>6100000</v>
      </c>
      <c r="L39" s="1"/>
    </row>
    <row r="40" spans="1:12">
      <c r="A40" s="1" t="s">
        <v>11</v>
      </c>
      <c r="B40" s="2">
        <v>13270000</v>
      </c>
      <c r="C40" s="2">
        <v>14484000</v>
      </c>
      <c r="D40" s="2">
        <v>13537000</v>
      </c>
      <c r="E40" s="2">
        <v>13701000</v>
      </c>
      <c r="F40" s="2">
        <v>15226000</v>
      </c>
      <c r="G40" s="2">
        <v>13437000</v>
      </c>
      <c r="H40" s="2">
        <v>15365000</v>
      </c>
      <c r="I40" s="2">
        <v>19398000</v>
      </c>
      <c r="J40" s="2">
        <v>10008000</v>
      </c>
      <c r="K40" s="2">
        <v>9969000</v>
      </c>
      <c r="L40" s="1"/>
    </row>
    <row r="41" spans="1:12">
      <c r="A41" s="1" t="s">
        <v>10</v>
      </c>
      <c r="B41" s="2">
        <v>88000</v>
      </c>
      <c r="C41" s="2">
        <v>99000</v>
      </c>
      <c r="D41" s="2">
        <v>144000</v>
      </c>
      <c r="E41" s="2">
        <v>364000</v>
      </c>
      <c r="F41" s="2">
        <v>761000</v>
      </c>
      <c r="G41" s="2">
        <v>1160000</v>
      </c>
      <c r="H41" s="2">
        <v>1620000</v>
      </c>
      <c r="I41" s="2">
        <v>2003000</v>
      </c>
      <c r="J41" s="2">
        <v>2377000</v>
      </c>
      <c r="K41" s="2">
        <v>2496000</v>
      </c>
      <c r="L41" s="1"/>
    </row>
    <row r="42" spans="1:12">
      <c r="A42" s="1" t="s">
        <v>144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-10000</v>
      </c>
      <c r="K42" s="2">
        <v>-7000</v>
      </c>
      <c r="L42" s="1"/>
    </row>
    <row r="43" spans="1:12">
      <c r="A43" s="1" t="s">
        <v>9</v>
      </c>
      <c r="B43" s="2">
        <v>5018000</v>
      </c>
      <c r="C43" s="2">
        <v>5248000</v>
      </c>
      <c r="D43" s="2">
        <v>5454000</v>
      </c>
      <c r="E43" s="2">
        <v>5274000</v>
      </c>
      <c r="F43" s="2">
        <v>4858000</v>
      </c>
      <c r="G43" s="2">
        <v>4516000</v>
      </c>
      <c r="H43" s="2">
        <v>3537000</v>
      </c>
      <c r="I43" s="2">
        <v>2432000</v>
      </c>
      <c r="J43" s="2">
        <v>895000</v>
      </c>
      <c r="K43" s="2">
        <v>817000</v>
      </c>
      <c r="L43" s="1"/>
    </row>
    <row r="44" spans="1:12">
      <c r="A44" s="1" t="s">
        <v>8</v>
      </c>
      <c r="B44" s="2">
        <v>28880000</v>
      </c>
      <c r="C44" s="2">
        <v>29459000</v>
      </c>
      <c r="D44" s="2">
        <v>31001000</v>
      </c>
      <c r="E44" s="2">
        <v>31290000</v>
      </c>
      <c r="F44" s="2">
        <v>29517000</v>
      </c>
      <c r="G44" s="2">
        <v>28048000</v>
      </c>
      <c r="H44" s="2">
        <v>31758000</v>
      </c>
      <c r="I44" s="2">
        <v>34740000</v>
      </c>
      <c r="J44" s="2">
        <v>20581000</v>
      </c>
      <c r="K44" s="2">
        <v>19375000</v>
      </c>
      <c r="L44" s="1"/>
    </row>
    <row r="45" spans="1:12">
      <c r="A45" s="1" t="s">
        <v>7</v>
      </c>
      <c r="B45" s="40">
        <v>111.3</v>
      </c>
      <c r="C45" s="2">
        <v>490000</v>
      </c>
      <c r="D45" s="3">
        <v>0</v>
      </c>
      <c r="E45" s="3">
        <v>0</v>
      </c>
      <c r="F45" s="3">
        <v>0</v>
      </c>
      <c r="G45" s="2">
        <v>343000</v>
      </c>
      <c r="H45" s="3">
        <v>0</v>
      </c>
      <c r="I45" s="2">
        <v>274000</v>
      </c>
      <c r="J45" s="2">
        <v>414000</v>
      </c>
      <c r="K45" s="3">
        <v>0</v>
      </c>
      <c r="L45" s="1"/>
    </row>
    <row r="46" spans="1:12">
      <c r="A46" s="1" t="s">
        <v>6</v>
      </c>
      <c r="B46" s="3">
        <v>0</v>
      </c>
      <c r="C46" s="3">
        <v>0</v>
      </c>
      <c r="D46" s="2">
        <v>195000</v>
      </c>
      <c r="E46" s="3">
        <v>0</v>
      </c>
      <c r="F46" s="2">
        <v>586000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1"/>
    </row>
    <row r="47" spans="1:12">
      <c r="A47" s="1" t="s">
        <v>5</v>
      </c>
      <c r="B47" s="2">
        <v>25687000</v>
      </c>
      <c r="C47" s="2">
        <v>20733000</v>
      </c>
      <c r="D47" s="2">
        <v>17840000</v>
      </c>
      <c r="E47" s="2">
        <v>9822000</v>
      </c>
      <c r="F47" s="2">
        <v>5284000</v>
      </c>
      <c r="G47" s="2">
        <v>4466000</v>
      </c>
      <c r="H47" s="2">
        <v>663000</v>
      </c>
      <c r="I47" s="2">
        <v>30088000</v>
      </c>
      <c r="J47" s="2">
        <v>30936000</v>
      </c>
      <c r="K47" s="2">
        <v>31226000</v>
      </c>
      <c r="L47" s="1"/>
    </row>
    <row r="48" spans="1:12">
      <c r="A48" s="1" t="s">
        <v>4</v>
      </c>
      <c r="B48" s="2">
        <v>587000</v>
      </c>
      <c r="C48" s="2">
        <v>358000</v>
      </c>
      <c r="D48" s="2">
        <v>-22000</v>
      </c>
      <c r="E48" s="2">
        <v>128000</v>
      </c>
      <c r="F48" s="2">
        <v>207000</v>
      </c>
      <c r="G48" s="2">
        <v>100000</v>
      </c>
      <c r="H48" s="2">
        <v>265000</v>
      </c>
      <c r="I48" s="2">
        <v>384000</v>
      </c>
      <c r="J48" s="2">
        <v>428000</v>
      </c>
      <c r="K48" s="2">
        <v>195000</v>
      </c>
      <c r="L48" s="1"/>
    </row>
    <row r="49" spans="1:12">
      <c r="A49" s="1" t="s">
        <v>169</v>
      </c>
      <c r="B49" s="3">
        <v>0</v>
      </c>
      <c r="C49" s="3">
        <v>0</v>
      </c>
      <c r="D49" s="3">
        <v>0</v>
      </c>
      <c r="E49" s="3">
        <v>0</v>
      </c>
      <c r="F49" s="2">
        <v>-32000</v>
      </c>
      <c r="G49" s="2">
        <v>-99000</v>
      </c>
      <c r="H49" s="2">
        <v>11000</v>
      </c>
      <c r="I49" s="2">
        <v>147000</v>
      </c>
      <c r="J49" s="2">
        <v>-161000</v>
      </c>
      <c r="K49" s="2">
        <v>-160000</v>
      </c>
      <c r="L49" s="1"/>
    </row>
    <row r="50" spans="1:12">
      <c r="A50" s="1" t="s">
        <v>145</v>
      </c>
      <c r="B50" s="40">
        <v>-111.3</v>
      </c>
      <c r="C50" s="2">
        <v>0</v>
      </c>
      <c r="D50" s="2">
        <v>0</v>
      </c>
      <c r="E50" s="2">
        <v>0</v>
      </c>
      <c r="F50" s="2">
        <v>32000</v>
      </c>
      <c r="G50" s="2">
        <v>99000</v>
      </c>
      <c r="H50" s="2">
        <v>-11000</v>
      </c>
      <c r="I50" s="2">
        <v>-147000</v>
      </c>
      <c r="J50" s="2">
        <v>161000</v>
      </c>
      <c r="K50" s="2">
        <v>160000</v>
      </c>
      <c r="L50" s="1"/>
    </row>
    <row r="51" spans="1:12">
      <c r="A51" s="1" t="s">
        <v>1</v>
      </c>
      <c r="B51" s="2">
        <v>26274000</v>
      </c>
      <c r="C51" s="2">
        <v>21581000</v>
      </c>
      <c r="D51" s="2">
        <v>18013000</v>
      </c>
      <c r="E51" s="2">
        <v>9950000</v>
      </c>
      <c r="F51" s="2">
        <v>6077000</v>
      </c>
      <c r="G51" s="2">
        <v>4909000</v>
      </c>
      <c r="H51" s="2">
        <v>928000</v>
      </c>
      <c r="I51" s="2">
        <v>30746000</v>
      </c>
      <c r="J51" s="2">
        <v>31778000</v>
      </c>
      <c r="K51" s="2">
        <v>31421000</v>
      </c>
      <c r="L51" s="1"/>
    </row>
    <row r="52" spans="1:12">
      <c r="A52" s="1" t="s">
        <v>0</v>
      </c>
      <c r="B52" s="2">
        <v>55154000</v>
      </c>
      <c r="C52" s="2">
        <v>51040000</v>
      </c>
      <c r="D52" s="2">
        <v>49014000</v>
      </c>
      <c r="E52" s="2">
        <v>41240000</v>
      </c>
      <c r="F52" s="2">
        <v>35594000</v>
      </c>
      <c r="G52" s="2">
        <v>32957000</v>
      </c>
      <c r="H52" s="2">
        <v>32686000</v>
      </c>
      <c r="I52" s="2">
        <v>65486000</v>
      </c>
      <c r="J52" s="2">
        <v>52359000</v>
      </c>
      <c r="K52" s="2">
        <v>50796000</v>
      </c>
      <c r="L52" s="1"/>
    </row>
    <row r="57" spans="1:12">
      <c r="A57" s="42" t="s">
        <v>53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spans="1:12">
      <c r="A58" s="43" t="s">
        <v>49</v>
      </c>
      <c r="B58" s="49" t="s">
        <v>156</v>
      </c>
      <c r="C58" s="49" t="s">
        <v>157</v>
      </c>
      <c r="D58" s="49" t="s">
        <v>158</v>
      </c>
      <c r="E58" s="49" t="s">
        <v>159</v>
      </c>
      <c r="F58" s="49" t="s">
        <v>160</v>
      </c>
      <c r="G58" s="49" t="s">
        <v>161</v>
      </c>
      <c r="H58" s="49" t="s">
        <v>162</v>
      </c>
      <c r="I58" s="49" t="s">
        <v>163</v>
      </c>
      <c r="J58" s="49" t="s">
        <v>164</v>
      </c>
      <c r="K58" s="49" t="s">
        <v>165</v>
      </c>
      <c r="L58" s="43"/>
    </row>
    <row r="59" spans="1:12">
      <c r="A59" s="43" t="s">
        <v>38</v>
      </c>
      <c r="B59" s="44" t="s">
        <v>37</v>
      </c>
      <c r="C59" s="44" t="s">
        <v>37</v>
      </c>
      <c r="D59" s="44" t="s">
        <v>37</v>
      </c>
      <c r="E59" s="44" t="s">
        <v>37</v>
      </c>
      <c r="F59" s="44" t="s">
        <v>37</v>
      </c>
      <c r="G59" s="44" t="s">
        <v>37</v>
      </c>
      <c r="H59" s="44" t="s">
        <v>37</v>
      </c>
      <c r="I59" s="44" t="s">
        <v>37</v>
      </c>
      <c r="J59" s="44" t="s">
        <v>37</v>
      </c>
      <c r="K59" s="44" t="s">
        <v>37</v>
      </c>
      <c r="L59" s="43"/>
    </row>
    <row r="60" spans="1:12" ht="25.5">
      <c r="A60" s="43" t="s">
        <v>36</v>
      </c>
      <c r="B60" s="44" t="s">
        <v>35</v>
      </c>
      <c r="C60" s="44" t="s">
        <v>35</v>
      </c>
      <c r="D60" s="44" t="s">
        <v>35</v>
      </c>
      <c r="E60" s="44" t="s">
        <v>35</v>
      </c>
      <c r="F60" s="44" t="s">
        <v>35</v>
      </c>
      <c r="G60" s="44" t="s">
        <v>35</v>
      </c>
      <c r="H60" s="44" t="s">
        <v>35</v>
      </c>
      <c r="I60" s="44" t="s">
        <v>35</v>
      </c>
      <c r="J60" s="44" t="s">
        <v>35</v>
      </c>
      <c r="K60" s="44" t="s">
        <v>35</v>
      </c>
      <c r="L60" s="43"/>
    </row>
    <row r="61" spans="1:12">
      <c r="A61" s="43" t="s">
        <v>34</v>
      </c>
      <c r="B61" s="44" t="s">
        <v>33</v>
      </c>
      <c r="C61" s="44" t="s">
        <v>33</v>
      </c>
      <c r="D61" s="44" t="s">
        <v>33</v>
      </c>
      <c r="E61" s="44" t="s">
        <v>33</v>
      </c>
      <c r="F61" s="44" t="s">
        <v>33</v>
      </c>
      <c r="G61" s="44" t="s">
        <v>33</v>
      </c>
      <c r="H61" s="44" t="s">
        <v>33</v>
      </c>
      <c r="I61" s="44" t="s">
        <v>33</v>
      </c>
      <c r="J61" s="44" t="s">
        <v>33</v>
      </c>
      <c r="K61" s="44" t="s">
        <v>33</v>
      </c>
      <c r="L61" s="43"/>
    </row>
    <row r="62" spans="1:12">
      <c r="A62" s="43" t="s">
        <v>32</v>
      </c>
      <c r="B62" s="44" t="s">
        <v>31</v>
      </c>
      <c r="C62" s="44" t="s">
        <v>31</v>
      </c>
      <c r="D62" s="44" t="s">
        <v>31</v>
      </c>
      <c r="E62" s="44" t="s">
        <v>31</v>
      </c>
      <c r="F62" s="44" t="s">
        <v>31</v>
      </c>
      <c r="G62" s="44" t="s">
        <v>31</v>
      </c>
      <c r="H62" s="44" t="s">
        <v>31</v>
      </c>
      <c r="I62" s="44" t="s">
        <v>31</v>
      </c>
      <c r="J62" s="44" t="s">
        <v>31</v>
      </c>
      <c r="K62" s="44" t="s">
        <v>31</v>
      </c>
      <c r="L62" s="43"/>
    </row>
    <row r="63" spans="1:12">
      <c r="A63" s="45" t="s">
        <v>54</v>
      </c>
      <c r="B63" s="46">
        <v>38962000</v>
      </c>
      <c r="C63" s="46">
        <v>30028000</v>
      </c>
      <c r="D63" s="46">
        <v>37171000</v>
      </c>
      <c r="E63" s="46">
        <v>26741000</v>
      </c>
      <c r="F63" s="46">
        <v>16298000</v>
      </c>
      <c r="G63" s="46">
        <v>14611000</v>
      </c>
      <c r="H63" s="46">
        <v>17400000</v>
      </c>
      <c r="I63" s="46">
        <v>16647000</v>
      </c>
      <c r="J63" s="46">
        <v>15467000</v>
      </c>
      <c r="K63" s="46">
        <v>17079000</v>
      </c>
      <c r="L63" s="45"/>
    </row>
    <row r="64" spans="1:12">
      <c r="A64" s="45" t="s">
        <v>146</v>
      </c>
      <c r="B64" s="47" t="s">
        <v>2</v>
      </c>
      <c r="C64" s="46">
        <v>5792000</v>
      </c>
      <c r="D64" s="46">
        <v>7029000</v>
      </c>
      <c r="E64" s="46">
        <v>6825000</v>
      </c>
      <c r="F64" s="46">
        <v>7233000</v>
      </c>
      <c r="G64" s="46">
        <v>9662000</v>
      </c>
      <c r="H64" s="46">
        <v>5332000</v>
      </c>
      <c r="I64" s="46">
        <v>5644000</v>
      </c>
      <c r="J64" s="46">
        <v>8087000</v>
      </c>
      <c r="K64" s="46">
        <v>8202000</v>
      </c>
      <c r="L64" s="45"/>
    </row>
    <row r="65" spans="1:12">
      <c r="A65" s="45" t="s">
        <v>55</v>
      </c>
      <c r="B65" s="46">
        <v>38962000</v>
      </c>
      <c r="C65" s="46">
        <v>35820000</v>
      </c>
      <c r="D65" s="46">
        <v>44200000</v>
      </c>
      <c r="E65" s="46">
        <v>33566000</v>
      </c>
      <c r="F65" s="46">
        <v>23531000</v>
      </c>
      <c r="G65" s="46">
        <v>24273000</v>
      </c>
      <c r="H65" s="46">
        <v>22732000</v>
      </c>
      <c r="I65" s="46">
        <v>22291000</v>
      </c>
      <c r="J65" s="46">
        <v>23554000</v>
      </c>
      <c r="K65" s="46">
        <v>25281000</v>
      </c>
      <c r="L65" s="45"/>
    </row>
    <row r="66" spans="1:12">
      <c r="A66" s="45" t="s">
        <v>56</v>
      </c>
      <c r="B66" s="46">
        <v>17060000</v>
      </c>
      <c r="C66" s="46">
        <v>15869000</v>
      </c>
      <c r="D66" s="46">
        <v>18635000</v>
      </c>
      <c r="E66" s="46">
        <v>14262000</v>
      </c>
      <c r="F66" s="46">
        <v>9255000</v>
      </c>
      <c r="G66" s="46">
        <v>8599000</v>
      </c>
      <c r="H66" s="46">
        <v>10244000</v>
      </c>
      <c r="I66" s="46">
        <v>9792000</v>
      </c>
      <c r="J66" s="46">
        <v>9749000</v>
      </c>
      <c r="K66" s="46">
        <v>10378000</v>
      </c>
      <c r="L66" s="45"/>
    </row>
    <row r="67" spans="1:12">
      <c r="A67" s="45" t="s">
        <v>57</v>
      </c>
      <c r="B67" s="46">
        <v>21902000</v>
      </c>
      <c r="C67" s="46">
        <v>19951000</v>
      </c>
      <c r="D67" s="46">
        <v>25565000</v>
      </c>
      <c r="E67" s="46">
        <v>19304000</v>
      </c>
      <c r="F67" s="46">
        <v>14276000</v>
      </c>
      <c r="G67" s="46">
        <v>15674000</v>
      </c>
      <c r="H67" s="46">
        <v>12488000</v>
      </c>
      <c r="I67" s="46">
        <v>12499000</v>
      </c>
      <c r="J67" s="46">
        <v>13805000</v>
      </c>
      <c r="K67" s="46">
        <v>14903000</v>
      </c>
      <c r="L67" s="45"/>
    </row>
    <row r="68" spans="1:12">
      <c r="A68" s="45" t="s">
        <v>58</v>
      </c>
      <c r="B68" s="46">
        <v>2759000</v>
      </c>
      <c r="C68" s="46">
        <v>2483000</v>
      </c>
      <c r="D68" s="46">
        <v>2570000</v>
      </c>
      <c r="E68" s="46">
        <v>2339000</v>
      </c>
      <c r="F68" s="46">
        <v>2074000</v>
      </c>
      <c r="G68" s="46">
        <v>2195000</v>
      </c>
      <c r="H68" s="46">
        <v>2986000</v>
      </c>
      <c r="I68" s="46">
        <v>2658000</v>
      </c>
      <c r="J68" s="46">
        <v>2385000</v>
      </c>
      <c r="K68" s="46">
        <v>2344000</v>
      </c>
      <c r="L68" s="45"/>
    </row>
    <row r="69" spans="1:12">
      <c r="A69" s="45" t="s">
        <v>59</v>
      </c>
      <c r="B69" s="46">
        <v>8893000</v>
      </c>
      <c r="C69" s="46">
        <v>8818000</v>
      </c>
      <c r="D69" s="46">
        <v>8194000</v>
      </c>
      <c r="E69" s="46">
        <v>7176000</v>
      </c>
      <c r="F69" s="46">
        <v>5975000</v>
      </c>
      <c r="G69" s="46">
        <v>5398000</v>
      </c>
      <c r="H69" s="46">
        <v>5625000</v>
      </c>
      <c r="I69" s="46">
        <v>5485000</v>
      </c>
      <c r="J69" s="46">
        <v>5151000</v>
      </c>
      <c r="K69" s="46">
        <v>5490000</v>
      </c>
      <c r="L69" s="45"/>
    </row>
    <row r="70" spans="1:12">
      <c r="A70" s="45" t="s">
        <v>148</v>
      </c>
      <c r="B70" s="46">
        <v>179000</v>
      </c>
      <c r="C70" s="46">
        <v>862000</v>
      </c>
      <c r="D70" s="46">
        <v>-1059000</v>
      </c>
      <c r="E70" s="46">
        <v>0</v>
      </c>
      <c r="F70" s="46">
        <v>-28000</v>
      </c>
      <c r="G70" s="46">
        <v>414000</v>
      </c>
      <c r="H70" s="46">
        <v>3135000</v>
      </c>
      <c r="I70" s="46">
        <v>1742000</v>
      </c>
      <c r="J70" s="46">
        <v>-226000</v>
      </c>
      <c r="K70" s="46">
        <v>1293000</v>
      </c>
      <c r="L70" s="45"/>
    </row>
    <row r="71" spans="1:12">
      <c r="A71" s="45" t="s">
        <v>61</v>
      </c>
      <c r="B71" s="46">
        <v>11831000</v>
      </c>
      <c r="C71" s="46">
        <v>12163000</v>
      </c>
      <c r="D71" s="46">
        <v>9705000</v>
      </c>
      <c r="E71" s="46">
        <v>9515000</v>
      </c>
      <c r="F71" s="46">
        <v>8021000</v>
      </c>
      <c r="G71" s="46">
        <v>8007000</v>
      </c>
      <c r="H71" s="46">
        <v>11746000</v>
      </c>
      <c r="I71" s="46">
        <v>9885000</v>
      </c>
      <c r="J71" s="46">
        <v>7310000</v>
      </c>
      <c r="K71" s="46">
        <v>9127000</v>
      </c>
      <c r="L71" s="45"/>
    </row>
    <row r="72" spans="1:12">
      <c r="A72" s="45" t="s">
        <v>62</v>
      </c>
      <c r="B72" s="46">
        <v>10071000</v>
      </c>
      <c r="C72" s="46">
        <v>7788000</v>
      </c>
      <c r="D72" s="46">
        <v>15860000</v>
      </c>
      <c r="E72" s="46">
        <v>9789000</v>
      </c>
      <c r="F72" s="46">
        <v>6255000</v>
      </c>
      <c r="G72" s="46">
        <v>7667000</v>
      </c>
      <c r="H72" s="46">
        <v>742000</v>
      </c>
      <c r="I72" s="46">
        <v>2614000</v>
      </c>
      <c r="J72" s="46">
        <v>6495000</v>
      </c>
      <c r="K72" s="46">
        <v>5776000</v>
      </c>
      <c r="L72" s="45"/>
    </row>
    <row r="73" spans="1:12">
      <c r="A73" s="45" t="s">
        <v>63</v>
      </c>
      <c r="B73" s="46">
        <v>-22000</v>
      </c>
      <c r="C73" s="46">
        <v>-381000</v>
      </c>
      <c r="D73" s="46">
        <v>-399000</v>
      </c>
      <c r="E73" s="46">
        <v>-476000</v>
      </c>
      <c r="F73" s="46">
        <v>-446000</v>
      </c>
      <c r="G73" s="46">
        <v>-311000</v>
      </c>
      <c r="H73" s="46">
        <v>-143000</v>
      </c>
      <c r="I73" s="46">
        <v>125000</v>
      </c>
      <c r="J73" s="46">
        <v>314000</v>
      </c>
      <c r="K73" s="46">
        <v>423000</v>
      </c>
      <c r="L73" s="45"/>
    </row>
    <row r="74" spans="1:12">
      <c r="A74" s="45" t="s">
        <v>149</v>
      </c>
      <c r="B74" s="46">
        <v>387000</v>
      </c>
      <c r="C74" s="46">
        <v>82000</v>
      </c>
      <c r="D74" s="46">
        <v>-287000</v>
      </c>
      <c r="E74" s="46">
        <v>883000</v>
      </c>
      <c r="F74" s="46">
        <v>314000</v>
      </c>
      <c r="G74" s="46">
        <v>342000</v>
      </c>
      <c r="H74" s="46">
        <v>97000</v>
      </c>
      <c r="I74" s="46">
        <v>562000</v>
      </c>
      <c r="J74" s="46">
        <v>280000</v>
      </c>
      <c r="K74" s="46">
        <v>520000</v>
      </c>
      <c r="L74" s="45"/>
    </row>
    <row r="75" spans="1:12">
      <c r="A75" s="45" t="s">
        <v>170</v>
      </c>
      <c r="B75" s="47" t="s">
        <v>2</v>
      </c>
      <c r="C75" s="47" t="s">
        <v>2</v>
      </c>
      <c r="D75" s="46">
        <v>19000</v>
      </c>
      <c r="E75" s="46">
        <v>-32000</v>
      </c>
      <c r="F75" s="46">
        <v>-25000</v>
      </c>
      <c r="G75" s="46">
        <v>11000</v>
      </c>
      <c r="H75" s="46">
        <v>37000</v>
      </c>
      <c r="I75" s="46">
        <v>-30000</v>
      </c>
      <c r="J75" s="47" t="s">
        <v>2</v>
      </c>
      <c r="K75" s="47" t="s">
        <v>2</v>
      </c>
      <c r="L75" s="45"/>
    </row>
    <row r="76" spans="1:12">
      <c r="A76" s="45" t="s">
        <v>64</v>
      </c>
      <c r="B76" s="46">
        <v>-100000</v>
      </c>
      <c r="C76" s="46">
        <v>-46000</v>
      </c>
      <c r="D76" s="46">
        <v>-188000</v>
      </c>
      <c r="E76" s="46">
        <v>97000</v>
      </c>
      <c r="F76" s="46">
        <v>-358000</v>
      </c>
      <c r="G76" s="46">
        <v>-135000</v>
      </c>
      <c r="H76" s="46">
        <v>-75000</v>
      </c>
      <c r="I76" s="46">
        <v>-177000</v>
      </c>
      <c r="J76" s="46">
        <v>-172000</v>
      </c>
      <c r="K76" s="46">
        <v>-200000</v>
      </c>
      <c r="L76" s="45"/>
    </row>
    <row r="77" spans="1:12">
      <c r="A77" s="45" t="s">
        <v>65</v>
      </c>
      <c r="B77" s="46">
        <v>265000</v>
      </c>
      <c r="C77" s="46">
        <v>-345000</v>
      </c>
      <c r="D77" s="46">
        <v>-855000</v>
      </c>
      <c r="E77" s="46">
        <v>472000</v>
      </c>
      <c r="F77" s="46">
        <v>-515000</v>
      </c>
      <c r="G77" s="46">
        <v>-93000</v>
      </c>
      <c r="H77" s="46">
        <v>-84000</v>
      </c>
      <c r="I77" s="46">
        <v>480000</v>
      </c>
      <c r="J77" s="46">
        <v>422000</v>
      </c>
      <c r="K77" s="46">
        <v>743000</v>
      </c>
      <c r="L77" s="45"/>
    </row>
    <row r="78" spans="1:12">
      <c r="A78" s="45" t="s">
        <v>66</v>
      </c>
      <c r="B78" s="46">
        <v>10336000</v>
      </c>
      <c r="C78" s="46">
        <v>7443000</v>
      </c>
      <c r="D78" s="46">
        <v>15005000</v>
      </c>
      <c r="E78" s="46">
        <v>10261000</v>
      </c>
      <c r="F78" s="46">
        <v>5740000</v>
      </c>
      <c r="G78" s="46">
        <v>7574000</v>
      </c>
      <c r="H78" s="46">
        <v>658000</v>
      </c>
      <c r="I78" s="46">
        <v>3094000</v>
      </c>
      <c r="J78" s="46">
        <v>6917000</v>
      </c>
      <c r="K78" s="46">
        <v>6519000</v>
      </c>
      <c r="L78" s="45"/>
    </row>
    <row r="79" spans="1:12">
      <c r="A79" s="45" t="s">
        <v>150</v>
      </c>
      <c r="B79" s="46">
        <v>226000</v>
      </c>
      <c r="C79" s="46">
        <v>104000</v>
      </c>
      <c r="D79" s="46">
        <v>2012000</v>
      </c>
      <c r="E79" s="46">
        <v>1231000</v>
      </c>
      <c r="F79" s="46">
        <v>521000</v>
      </c>
      <c r="G79" s="46">
        <v>3095000</v>
      </c>
      <c r="H79" s="46">
        <v>5377000</v>
      </c>
      <c r="I79" s="46">
        <v>555000</v>
      </c>
      <c r="J79" s="46">
        <v>1131000</v>
      </c>
      <c r="K79" s="46">
        <v>1219000</v>
      </c>
      <c r="L79" s="45"/>
    </row>
    <row r="80" spans="1:12">
      <c r="A80" s="45" t="s">
        <v>171</v>
      </c>
      <c r="B80" s="46">
        <v>10110000</v>
      </c>
      <c r="C80" s="47" t="s">
        <v>2</v>
      </c>
      <c r="D80" s="47" t="s">
        <v>2</v>
      </c>
      <c r="E80" s="47" t="s">
        <v>2</v>
      </c>
      <c r="F80" s="47" t="s">
        <v>2</v>
      </c>
      <c r="G80" s="47" t="s">
        <v>2</v>
      </c>
      <c r="H80" s="47" t="s">
        <v>2</v>
      </c>
      <c r="I80" s="47" t="s">
        <v>2</v>
      </c>
      <c r="J80" s="47" t="s">
        <v>2</v>
      </c>
      <c r="K80" s="47" t="s">
        <v>2</v>
      </c>
      <c r="L80" s="45"/>
    </row>
    <row r="81" spans="1:12">
      <c r="A81" s="45" t="s">
        <v>151</v>
      </c>
      <c r="B81" s="47" t="s">
        <v>2</v>
      </c>
      <c r="C81" s="47" t="s">
        <v>2</v>
      </c>
      <c r="D81" s="46">
        <v>-7000</v>
      </c>
      <c r="E81" s="46">
        <v>13000</v>
      </c>
      <c r="F81" s="46">
        <v>-21000</v>
      </c>
      <c r="G81" s="46">
        <v>-93000</v>
      </c>
      <c r="H81" s="46">
        <v>-145000</v>
      </c>
      <c r="I81" s="46">
        <v>-74000</v>
      </c>
      <c r="J81" s="46">
        <v>-84000</v>
      </c>
      <c r="K81" s="46">
        <v>-32000</v>
      </c>
      <c r="L81" s="45"/>
    </row>
    <row r="82" spans="1:12">
      <c r="A82" s="45" t="s">
        <v>67</v>
      </c>
      <c r="B82" s="46">
        <v>10142000</v>
      </c>
      <c r="C82" s="46">
        <v>7232000</v>
      </c>
      <c r="D82" s="46">
        <v>12936000</v>
      </c>
      <c r="E82" s="46">
        <v>9043000</v>
      </c>
      <c r="F82" s="46">
        <v>5198000</v>
      </c>
      <c r="G82" s="46">
        <v>4386000</v>
      </c>
      <c r="H82" s="46">
        <v>-4864000</v>
      </c>
      <c r="I82" s="46">
        <v>2466000</v>
      </c>
      <c r="J82" s="46">
        <v>5705000</v>
      </c>
      <c r="K82" s="46">
        <v>5271000</v>
      </c>
      <c r="L82" s="45"/>
    </row>
    <row r="83" spans="1:12">
      <c r="A83" s="45" t="s">
        <v>68</v>
      </c>
      <c r="B83" s="46">
        <v>10142000</v>
      </c>
      <c r="C83" s="46">
        <v>7232000</v>
      </c>
      <c r="D83" s="46">
        <v>12936000</v>
      </c>
      <c r="E83" s="46">
        <v>9043000</v>
      </c>
      <c r="F83" s="46">
        <v>5198000</v>
      </c>
      <c r="G83" s="46">
        <v>4386000</v>
      </c>
      <c r="H83" s="46">
        <v>-4864000</v>
      </c>
      <c r="I83" s="46">
        <v>2466000</v>
      </c>
      <c r="J83" s="46">
        <v>5705000</v>
      </c>
      <c r="K83" s="46">
        <v>5271000</v>
      </c>
      <c r="L83" s="45"/>
    </row>
    <row r="84" spans="1:12">
      <c r="A84" s="45" t="s">
        <v>69</v>
      </c>
      <c r="B84" s="46">
        <v>1116000</v>
      </c>
      <c r="C84" s="46">
        <v>1117000</v>
      </c>
      <c r="D84" s="46">
        <v>1123000</v>
      </c>
      <c r="E84" s="46">
        <v>1131000</v>
      </c>
      <c r="F84" s="46">
        <v>1135000</v>
      </c>
      <c r="G84" s="46">
        <v>1210000</v>
      </c>
      <c r="H84" s="46">
        <v>1463000</v>
      </c>
      <c r="I84" s="46">
        <v>1477000</v>
      </c>
      <c r="J84" s="46">
        <v>1484000</v>
      </c>
      <c r="K84" s="46">
        <v>1618000</v>
      </c>
      <c r="L84" s="45"/>
    </row>
    <row r="85" spans="1:12">
      <c r="A85" s="45" t="s">
        <v>70</v>
      </c>
      <c r="B85" s="48">
        <v>9.09</v>
      </c>
      <c r="C85" s="48">
        <v>6.47</v>
      </c>
      <c r="D85" s="48">
        <v>11.52</v>
      </c>
      <c r="E85" s="48">
        <v>7.99</v>
      </c>
      <c r="F85" s="48">
        <v>4.58</v>
      </c>
      <c r="G85" s="48">
        <v>3.63</v>
      </c>
      <c r="H85" s="48">
        <v>-3.32</v>
      </c>
      <c r="I85" s="48">
        <v>1.67</v>
      </c>
      <c r="J85" s="48">
        <v>3.84</v>
      </c>
      <c r="K85" s="48">
        <v>3.26</v>
      </c>
      <c r="L85" s="45"/>
    </row>
    <row r="86" spans="1:12">
      <c r="A86" s="45" t="s">
        <v>71</v>
      </c>
      <c r="B86" s="48">
        <v>9.06</v>
      </c>
      <c r="C86" s="48">
        <v>6.57</v>
      </c>
      <c r="D86" s="48">
        <v>11.56</v>
      </c>
      <c r="E86" s="48">
        <v>7.99</v>
      </c>
      <c r="F86" s="48">
        <v>4.58</v>
      </c>
      <c r="G86" s="48">
        <v>3.63</v>
      </c>
      <c r="H86" s="48">
        <v>-3.32</v>
      </c>
      <c r="I86" s="48">
        <v>1.67</v>
      </c>
      <c r="J86" s="48">
        <v>3.84</v>
      </c>
      <c r="K86" s="48">
        <v>3.26</v>
      </c>
      <c r="L86" s="45"/>
    </row>
    <row r="87" spans="1:12">
      <c r="A87" s="45" t="s">
        <v>72</v>
      </c>
      <c r="B87" s="46">
        <v>1130000</v>
      </c>
      <c r="C87" s="46">
        <v>1126000</v>
      </c>
      <c r="D87" s="46">
        <v>1137000</v>
      </c>
      <c r="E87" s="46">
        <v>1149000</v>
      </c>
      <c r="F87" s="46">
        <v>1149000</v>
      </c>
      <c r="G87" s="46">
        <v>1220000</v>
      </c>
      <c r="H87" s="46">
        <v>1463000</v>
      </c>
      <c r="I87" s="46">
        <v>1490000</v>
      </c>
      <c r="J87" s="46">
        <v>1498000</v>
      </c>
      <c r="K87" s="46">
        <v>1639000</v>
      </c>
      <c r="L87" s="45"/>
    </row>
    <row r="88" spans="1:12">
      <c r="A88" s="45" t="s">
        <v>73</v>
      </c>
      <c r="B88" s="48">
        <v>8.9700000000000006</v>
      </c>
      <c r="C88" s="48">
        <v>6.42</v>
      </c>
      <c r="D88" s="48">
        <v>11.37</v>
      </c>
      <c r="E88" s="48">
        <v>7.87</v>
      </c>
      <c r="F88" s="48">
        <v>4.5199999999999996</v>
      </c>
      <c r="G88" s="48">
        <v>3.59</v>
      </c>
      <c r="H88" s="48">
        <v>-3.32</v>
      </c>
      <c r="I88" s="48">
        <v>1.65</v>
      </c>
      <c r="J88" s="48">
        <v>3.81</v>
      </c>
      <c r="K88" s="48">
        <v>3.22</v>
      </c>
      <c r="L88" s="45"/>
    </row>
    <row r="89" spans="1:12">
      <c r="A89" s="45" t="s">
        <v>74</v>
      </c>
      <c r="B89" s="48">
        <v>8.94</v>
      </c>
      <c r="C89" s="48">
        <v>6.52</v>
      </c>
      <c r="D89" s="48">
        <v>11.41</v>
      </c>
      <c r="E89" s="48">
        <v>7.87</v>
      </c>
      <c r="F89" s="48">
        <v>4.5199999999999996</v>
      </c>
      <c r="G89" s="48">
        <v>3.59</v>
      </c>
      <c r="H89" s="48">
        <v>-3.32</v>
      </c>
      <c r="I89" s="48">
        <v>1.65</v>
      </c>
      <c r="J89" s="48">
        <v>3.81</v>
      </c>
      <c r="K89" s="48">
        <v>3.22</v>
      </c>
      <c r="L89" s="45"/>
    </row>
    <row r="90" spans="1:12">
      <c r="A90" s="45" t="s">
        <v>75</v>
      </c>
      <c r="B90" s="46">
        <v>1113000</v>
      </c>
      <c r="C90" s="46">
        <v>1114000</v>
      </c>
      <c r="D90" s="46">
        <v>1121000</v>
      </c>
      <c r="E90" s="46">
        <v>1125000</v>
      </c>
      <c r="F90" s="46">
        <v>1131000</v>
      </c>
      <c r="G90" s="46">
        <v>1145000</v>
      </c>
      <c r="H90" s="46">
        <v>1219000</v>
      </c>
      <c r="I90" s="46">
        <v>1474000</v>
      </c>
      <c r="J90" s="46">
        <v>1476000</v>
      </c>
      <c r="K90" s="46">
        <v>1524000</v>
      </c>
      <c r="L90" s="45"/>
    </row>
    <row r="94" spans="1:12">
      <c r="A94" s="95" t="s">
        <v>221</v>
      </c>
      <c r="B94" s="69">
        <f>B72/B33</f>
        <v>0.18259781702143091</v>
      </c>
      <c r="C94" s="69">
        <f t="shared" ref="C94:K94" si="0">C72/C33</f>
        <v>0.15258620689655172</v>
      </c>
      <c r="D94" s="69">
        <f t="shared" si="0"/>
        <v>0.32358101766842129</v>
      </c>
      <c r="E94" s="69">
        <f t="shared" si="0"/>
        <v>0.23736663433559652</v>
      </c>
      <c r="F94" s="69">
        <f t="shared" si="0"/>
        <v>0.17573186492105411</v>
      </c>
      <c r="G94" s="69">
        <f t="shared" si="0"/>
        <v>0.23263646569772733</v>
      </c>
      <c r="H94" s="69">
        <f t="shared" si="0"/>
        <v>2.2700850517040936E-2</v>
      </c>
      <c r="I94" s="69">
        <f t="shared" si="0"/>
        <v>3.9916928809211126E-2</v>
      </c>
      <c r="J94" s="69">
        <f t="shared" si="0"/>
        <v>0.12404744170056724</v>
      </c>
      <c r="K94" s="69">
        <f t="shared" si="0"/>
        <v>0.11370974092448224</v>
      </c>
    </row>
    <row r="95" spans="1:12">
      <c r="A95" s="95" t="s">
        <v>222</v>
      </c>
      <c r="B95" s="69">
        <f>B82/B33</f>
        <v>0.18388512165935381</v>
      </c>
      <c r="C95" s="69">
        <f t="shared" ref="C95:K95" si="1">C82/C33</f>
        <v>0.14169278996865203</v>
      </c>
      <c r="D95" s="69">
        <f t="shared" si="1"/>
        <v>0.26392459297343618</v>
      </c>
      <c r="E95" s="69">
        <f t="shared" si="1"/>
        <v>0.21927740058195927</v>
      </c>
      <c r="F95" s="69">
        <f t="shared" si="1"/>
        <v>0.14603584873855144</v>
      </c>
      <c r="G95" s="69">
        <f t="shared" si="1"/>
        <v>0.13308250144127196</v>
      </c>
      <c r="H95" s="69">
        <f t="shared" si="1"/>
        <v>-0.14880988802545433</v>
      </c>
      <c r="I95" s="69">
        <f t="shared" si="1"/>
        <v>3.7656903765690378E-2</v>
      </c>
      <c r="J95" s="69">
        <f t="shared" si="1"/>
        <v>0.10895930021581772</v>
      </c>
      <c r="K95" s="69">
        <f t="shared" si="1"/>
        <v>0.10376801322938814</v>
      </c>
    </row>
    <row r="96" spans="1:12">
      <c r="A96" s="95" t="s">
        <v>223</v>
      </c>
      <c r="B96" s="69">
        <f>B82/B51</f>
        <v>0.38600898226383495</v>
      </c>
      <c r="C96" s="69">
        <f t="shared" ref="C96:K96" si="2">C82/C51</f>
        <v>0.33510958713683331</v>
      </c>
      <c r="D96" s="69">
        <f t="shared" si="2"/>
        <v>0.71814800421917502</v>
      </c>
      <c r="E96" s="69">
        <f t="shared" si="2"/>
        <v>0.90884422110552765</v>
      </c>
      <c r="F96" s="69">
        <f t="shared" si="2"/>
        <v>0.8553562613131479</v>
      </c>
      <c r="G96" s="69">
        <f t="shared" si="2"/>
        <v>0.89346099001833368</v>
      </c>
      <c r="H96" s="69">
        <f t="shared" si="2"/>
        <v>-5.2413793103448274</v>
      </c>
      <c r="I96" s="69">
        <f t="shared" si="2"/>
        <v>8.0205555194171593E-2</v>
      </c>
      <c r="J96" s="69">
        <f t="shared" si="2"/>
        <v>0.17952671659638744</v>
      </c>
      <c r="K96" s="69">
        <f t="shared" si="2"/>
        <v>0.16775404983927947</v>
      </c>
    </row>
    <row r="97" spans="1:11">
      <c r="A97" s="95" t="s">
        <v>224</v>
      </c>
      <c r="B97" s="69">
        <f>B67/B65</f>
        <v>0.56213746727580716</v>
      </c>
      <c r="C97" s="69">
        <f t="shared" ref="C97:K97" si="3">C67/C65</f>
        <v>0.55697934115019543</v>
      </c>
      <c r="D97" s="69">
        <f t="shared" si="3"/>
        <v>0.5783936651583711</v>
      </c>
      <c r="E97" s="69">
        <f t="shared" si="3"/>
        <v>0.57510576178275641</v>
      </c>
      <c r="F97" s="69">
        <f t="shared" si="3"/>
        <v>0.606689048489227</v>
      </c>
      <c r="G97" s="69">
        <f t="shared" si="3"/>
        <v>0.64573806286820745</v>
      </c>
      <c r="H97" s="69">
        <f t="shared" si="3"/>
        <v>0.54935773359141293</v>
      </c>
      <c r="I97" s="69">
        <f t="shared" si="3"/>
        <v>0.56071957292180696</v>
      </c>
      <c r="J97" s="69">
        <f t="shared" si="3"/>
        <v>0.58610002547338036</v>
      </c>
      <c r="K97" s="69">
        <f t="shared" si="3"/>
        <v>0.58949408646809853</v>
      </c>
    </row>
    <row r="98" spans="1:11">
      <c r="A98" s="95" t="s">
        <v>225</v>
      </c>
      <c r="B98" s="69">
        <f>B69/B65</f>
        <v>0.22824803654843182</v>
      </c>
      <c r="C98" s="69">
        <f t="shared" ref="C98:K98" si="4">C69/C65</f>
        <v>0.24617532104969292</v>
      </c>
      <c r="D98" s="69">
        <f t="shared" si="4"/>
        <v>0.1853846153846154</v>
      </c>
      <c r="E98" s="69">
        <f t="shared" si="4"/>
        <v>0.21378776142525174</v>
      </c>
      <c r="F98" s="69">
        <f t="shared" si="4"/>
        <v>0.25392036037567467</v>
      </c>
      <c r="G98" s="69">
        <f t="shared" si="4"/>
        <v>0.22238701437811559</v>
      </c>
      <c r="H98" s="69">
        <f t="shared" si="4"/>
        <v>0.24744853070561323</v>
      </c>
      <c r="I98" s="69">
        <f t="shared" si="4"/>
        <v>0.24606343367278274</v>
      </c>
      <c r="J98" s="69">
        <f t="shared" si="4"/>
        <v>0.21868897002632248</v>
      </c>
      <c r="K98" s="69">
        <f t="shared" si="4"/>
        <v>0.21715913136347453</v>
      </c>
    </row>
    <row r="99" spans="1:11">
      <c r="A99" s="95" t="s">
        <v>226</v>
      </c>
      <c r="B99" s="69">
        <f>B82/B65</f>
        <v>0.26030491247882553</v>
      </c>
      <c r="C99" s="69">
        <f t="shared" ref="C99:K99" si="5">C82/C65</f>
        <v>0.20189838079285316</v>
      </c>
      <c r="D99" s="69">
        <f t="shared" si="5"/>
        <v>0.29266968325791853</v>
      </c>
      <c r="E99" s="69">
        <f t="shared" si="5"/>
        <v>0.2694095215396532</v>
      </c>
      <c r="F99" s="69">
        <f t="shared" si="5"/>
        <v>0.22090008924397603</v>
      </c>
      <c r="G99" s="69">
        <f t="shared" si="5"/>
        <v>0.18069459893709058</v>
      </c>
      <c r="H99" s="69">
        <f t="shared" si="5"/>
        <v>-0.21397149392926271</v>
      </c>
      <c r="I99" s="69">
        <f t="shared" si="5"/>
        <v>0.11062760755461845</v>
      </c>
      <c r="J99" s="69">
        <f t="shared" si="5"/>
        <v>0.2422093911862104</v>
      </c>
      <c r="K99" s="69">
        <f t="shared" si="5"/>
        <v>0.20849649934733594</v>
      </c>
    </row>
    <row r="100" spans="1:11">
      <c r="A100" s="96" t="s">
        <v>227</v>
      </c>
      <c r="B100" s="69">
        <f>B66/B65</f>
        <v>0.43786253272419279</v>
      </c>
      <c r="C100" s="69">
        <f t="shared" ref="C100:K100" si="6">C66/C65</f>
        <v>0.44302065884980457</v>
      </c>
      <c r="D100" s="69">
        <f t="shared" si="6"/>
        <v>0.42160633484162896</v>
      </c>
      <c r="E100" s="69">
        <f t="shared" si="6"/>
        <v>0.42489423821724365</v>
      </c>
      <c r="F100" s="69">
        <f t="shared" si="6"/>
        <v>0.393310951510773</v>
      </c>
      <c r="G100" s="69">
        <f t="shared" si="6"/>
        <v>0.35426193713179255</v>
      </c>
      <c r="H100" s="69">
        <f t="shared" si="6"/>
        <v>0.45064226640858701</v>
      </c>
      <c r="I100" s="69">
        <f t="shared" si="6"/>
        <v>0.43928042707819298</v>
      </c>
      <c r="J100" s="69">
        <f t="shared" si="6"/>
        <v>0.4138999745266197</v>
      </c>
      <c r="K100" s="69">
        <f t="shared" si="6"/>
        <v>0.41050591353190141</v>
      </c>
    </row>
    <row r="101" spans="1:11">
      <c r="A101" s="95" t="s">
        <v>178</v>
      </c>
      <c r="B101" s="69">
        <f>B68/B65</f>
        <v>7.0812586622863299E-2</v>
      </c>
      <c r="C101" s="69">
        <f t="shared" ref="C101:K101" si="7">C68/C65</f>
        <v>6.9318816303740927E-2</v>
      </c>
      <c r="D101" s="69">
        <f t="shared" si="7"/>
        <v>5.8144796380090499E-2</v>
      </c>
      <c r="E101" s="69">
        <f t="shared" si="7"/>
        <v>6.9683608413275339E-2</v>
      </c>
      <c r="F101" s="69">
        <f t="shared" si="7"/>
        <v>8.8139050614083544E-2</v>
      </c>
      <c r="G101" s="69">
        <f t="shared" si="7"/>
        <v>9.0429695546491981E-2</v>
      </c>
      <c r="H101" s="69">
        <f t="shared" si="7"/>
        <v>0.13135667781101532</v>
      </c>
      <c r="I101" s="69">
        <f t="shared" si="7"/>
        <v>0.119240949262034</v>
      </c>
      <c r="J101" s="69">
        <f t="shared" si="7"/>
        <v>0.10125668676233336</v>
      </c>
      <c r="K101" s="69">
        <f t="shared" si="7"/>
        <v>9.2717851350816824E-2</v>
      </c>
    </row>
    <row r="102" spans="1:11">
      <c r="A102" s="95" t="s">
        <v>228</v>
      </c>
      <c r="B102" s="69">
        <f>B19/B65</f>
        <v>0.10084184590113444</v>
      </c>
      <c r="C102" s="69">
        <f t="shared" ref="C102:K102" si="8">C19/C65</f>
        <v>8.886097152428811E-2</v>
      </c>
      <c r="D102" s="69">
        <f t="shared" si="8"/>
        <v>0.12766968325791855</v>
      </c>
      <c r="E102" s="69">
        <f t="shared" si="8"/>
        <v>0.10662575224929989</v>
      </c>
      <c r="F102" s="69">
        <f t="shared" si="8"/>
        <v>0.17011601716884112</v>
      </c>
      <c r="G102" s="69">
        <f t="shared" si="8"/>
        <v>0.10180035430313517</v>
      </c>
      <c r="H102" s="69">
        <f t="shared" si="8"/>
        <v>0.12774942811895126</v>
      </c>
      <c r="I102" s="69">
        <f t="shared" si="8"/>
        <v>0.16293571396527748</v>
      </c>
      <c r="J102" s="69">
        <f t="shared" si="8"/>
        <v>9.420905154113951E-2</v>
      </c>
      <c r="K102" s="69">
        <f t="shared" si="8"/>
        <v>7.7686800363909653E-2</v>
      </c>
    </row>
    <row r="104" spans="1:11">
      <c r="A104" s="95" t="s">
        <v>229</v>
      </c>
      <c r="C104" s="69">
        <f>(C65-B65)/B65</f>
        <v>-8.0642677480622149E-2</v>
      </c>
      <c r="D104" s="69">
        <f t="shared" ref="D104:K104" si="9">(D65-C65)/C65</f>
        <v>0.23394751535455052</v>
      </c>
      <c r="E104" s="69">
        <f t="shared" si="9"/>
        <v>-0.24058823529411766</v>
      </c>
      <c r="F104" s="69">
        <f t="shared" si="9"/>
        <v>-0.29896323660847285</v>
      </c>
      <c r="G104" s="69">
        <f t="shared" si="9"/>
        <v>3.1532871531171645E-2</v>
      </c>
      <c r="H104" s="69">
        <f t="shared" si="9"/>
        <v>-6.3486178057924447E-2</v>
      </c>
      <c r="I104" s="69">
        <f t="shared" si="9"/>
        <v>-1.9399964807320078E-2</v>
      </c>
      <c r="J104" s="69">
        <f t="shared" si="9"/>
        <v>5.6659638419092904E-2</v>
      </c>
      <c r="K104" s="69">
        <f t="shared" si="9"/>
        <v>7.3320879680733628E-2</v>
      </c>
    </row>
    <row r="106" spans="1:11">
      <c r="A106" s="95" t="s">
        <v>244</v>
      </c>
      <c r="B106" s="69">
        <f>(B77*-1)/AVERAGE(B40:C40)</f>
        <v>-1.909634647258053E-2</v>
      </c>
      <c r="C106" s="69">
        <f t="shared" ref="C106:K106" si="10">(C77*-1)/AVERAGE(C40:D40)</f>
        <v>2.4624388851218728E-2</v>
      </c>
      <c r="D106" s="69">
        <f t="shared" si="10"/>
        <v>6.2779939789999267E-2</v>
      </c>
      <c r="E106" s="69">
        <f t="shared" si="10"/>
        <v>-3.2633871469561308E-2</v>
      </c>
      <c r="F106" s="69">
        <f t="shared" si="10"/>
        <v>3.5934828873460556E-2</v>
      </c>
      <c r="G106" s="69">
        <f t="shared" si="10"/>
        <v>6.4578848691063118E-3</v>
      </c>
      <c r="H106" s="69">
        <f t="shared" si="10"/>
        <v>4.8327244484077901E-3</v>
      </c>
      <c r="I106" s="69">
        <f t="shared" si="10"/>
        <v>-3.2646398694144055E-2</v>
      </c>
      <c r="J106" s="69">
        <f t="shared" si="10"/>
        <v>-4.2248585873754817E-2</v>
      </c>
      <c r="K106" s="69">
        <f t="shared" si="10"/>
        <v>-7.4531046243354396E-2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34B2-F701-4DE7-BEE0-397EB1E2034B}">
  <dimension ref="A1:K2517"/>
  <sheetViews>
    <sheetView workbookViewId="0">
      <selection activeCell="C15" sqref="C15"/>
    </sheetView>
  </sheetViews>
  <sheetFormatPr defaultRowHeight="15"/>
  <cols>
    <col min="1" max="1" width="29.28515625" style="124" bestFit="1" customWidth="1"/>
    <col min="2" max="11" width="12.7109375" bestFit="1" customWidth="1"/>
  </cols>
  <sheetData>
    <row r="1" spans="1:11">
      <c r="A1" s="122" t="s">
        <v>335</v>
      </c>
      <c r="B1" s="109">
        <v>2015</v>
      </c>
      <c r="C1" s="109">
        <v>2016</v>
      </c>
      <c r="D1" s="109">
        <v>2017</v>
      </c>
      <c r="E1" s="109">
        <v>2018</v>
      </c>
      <c r="F1" s="109">
        <v>2019</v>
      </c>
      <c r="G1" s="109">
        <v>2020</v>
      </c>
      <c r="H1" s="109">
        <v>2021</v>
      </c>
      <c r="I1" s="109">
        <v>2022</v>
      </c>
      <c r="J1" s="109">
        <v>2023</v>
      </c>
      <c r="K1" s="109">
        <v>2024</v>
      </c>
    </row>
    <row r="2" spans="1:11">
      <c r="A2" s="122" t="s">
        <v>336</v>
      </c>
      <c r="B2" s="109">
        <v>2</v>
      </c>
      <c r="C2" s="109">
        <v>5</v>
      </c>
      <c r="D2" s="109">
        <v>11</v>
      </c>
      <c r="E2" s="109">
        <v>19</v>
      </c>
      <c r="F2" s="109">
        <v>29</v>
      </c>
      <c r="G2" s="109">
        <v>55</v>
      </c>
      <c r="H2" s="109">
        <v>85</v>
      </c>
      <c r="I2" s="109">
        <v>95</v>
      </c>
      <c r="J2" s="109">
        <v>110</v>
      </c>
      <c r="K2" s="109">
        <v>100</v>
      </c>
    </row>
    <row r="3" spans="1:11">
      <c r="A3" s="122" t="s">
        <v>337</v>
      </c>
      <c r="B3" s="121">
        <v>790000000</v>
      </c>
      <c r="C3" s="121">
        <v>910000000</v>
      </c>
      <c r="D3" s="121">
        <v>970000000</v>
      </c>
      <c r="E3" s="121">
        <v>1000000000</v>
      </c>
      <c r="F3" s="121">
        <v>1100000000</v>
      </c>
      <c r="G3" s="121">
        <v>1200000000</v>
      </c>
      <c r="H3" s="121">
        <v>1250000000</v>
      </c>
      <c r="I3" s="121">
        <v>1300000000</v>
      </c>
      <c r="J3" s="121">
        <v>1350000000</v>
      </c>
      <c r="K3" s="121">
        <v>1400000000</v>
      </c>
    </row>
    <row r="4" spans="1:11">
      <c r="A4" s="122" t="s">
        <v>338</v>
      </c>
      <c r="B4" s="109">
        <v>31</v>
      </c>
      <c r="C4" s="109">
        <v>33</v>
      </c>
      <c r="D4" s="109">
        <v>40</v>
      </c>
      <c r="E4" s="109">
        <v>48</v>
      </c>
      <c r="F4" s="109">
        <v>58</v>
      </c>
      <c r="G4" s="109">
        <v>60</v>
      </c>
      <c r="H4" s="109">
        <v>55</v>
      </c>
      <c r="I4" s="109">
        <v>45</v>
      </c>
      <c r="J4" s="109">
        <v>35</v>
      </c>
      <c r="K4" s="109">
        <v>25</v>
      </c>
    </row>
    <row r="5" spans="1:11">
      <c r="A5" s="122" t="s">
        <v>339</v>
      </c>
      <c r="B5" s="121">
        <v>4730000000</v>
      </c>
      <c r="C5" s="121">
        <v>4730000000</v>
      </c>
      <c r="D5" s="121">
        <v>4690000000</v>
      </c>
      <c r="E5" s="121">
        <v>4600000000</v>
      </c>
      <c r="F5" s="121">
        <v>4450000000</v>
      </c>
      <c r="G5" s="121">
        <v>4300000000</v>
      </c>
      <c r="H5" s="121">
        <v>4100000000</v>
      </c>
      <c r="I5" s="121">
        <v>4050000000</v>
      </c>
      <c r="J5" s="121">
        <v>4000000000</v>
      </c>
      <c r="K5" s="121">
        <v>3950000000</v>
      </c>
    </row>
    <row r="6" spans="1:11">
      <c r="A6" s="122" t="s">
        <v>340</v>
      </c>
      <c r="B6" s="109">
        <v>20</v>
      </c>
      <c r="C6" s="109">
        <v>30</v>
      </c>
      <c r="D6" s="109">
        <v>60</v>
      </c>
      <c r="E6" s="109">
        <v>150</v>
      </c>
      <c r="F6" s="109">
        <v>170</v>
      </c>
      <c r="G6" s="109">
        <v>300</v>
      </c>
      <c r="H6" s="109">
        <v>500</v>
      </c>
      <c r="I6" s="109">
        <v>400</v>
      </c>
      <c r="J6" s="109">
        <v>450</v>
      </c>
      <c r="K6" s="109">
        <v>600</v>
      </c>
    </row>
    <row r="7" spans="1:11" ht="30">
      <c r="A7" s="122" t="s">
        <v>341</v>
      </c>
      <c r="B7" s="121">
        <v>540000000</v>
      </c>
      <c r="C7" s="121">
        <v>560000000</v>
      </c>
      <c r="D7" s="121">
        <v>600000000</v>
      </c>
      <c r="E7" s="121">
        <v>620000000</v>
      </c>
      <c r="F7" s="121">
        <v>620000000</v>
      </c>
      <c r="G7" s="121">
        <v>620000000</v>
      </c>
      <c r="H7" s="121">
        <v>620000000</v>
      </c>
      <c r="I7" s="121">
        <v>620000000</v>
      </c>
      <c r="J7" s="109" t="s">
        <v>344</v>
      </c>
      <c r="K7" s="121">
        <v>2500000000</v>
      </c>
    </row>
    <row r="8" spans="1:11">
      <c r="A8" s="122" t="s">
        <v>342</v>
      </c>
      <c r="B8" s="109">
        <v>47.53</v>
      </c>
      <c r="C8" s="109">
        <v>45.17</v>
      </c>
      <c r="D8" s="109">
        <v>46.32</v>
      </c>
      <c r="E8" s="109">
        <v>51.98</v>
      </c>
      <c r="F8" s="109">
        <v>63.18</v>
      </c>
      <c r="G8" s="109">
        <v>92.94</v>
      </c>
      <c r="H8" s="109">
        <v>134.72999999999999</v>
      </c>
      <c r="I8" s="109">
        <v>131.41</v>
      </c>
      <c r="J8" s="109">
        <v>115.81</v>
      </c>
      <c r="K8" s="109">
        <v>169.22</v>
      </c>
    </row>
    <row r="9" spans="1:11">
      <c r="A9" s="122" t="s">
        <v>343</v>
      </c>
      <c r="B9" s="121">
        <v>1560000000</v>
      </c>
      <c r="C9" s="121">
        <v>1480000000</v>
      </c>
      <c r="D9" s="121">
        <v>1480000000</v>
      </c>
      <c r="E9" s="121">
        <v>1520000000</v>
      </c>
      <c r="F9" s="121">
        <v>1500000000</v>
      </c>
      <c r="G9" s="121">
        <v>1410000000</v>
      </c>
      <c r="H9" s="121">
        <v>1420000000</v>
      </c>
      <c r="I9" s="121">
        <v>1120000000</v>
      </c>
      <c r="J9" s="121">
        <v>1120000000</v>
      </c>
      <c r="K9" s="121">
        <v>1120000000</v>
      </c>
    </row>
    <row r="10" spans="1:11">
      <c r="A10" s="123"/>
      <c r="B10" s="109"/>
      <c r="C10" s="121"/>
      <c r="D10" s="109"/>
      <c r="E10" s="121"/>
      <c r="F10" s="109"/>
      <c r="G10" s="109"/>
      <c r="H10" s="109"/>
      <c r="I10" s="121"/>
    </row>
    <row r="11" spans="1:11">
      <c r="A11" s="123"/>
      <c r="B11" s="109"/>
      <c r="C11" s="121"/>
      <c r="D11" s="109"/>
      <c r="E11" s="121"/>
      <c r="F11" s="109"/>
      <c r="G11" s="121"/>
      <c r="H11" s="109"/>
      <c r="I11" s="121"/>
    </row>
    <row r="12" spans="1:11">
      <c r="E12" s="120"/>
    </row>
    <row r="13" spans="1:11">
      <c r="E13" s="120"/>
    </row>
    <row r="14" spans="1:11">
      <c r="E14" s="120"/>
    </row>
    <row r="24" spans="5:5">
      <c r="E24" s="120"/>
    </row>
    <row r="25" spans="5:5">
      <c r="E25" s="120"/>
    </row>
    <row r="26" spans="5:5">
      <c r="E26" s="120"/>
    </row>
    <row r="27" spans="5:5">
      <c r="E27" s="120"/>
    </row>
    <row r="28" spans="5:5">
      <c r="E28" s="120"/>
    </row>
    <row r="29" spans="5:5">
      <c r="E29" s="120"/>
    </row>
    <row r="30" spans="5:5">
      <c r="E30" s="120"/>
    </row>
    <row r="31" spans="5:5">
      <c r="E31" s="120"/>
    </row>
    <row r="32" spans="5:5">
      <c r="E32" s="120"/>
    </row>
    <row r="33" spans="5:5">
      <c r="E33" s="120"/>
    </row>
    <row r="34" spans="5:5">
      <c r="E34" s="120"/>
    </row>
    <row r="35" spans="5:5">
      <c r="E35" s="120"/>
    </row>
    <row r="36" spans="5:5">
      <c r="E36" s="120"/>
    </row>
    <row r="37" spans="5:5">
      <c r="E37" s="120"/>
    </row>
    <row r="38" spans="5:5">
      <c r="E38" s="120"/>
    </row>
    <row r="39" spans="5:5">
      <c r="E39" s="120"/>
    </row>
    <row r="40" spans="5:5">
      <c r="E40" s="120"/>
    </row>
    <row r="41" spans="5:5">
      <c r="E41" s="120"/>
    </row>
    <row r="42" spans="5:5">
      <c r="E42" s="120"/>
    </row>
    <row r="43" spans="5:5">
      <c r="E43" s="120"/>
    </row>
    <row r="44" spans="5:5">
      <c r="E44" s="120"/>
    </row>
    <row r="45" spans="5:5">
      <c r="E45" s="120"/>
    </row>
    <row r="46" spans="5:5">
      <c r="E46" s="120"/>
    </row>
    <row r="47" spans="5:5">
      <c r="E47" s="120"/>
    </row>
    <row r="48" spans="5:5">
      <c r="E48" s="120"/>
    </row>
    <row r="49" spans="5:5">
      <c r="E49" s="120"/>
    </row>
    <row r="50" spans="5:5">
      <c r="E50" s="120"/>
    </row>
    <row r="51" spans="5:5">
      <c r="E51" s="120"/>
    </row>
    <row r="52" spans="5:5">
      <c r="E52" s="120"/>
    </row>
    <row r="53" spans="5:5">
      <c r="E53" s="120"/>
    </row>
    <row r="54" spans="5:5">
      <c r="E54" s="120"/>
    </row>
    <row r="55" spans="5:5">
      <c r="E55" s="120"/>
    </row>
    <row r="56" spans="5:5">
      <c r="E56" s="120"/>
    </row>
    <row r="57" spans="5:5">
      <c r="E57" s="120"/>
    </row>
    <row r="58" spans="5:5">
      <c r="E58" s="120"/>
    </row>
    <row r="59" spans="5:5">
      <c r="E59" s="120"/>
    </row>
    <row r="60" spans="5:5">
      <c r="E60" s="120"/>
    </row>
    <row r="61" spans="5:5">
      <c r="E61" s="120"/>
    </row>
    <row r="62" spans="5:5">
      <c r="E62" s="120"/>
    </row>
    <row r="63" spans="5:5">
      <c r="E63" s="120"/>
    </row>
    <row r="64" spans="5:5">
      <c r="E64" s="120"/>
    </row>
    <row r="65" spans="5:5">
      <c r="E65" s="120"/>
    </row>
    <row r="66" spans="5:5">
      <c r="E66" s="120"/>
    </row>
    <row r="67" spans="5:5">
      <c r="E67" s="120"/>
    </row>
    <row r="68" spans="5:5">
      <c r="E68" s="120"/>
    </row>
    <row r="69" spans="5:5">
      <c r="E69" s="120"/>
    </row>
    <row r="70" spans="5:5">
      <c r="E70" s="120"/>
    </row>
    <row r="71" spans="5:5">
      <c r="E71" s="120"/>
    </row>
    <row r="72" spans="5:5">
      <c r="E72" s="120"/>
    </row>
    <row r="73" spans="5:5">
      <c r="E73" s="120"/>
    </row>
    <row r="74" spans="5:5">
      <c r="E74" s="120"/>
    </row>
    <row r="75" spans="5:5">
      <c r="E75" s="120"/>
    </row>
    <row r="76" spans="5:5">
      <c r="E76" s="120"/>
    </row>
    <row r="77" spans="5:5">
      <c r="E77" s="120"/>
    </row>
    <row r="78" spans="5:5">
      <c r="E78" s="120"/>
    </row>
    <row r="79" spans="5:5">
      <c r="E79" s="120"/>
    </row>
    <row r="80" spans="5:5">
      <c r="E80" s="120"/>
    </row>
    <row r="81" spans="5:5">
      <c r="E81" s="120"/>
    </row>
    <row r="82" spans="5:5">
      <c r="E82" s="120"/>
    </row>
    <row r="83" spans="5:5">
      <c r="E83" s="120"/>
    </row>
    <row r="84" spans="5:5">
      <c r="E84" s="120"/>
    </row>
    <row r="85" spans="5:5">
      <c r="E85" s="120"/>
    </row>
    <row r="86" spans="5:5">
      <c r="E86" s="120"/>
    </row>
    <row r="87" spans="5:5">
      <c r="E87" s="120"/>
    </row>
    <row r="88" spans="5:5">
      <c r="E88" s="120"/>
    </row>
    <row r="89" spans="5:5">
      <c r="E89" s="120"/>
    </row>
    <row r="90" spans="5:5">
      <c r="E90" s="120"/>
    </row>
    <row r="91" spans="5:5">
      <c r="E91" s="120"/>
    </row>
    <row r="92" spans="5:5">
      <c r="E92" s="120"/>
    </row>
    <row r="93" spans="5:5">
      <c r="E93" s="120"/>
    </row>
    <row r="94" spans="5:5">
      <c r="E94" s="120"/>
    </row>
    <row r="95" spans="5:5">
      <c r="E95" s="120"/>
    </row>
    <row r="96" spans="5:5">
      <c r="E96" s="120"/>
    </row>
    <row r="97" spans="5:5">
      <c r="E97" s="120"/>
    </row>
    <row r="98" spans="5:5">
      <c r="E98" s="120"/>
    </row>
    <row r="99" spans="5:5">
      <c r="E99" s="120"/>
    </row>
    <row r="100" spans="5:5">
      <c r="E100" s="120"/>
    </row>
    <row r="101" spans="5:5">
      <c r="E101" s="120"/>
    </row>
    <row r="102" spans="5:5">
      <c r="E102" s="120"/>
    </row>
    <row r="103" spans="5:5">
      <c r="E103" s="120"/>
    </row>
    <row r="104" spans="5:5">
      <c r="E104" s="120"/>
    </row>
    <row r="105" spans="5:5">
      <c r="E105" s="120"/>
    </row>
    <row r="106" spans="5:5">
      <c r="E106" s="120"/>
    </row>
    <row r="107" spans="5:5">
      <c r="E107" s="120"/>
    </row>
    <row r="108" spans="5:5">
      <c r="E108" s="120"/>
    </row>
    <row r="109" spans="5:5">
      <c r="E109" s="120"/>
    </row>
    <row r="110" spans="5:5">
      <c r="E110" s="120"/>
    </row>
    <row r="111" spans="5:5">
      <c r="E111" s="120"/>
    </row>
    <row r="112" spans="5:5">
      <c r="E112" s="120"/>
    </row>
    <row r="113" spans="5:5">
      <c r="E113" s="120"/>
    </row>
    <row r="114" spans="5:5">
      <c r="E114" s="120"/>
    </row>
    <row r="115" spans="5:5">
      <c r="E115" s="120"/>
    </row>
    <row r="116" spans="5:5">
      <c r="E116" s="120"/>
    </row>
    <row r="117" spans="5:5">
      <c r="E117" s="120"/>
    </row>
    <row r="118" spans="5:5">
      <c r="E118" s="120"/>
    </row>
    <row r="119" spans="5:5">
      <c r="E119" s="120"/>
    </row>
    <row r="120" spans="5:5">
      <c r="E120" s="120"/>
    </row>
    <row r="121" spans="5:5">
      <c r="E121" s="120"/>
    </row>
    <row r="122" spans="5:5">
      <c r="E122" s="120"/>
    </row>
    <row r="123" spans="5:5">
      <c r="E123" s="120"/>
    </row>
    <row r="124" spans="5:5">
      <c r="E124" s="120"/>
    </row>
    <row r="125" spans="5:5">
      <c r="E125" s="120"/>
    </row>
    <row r="126" spans="5:5">
      <c r="E126" s="120"/>
    </row>
    <row r="127" spans="5:5">
      <c r="E127" s="120"/>
    </row>
    <row r="128" spans="5:5">
      <c r="E128" s="120"/>
    </row>
    <row r="129" spans="5:5">
      <c r="E129" s="120"/>
    </row>
    <row r="130" spans="5:5">
      <c r="E130" s="120"/>
    </row>
    <row r="131" spans="5:5">
      <c r="E131" s="120"/>
    </row>
    <row r="132" spans="5:5">
      <c r="E132" s="120"/>
    </row>
    <row r="133" spans="5:5">
      <c r="E133" s="120"/>
    </row>
    <row r="134" spans="5:5">
      <c r="E134" s="120"/>
    </row>
    <row r="135" spans="5:5">
      <c r="E135" s="120"/>
    </row>
    <row r="136" spans="5:5">
      <c r="E136" s="120"/>
    </row>
    <row r="137" spans="5:5">
      <c r="E137" s="120"/>
    </row>
    <row r="138" spans="5:5">
      <c r="E138" s="120"/>
    </row>
    <row r="139" spans="5:5">
      <c r="E139" s="120"/>
    </row>
    <row r="140" spans="5:5">
      <c r="E140" s="120"/>
    </row>
    <row r="141" spans="5:5">
      <c r="E141" s="120"/>
    </row>
    <row r="142" spans="5:5">
      <c r="E142" s="120"/>
    </row>
    <row r="143" spans="5:5">
      <c r="E143" s="120"/>
    </row>
    <row r="144" spans="5:5">
      <c r="E144" s="120"/>
    </row>
    <row r="145" spans="5:5">
      <c r="E145" s="120"/>
    </row>
    <row r="146" spans="5:5">
      <c r="E146" s="120"/>
    </row>
    <row r="147" spans="5:5">
      <c r="E147" s="120"/>
    </row>
    <row r="148" spans="5:5">
      <c r="E148" s="120"/>
    </row>
    <row r="149" spans="5:5">
      <c r="E149" s="120"/>
    </row>
    <row r="150" spans="5:5">
      <c r="E150" s="120"/>
    </row>
    <row r="151" spans="5:5">
      <c r="E151" s="120"/>
    </row>
    <row r="152" spans="5:5">
      <c r="E152" s="120"/>
    </row>
    <row r="153" spans="5:5">
      <c r="E153" s="120"/>
    </row>
    <row r="154" spans="5:5">
      <c r="E154" s="120"/>
    </row>
    <row r="155" spans="5:5">
      <c r="E155" s="120"/>
    </row>
    <row r="156" spans="5:5">
      <c r="E156" s="120"/>
    </row>
    <row r="157" spans="5:5">
      <c r="E157" s="120"/>
    </row>
    <row r="158" spans="5:5">
      <c r="E158" s="120"/>
    </row>
    <row r="159" spans="5:5">
      <c r="E159" s="120"/>
    </row>
    <row r="160" spans="5:5">
      <c r="E160" s="120"/>
    </row>
    <row r="161" spans="5:5">
      <c r="E161" s="120"/>
    </row>
    <row r="162" spans="5:5">
      <c r="E162" s="120"/>
    </row>
    <row r="163" spans="5:5">
      <c r="E163" s="120"/>
    </row>
    <row r="164" spans="5:5">
      <c r="E164" s="120"/>
    </row>
    <row r="165" spans="5:5">
      <c r="E165" s="120"/>
    </row>
    <row r="166" spans="5:5">
      <c r="E166" s="120"/>
    </row>
    <row r="167" spans="5:5">
      <c r="E167" s="120"/>
    </row>
    <row r="168" spans="5:5">
      <c r="E168" s="120"/>
    </row>
    <row r="169" spans="5:5">
      <c r="E169" s="120"/>
    </row>
    <row r="170" spans="5:5">
      <c r="E170" s="120"/>
    </row>
    <row r="171" spans="5:5">
      <c r="E171" s="120"/>
    </row>
    <row r="172" spans="5:5">
      <c r="E172" s="120"/>
    </row>
    <row r="173" spans="5:5">
      <c r="E173" s="120"/>
    </row>
    <row r="174" spans="5:5">
      <c r="E174" s="120"/>
    </row>
    <row r="175" spans="5:5">
      <c r="E175" s="120"/>
    </row>
    <row r="176" spans="5:5">
      <c r="E176" s="120"/>
    </row>
    <row r="177" spans="5:5">
      <c r="E177" s="120"/>
    </row>
    <row r="178" spans="5:5">
      <c r="E178" s="120"/>
    </row>
    <row r="179" spans="5:5">
      <c r="E179" s="120"/>
    </row>
    <row r="180" spans="5:5">
      <c r="E180" s="120"/>
    </row>
    <row r="181" spans="5:5">
      <c r="E181" s="120"/>
    </row>
    <row r="182" spans="5:5">
      <c r="E182" s="120"/>
    </row>
    <row r="183" spans="5:5">
      <c r="E183" s="120"/>
    </row>
    <row r="184" spans="5:5">
      <c r="E184" s="120"/>
    </row>
    <row r="185" spans="5:5">
      <c r="E185" s="120"/>
    </row>
    <row r="186" spans="5:5">
      <c r="E186" s="120"/>
    </row>
    <row r="187" spans="5:5">
      <c r="E187" s="120"/>
    </row>
    <row r="188" spans="5:5">
      <c r="E188" s="120"/>
    </row>
    <row r="189" spans="5:5">
      <c r="E189" s="120"/>
    </row>
    <row r="190" spans="5:5">
      <c r="E190" s="120"/>
    </row>
    <row r="191" spans="5:5">
      <c r="E191" s="120"/>
    </row>
    <row r="192" spans="5:5">
      <c r="E192" s="120"/>
    </row>
    <row r="193" spans="5:5">
      <c r="E193" s="120"/>
    </row>
    <row r="194" spans="5:5">
      <c r="E194" s="120"/>
    </row>
    <row r="195" spans="5:5">
      <c r="E195" s="120"/>
    </row>
    <row r="196" spans="5:5">
      <c r="E196" s="120"/>
    </row>
    <row r="197" spans="5:5">
      <c r="E197" s="120"/>
    </row>
    <row r="198" spans="5:5">
      <c r="E198" s="120"/>
    </row>
    <row r="199" spans="5:5">
      <c r="E199" s="120"/>
    </row>
    <row r="200" spans="5:5">
      <c r="E200" s="120"/>
    </row>
    <row r="201" spans="5:5">
      <c r="E201" s="120"/>
    </row>
    <row r="202" spans="5:5">
      <c r="E202" s="120"/>
    </row>
    <row r="203" spans="5:5">
      <c r="E203" s="120"/>
    </row>
    <row r="204" spans="5:5">
      <c r="E204" s="120"/>
    </row>
    <row r="205" spans="5:5">
      <c r="E205" s="120"/>
    </row>
    <row r="206" spans="5:5">
      <c r="E206" s="120"/>
    </row>
    <row r="207" spans="5:5">
      <c r="E207" s="120"/>
    </row>
    <row r="208" spans="5:5">
      <c r="E208" s="120"/>
    </row>
    <row r="209" spans="5:5">
      <c r="E209" s="120"/>
    </row>
    <row r="210" spans="5:5">
      <c r="E210" s="120"/>
    </row>
    <row r="211" spans="5:5">
      <c r="E211" s="120"/>
    </row>
    <row r="212" spans="5:5">
      <c r="E212" s="120"/>
    </row>
    <row r="213" spans="5:5">
      <c r="E213" s="120"/>
    </row>
    <row r="214" spans="5:5">
      <c r="E214" s="120"/>
    </row>
    <row r="215" spans="5:5">
      <c r="E215" s="120"/>
    </row>
    <row r="216" spans="5:5">
      <c r="E216" s="120"/>
    </row>
    <row r="217" spans="5:5">
      <c r="E217" s="120"/>
    </row>
    <row r="218" spans="5:5">
      <c r="E218" s="120"/>
    </row>
    <row r="219" spans="5:5">
      <c r="E219" s="120"/>
    </row>
    <row r="220" spans="5:5">
      <c r="E220" s="120"/>
    </row>
    <row r="221" spans="5:5">
      <c r="E221" s="120"/>
    </row>
    <row r="222" spans="5:5">
      <c r="E222" s="120"/>
    </row>
    <row r="223" spans="5:5">
      <c r="E223" s="120"/>
    </row>
    <row r="224" spans="5:5">
      <c r="E224" s="120"/>
    </row>
    <row r="225" spans="5:5">
      <c r="E225" s="120"/>
    </row>
    <row r="226" spans="5:5">
      <c r="E226" s="120"/>
    </row>
    <row r="227" spans="5:5">
      <c r="E227" s="120"/>
    </row>
    <row r="228" spans="5:5">
      <c r="E228" s="120"/>
    </row>
    <row r="229" spans="5:5">
      <c r="E229" s="120"/>
    </row>
    <row r="230" spans="5:5">
      <c r="E230" s="120"/>
    </row>
    <row r="231" spans="5:5">
      <c r="E231" s="120"/>
    </row>
    <row r="232" spans="5:5">
      <c r="E232" s="120"/>
    </row>
    <row r="233" spans="5:5">
      <c r="E233" s="120"/>
    </row>
    <row r="234" spans="5:5">
      <c r="E234" s="120"/>
    </row>
    <row r="235" spans="5:5">
      <c r="E235" s="120"/>
    </row>
    <row r="236" spans="5:5">
      <c r="E236" s="120"/>
    </row>
    <row r="237" spans="5:5">
      <c r="E237" s="120"/>
    </row>
    <row r="238" spans="5:5">
      <c r="E238" s="120"/>
    </row>
    <row r="239" spans="5:5">
      <c r="E239" s="120"/>
    </row>
    <row r="240" spans="5:5">
      <c r="E240" s="120"/>
    </row>
    <row r="241" spans="5:5">
      <c r="E241" s="120"/>
    </row>
    <row r="242" spans="5:5">
      <c r="E242" s="120"/>
    </row>
    <row r="243" spans="5:5">
      <c r="E243" s="120"/>
    </row>
    <row r="244" spans="5:5">
      <c r="E244" s="120"/>
    </row>
    <row r="245" spans="5:5">
      <c r="E245" s="120"/>
    </row>
    <row r="246" spans="5:5">
      <c r="E246" s="120"/>
    </row>
    <row r="247" spans="5:5">
      <c r="E247" s="120"/>
    </row>
    <row r="248" spans="5:5">
      <c r="E248" s="120"/>
    </row>
    <row r="249" spans="5:5">
      <c r="E249" s="120"/>
    </row>
    <row r="250" spans="5:5">
      <c r="E250" s="120"/>
    </row>
    <row r="251" spans="5:5">
      <c r="E251" s="120"/>
    </row>
    <row r="252" spans="5:5">
      <c r="E252" s="120"/>
    </row>
    <row r="253" spans="5:5">
      <c r="E253" s="120"/>
    </row>
    <row r="254" spans="5:5">
      <c r="E254" s="120"/>
    </row>
    <row r="255" spans="5:5">
      <c r="E255" s="120"/>
    </row>
    <row r="256" spans="5:5">
      <c r="E256" s="120"/>
    </row>
    <row r="257" spans="5:5">
      <c r="E257" s="120"/>
    </row>
    <row r="258" spans="5:5">
      <c r="E258" s="120"/>
    </row>
    <row r="259" spans="5:5">
      <c r="E259" s="120"/>
    </row>
    <row r="260" spans="5:5">
      <c r="E260" s="120"/>
    </row>
    <row r="261" spans="5:5">
      <c r="E261" s="120"/>
    </row>
    <row r="262" spans="5:5">
      <c r="E262" s="120"/>
    </row>
    <row r="263" spans="5:5">
      <c r="E263" s="120"/>
    </row>
    <row r="264" spans="5:5">
      <c r="E264" s="120"/>
    </row>
    <row r="265" spans="5:5">
      <c r="E265" s="120"/>
    </row>
    <row r="266" spans="5:5">
      <c r="E266" s="120"/>
    </row>
    <row r="267" spans="5:5">
      <c r="E267" s="120"/>
    </row>
    <row r="268" spans="5:5">
      <c r="E268" s="120"/>
    </row>
    <row r="269" spans="5:5">
      <c r="E269" s="120"/>
    </row>
    <row r="270" spans="5:5">
      <c r="E270" s="120"/>
    </row>
    <row r="271" spans="5:5">
      <c r="E271" s="120"/>
    </row>
    <row r="272" spans="5:5">
      <c r="E272" s="120"/>
    </row>
    <row r="273" spans="5:5">
      <c r="E273" s="120"/>
    </row>
    <row r="274" spans="5:5">
      <c r="E274" s="120"/>
    </row>
    <row r="275" spans="5:5">
      <c r="E275" s="120"/>
    </row>
    <row r="276" spans="5:5">
      <c r="E276" s="120"/>
    </row>
    <row r="277" spans="5:5">
      <c r="E277" s="120"/>
    </row>
    <row r="278" spans="5:5">
      <c r="E278" s="120"/>
    </row>
    <row r="279" spans="5:5">
      <c r="E279" s="120"/>
    </row>
    <row r="280" spans="5:5">
      <c r="E280" s="120"/>
    </row>
    <row r="281" spans="5:5">
      <c r="E281" s="120"/>
    </row>
    <row r="282" spans="5:5">
      <c r="E282" s="120"/>
    </row>
    <row r="283" spans="5:5">
      <c r="E283" s="120"/>
    </row>
    <row r="284" spans="5:5">
      <c r="E284" s="120"/>
    </row>
    <row r="285" spans="5:5">
      <c r="E285" s="120"/>
    </row>
    <row r="286" spans="5:5">
      <c r="E286" s="120"/>
    </row>
    <row r="287" spans="5:5">
      <c r="E287" s="120"/>
    </row>
    <row r="288" spans="5:5">
      <c r="E288" s="120"/>
    </row>
    <row r="289" spans="5:5">
      <c r="E289" s="120"/>
    </row>
    <row r="290" spans="5:5">
      <c r="E290" s="120"/>
    </row>
    <row r="291" spans="5:5">
      <c r="E291" s="120"/>
    </row>
    <row r="292" spans="5:5">
      <c r="E292" s="120"/>
    </row>
    <row r="293" spans="5:5">
      <c r="E293" s="120"/>
    </row>
    <row r="294" spans="5:5">
      <c r="E294" s="120"/>
    </row>
    <row r="295" spans="5:5">
      <c r="E295" s="120"/>
    </row>
    <row r="296" spans="5:5">
      <c r="E296" s="120"/>
    </row>
    <row r="297" spans="5:5">
      <c r="E297" s="120"/>
    </row>
    <row r="298" spans="5:5">
      <c r="E298" s="120"/>
    </row>
    <row r="299" spans="5:5">
      <c r="E299" s="120"/>
    </row>
    <row r="300" spans="5:5">
      <c r="E300" s="120"/>
    </row>
    <row r="301" spans="5:5">
      <c r="E301" s="120"/>
    </row>
    <row r="302" spans="5:5">
      <c r="E302" s="120"/>
    </row>
    <row r="303" spans="5:5">
      <c r="E303" s="120"/>
    </row>
    <row r="304" spans="5:5">
      <c r="E304" s="120"/>
    </row>
    <row r="305" spans="5:5">
      <c r="E305" s="120"/>
    </row>
    <row r="306" spans="5:5">
      <c r="E306" s="120"/>
    </row>
    <row r="307" spans="5:5">
      <c r="E307" s="120"/>
    </row>
    <row r="308" spans="5:5">
      <c r="E308" s="120"/>
    </row>
    <row r="309" spans="5:5">
      <c r="E309" s="120"/>
    </row>
    <row r="310" spans="5:5">
      <c r="E310" s="120"/>
    </row>
    <row r="311" spans="5:5">
      <c r="E311" s="120"/>
    </row>
    <row r="312" spans="5:5">
      <c r="E312" s="120"/>
    </row>
    <row r="313" spans="5:5">
      <c r="E313" s="120"/>
    </row>
    <row r="314" spans="5:5">
      <c r="E314" s="120"/>
    </row>
    <row r="315" spans="5:5">
      <c r="E315" s="120"/>
    </row>
    <row r="316" spans="5:5">
      <c r="E316" s="120"/>
    </row>
    <row r="317" spans="5:5">
      <c r="E317" s="120"/>
    </row>
    <row r="318" spans="5:5">
      <c r="E318" s="120"/>
    </row>
    <row r="319" spans="5:5">
      <c r="E319" s="120"/>
    </row>
    <row r="320" spans="5:5">
      <c r="E320" s="120"/>
    </row>
    <row r="321" spans="5:5">
      <c r="E321" s="120"/>
    </row>
    <row r="322" spans="5:5">
      <c r="E322" s="120"/>
    </row>
    <row r="323" spans="5:5">
      <c r="E323" s="120"/>
    </row>
    <row r="324" spans="5:5">
      <c r="E324" s="120"/>
    </row>
    <row r="325" spans="5:5">
      <c r="E325" s="120"/>
    </row>
    <row r="326" spans="5:5">
      <c r="E326" s="120"/>
    </row>
    <row r="327" spans="5:5">
      <c r="E327" s="120"/>
    </row>
    <row r="328" spans="5:5">
      <c r="E328" s="120"/>
    </row>
    <row r="329" spans="5:5">
      <c r="E329" s="120"/>
    </row>
    <row r="330" spans="5:5">
      <c r="E330" s="120"/>
    </row>
    <row r="331" spans="5:5">
      <c r="E331" s="120"/>
    </row>
    <row r="332" spans="5:5">
      <c r="E332" s="120"/>
    </row>
    <row r="333" spans="5:5">
      <c r="E333" s="120"/>
    </row>
    <row r="334" spans="5:5">
      <c r="E334" s="120"/>
    </row>
    <row r="335" spans="5:5">
      <c r="E335" s="120"/>
    </row>
    <row r="336" spans="5:5">
      <c r="E336" s="120"/>
    </row>
    <row r="337" spans="5:5">
      <c r="E337" s="120"/>
    </row>
    <row r="338" spans="5:5">
      <c r="E338" s="120"/>
    </row>
    <row r="339" spans="5:5">
      <c r="E339" s="120"/>
    </row>
    <row r="340" spans="5:5">
      <c r="E340" s="120"/>
    </row>
    <row r="341" spans="5:5">
      <c r="E341" s="120"/>
    </row>
    <row r="342" spans="5:5">
      <c r="E342" s="120"/>
    </row>
    <row r="343" spans="5:5">
      <c r="E343" s="120"/>
    </row>
    <row r="344" spans="5:5">
      <c r="E344" s="120"/>
    </row>
    <row r="345" spans="5:5">
      <c r="E345" s="120"/>
    </row>
    <row r="346" spans="5:5">
      <c r="E346" s="120"/>
    </row>
    <row r="347" spans="5:5">
      <c r="E347" s="120"/>
    </row>
    <row r="348" spans="5:5">
      <c r="E348" s="120"/>
    </row>
    <row r="349" spans="5:5">
      <c r="E349" s="120"/>
    </row>
    <row r="350" spans="5:5">
      <c r="E350" s="120"/>
    </row>
    <row r="351" spans="5:5">
      <c r="E351" s="120"/>
    </row>
    <row r="352" spans="5:5">
      <c r="E352" s="120"/>
    </row>
    <row r="353" spans="5:5">
      <c r="E353" s="120"/>
    </row>
    <row r="354" spans="5:5">
      <c r="E354" s="120"/>
    </row>
    <row r="355" spans="5:5">
      <c r="E355" s="120"/>
    </row>
    <row r="356" spans="5:5">
      <c r="E356" s="120"/>
    </row>
    <row r="357" spans="5:5">
      <c r="E357" s="120"/>
    </row>
    <row r="358" spans="5:5">
      <c r="E358" s="120"/>
    </row>
    <row r="359" spans="5:5">
      <c r="E359" s="120"/>
    </row>
    <row r="360" spans="5:5">
      <c r="E360" s="120"/>
    </row>
    <row r="361" spans="5:5">
      <c r="E361" s="120"/>
    </row>
    <row r="362" spans="5:5">
      <c r="E362" s="120"/>
    </row>
    <row r="363" spans="5:5">
      <c r="E363" s="120"/>
    </row>
    <row r="364" spans="5:5">
      <c r="E364" s="120"/>
    </row>
    <row r="365" spans="5:5">
      <c r="E365" s="120"/>
    </row>
    <row r="366" spans="5:5">
      <c r="E366" s="120"/>
    </row>
    <row r="367" spans="5:5">
      <c r="E367" s="120"/>
    </row>
    <row r="368" spans="5:5">
      <c r="E368" s="120"/>
    </row>
    <row r="369" spans="5:5">
      <c r="E369" s="120"/>
    </row>
    <row r="370" spans="5:5">
      <c r="E370" s="120"/>
    </row>
    <row r="371" spans="5:5">
      <c r="E371" s="120"/>
    </row>
    <row r="372" spans="5:5">
      <c r="E372" s="120"/>
    </row>
    <row r="373" spans="5:5">
      <c r="E373" s="120"/>
    </row>
    <row r="374" spans="5:5">
      <c r="E374" s="120"/>
    </row>
    <row r="375" spans="5:5">
      <c r="E375" s="120"/>
    </row>
    <row r="376" spans="5:5">
      <c r="E376" s="120"/>
    </row>
    <row r="377" spans="5:5">
      <c r="E377" s="120"/>
    </row>
    <row r="378" spans="5:5">
      <c r="E378" s="120"/>
    </row>
    <row r="379" spans="5:5">
      <c r="E379" s="120"/>
    </row>
    <row r="380" spans="5:5">
      <c r="E380" s="120"/>
    </row>
    <row r="381" spans="5:5">
      <c r="E381" s="120"/>
    </row>
    <row r="382" spans="5:5">
      <c r="E382" s="120"/>
    </row>
    <row r="383" spans="5:5">
      <c r="E383" s="120"/>
    </row>
    <row r="384" spans="5:5">
      <c r="E384" s="120"/>
    </row>
    <row r="385" spans="5:5">
      <c r="E385" s="120"/>
    </row>
    <row r="386" spans="5:5">
      <c r="E386" s="120"/>
    </row>
    <row r="387" spans="5:5">
      <c r="E387" s="120"/>
    </row>
    <row r="388" spans="5:5">
      <c r="E388" s="120"/>
    </row>
    <row r="389" spans="5:5">
      <c r="E389" s="120"/>
    </row>
    <row r="390" spans="5:5">
      <c r="E390" s="120"/>
    </row>
    <row r="391" spans="5:5">
      <c r="E391" s="120"/>
    </row>
    <row r="392" spans="5:5">
      <c r="E392" s="120"/>
    </row>
    <row r="393" spans="5:5">
      <c r="E393" s="120"/>
    </row>
    <row r="394" spans="5:5">
      <c r="E394" s="120"/>
    </row>
    <row r="395" spans="5:5">
      <c r="E395" s="120"/>
    </row>
    <row r="396" spans="5:5">
      <c r="E396" s="120"/>
    </row>
    <row r="397" spans="5:5">
      <c r="E397" s="120"/>
    </row>
    <row r="398" spans="5:5">
      <c r="E398" s="120"/>
    </row>
    <row r="399" spans="5:5">
      <c r="E399" s="120"/>
    </row>
    <row r="400" spans="5:5">
      <c r="E400" s="120"/>
    </row>
    <row r="401" spans="5:5">
      <c r="E401" s="120"/>
    </row>
    <row r="402" spans="5:5">
      <c r="E402" s="120"/>
    </row>
    <row r="403" spans="5:5">
      <c r="E403" s="120"/>
    </row>
    <row r="404" spans="5:5">
      <c r="E404" s="120"/>
    </row>
    <row r="405" spans="5:5">
      <c r="E405" s="120"/>
    </row>
    <row r="406" spans="5:5">
      <c r="E406" s="120"/>
    </row>
    <row r="407" spans="5:5">
      <c r="E407" s="120"/>
    </row>
    <row r="408" spans="5:5">
      <c r="E408" s="120"/>
    </row>
    <row r="409" spans="5:5">
      <c r="E409" s="120"/>
    </row>
    <row r="410" spans="5:5">
      <c r="E410" s="120"/>
    </row>
    <row r="411" spans="5:5">
      <c r="E411" s="120"/>
    </row>
    <row r="412" spans="5:5">
      <c r="E412" s="120"/>
    </row>
    <row r="413" spans="5:5">
      <c r="E413" s="120"/>
    </row>
    <row r="414" spans="5:5">
      <c r="E414" s="120"/>
    </row>
    <row r="415" spans="5:5">
      <c r="E415" s="120"/>
    </row>
    <row r="416" spans="5:5">
      <c r="E416" s="120"/>
    </row>
    <row r="417" spans="5:5">
      <c r="E417" s="120"/>
    </row>
    <row r="418" spans="5:5">
      <c r="E418" s="120"/>
    </row>
    <row r="419" spans="5:5">
      <c r="E419" s="120"/>
    </row>
    <row r="420" spans="5:5">
      <c r="E420" s="120"/>
    </row>
    <row r="421" spans="5:5">
      <c r="E421" s="120"/>
    </row>
    <row r="422" spans="5:5">
      <c r="E422" s="120"/>
    </row>
    <row r="423" spans="5:5">
      <c r="E423" s="120"/>
    </row>
    <row r="424" spans="5:5">
      <c r="E424" s="120"/>
    </row>
    <row r="425" spans="5:5">
      <c r="E425" s="120"/>
    </row>
    <row r="426" spans="5:5">
      <c r="E426" s="120"/>
    </row>
    <row r="427" spans="5:5">
      <c r="E427" s="120"/>
    </row>
    <row r="428" spans="5:5">
      <c r="E428" s="120"/>
    </row>
    <row r="429" spans="5:5">
      <c r="E429" s="120"/>
    </row>
    <row r="430" spans="5:5">
      <c r="E430" s="120"/>
    </row>
    <row r="431" spans="5:5">
      <c r="E431" s="120"/>
    </row>
    <row r="432" spans="5:5">
      <c r="E432" s="120"/>
    </row>
    <row r="433" spans="5:5">
      <c r="E433" s="120"/>
    </row>
    <row r="434" spans="5:5">
      <c r="E434" s="120"/>
    </row>
    <row r="435" spans="5:5">
      <c r="E435" s="120"/>
    </row>
    <row r="436" spans="5:5">
      <c r="E436" s="120"/>
    </row>
    <row r="437" spans="5:5">
      <c r="E437" s="120"/>
    </row>
    <row r="438" spans="5:5">
      <c r="E438" s="120"/>
    </row>
    <row r="439" spans="5:5">
      <c r="E439" s="120"/>
    </row>
    <row r="440" spans="5:5">
      <c r="E440" s="120"/>
    </row>
    <row r="441" spans="5:5">
      <c r="E441" s="120"/>
    </row>
    <row r="442" spans="5:5">
      <c r="E442" s="120"/>
    </row>
    <row r="443" spans="5:5">
      <c r="E443" s="120"/>
    </row>
    <row r="444" spans="5:5">
      <c r="E444" s="120"/>
    </row>
    <row r="445" spans="5:5">
      <c r="E445" s="120"/>
    </row>
    <row r="446" spans="5:5">
      <c r="E446" s="120"/>
    </row>
    <row r="447" spans="5:5">
      <c r="E447" s="120"/>
    </row>
    <row r="448" spans="5:5">
      <c r="E448" s="120"/>
    </row>
    <row r="449" spans="5:5">
      <c r="E449" s="120"/>
    </row>
    <row r="450" spans="5:5">
      <c r="E450" s="120"/>
    </row>
    <row r="451" spans="5:5">
      <c r="E451" s="120"/>
    </row>
    <row r="452" spans="5:5">
      <c r="E452" s="120"/>
    </row>
    <row r="453" spans="5:5">
      <c r="E453" s="120"/>
    </row>
    <row r="454" spans="5:5">
      <c r="E454" s="120"/>
    </row>
    <row r="455" spans="5:5">
      <c r="E455" s="120"/>
    </row>
    <row r="456" spans="5:5">
      <c r="E456" s="120"/>
    </row>
    <row r="457" spans="5:5">
      <c r="E457" s="120"/>
    </row>
    <row r="458" spans="5:5">
      <c r="E458" s="120"/>
    </row>
    <row r="459" spans="5:5">
      <c r="E459" s="120"/>
    </row>
    <row r="460" spans="5:5">
      <c r="E460" s="120"/>
    </row>
    <row r="461" spans="5:5">
      <c r="E461" s="120"/>
    </row>
    <row r="462" spans="5:5">
      <c r="E462" s="120"/>
    </row>
    <row r="463" spans="5:5">
      <c r="E463" s="120"/>
    </row>
    <row r="464" spans="5:5">
      <c r="E464" s="120"/>
    </row>
    <row r="465" spans="5:5">
      <c r="E465" s="120"/>
    </row>
    <row r="466" spans="5:5">
      <c r="E466" s="120"/>
    </row>
    <row r="467" spans="5:5">
      <c r="E467" s="120"/>
    </row>
    <row r="468" spans="5:5">
      <c r="E468" s="120"/>
    </row>
    <row r="469" spans="5:5">
      <c r="E469" s="120"/>
    </row>
    <row r="470" spans="5:5">
      <c r="E470" s="120"/>
    </row>
    <row r="471" spans="5:5">
      <c r="E471" s="120"/>
    </row>
    <row r="472" spans="5:5">
      <c r="E472" s="120"/>
    </row>
    <row r="473" spans="5:5">
      <c r="E473" s="120"/>
    </row>
    <row r="474" spans="5:5">
      <c r="E474" s="120"/>
    </row>
    <row r="475" spans="5:5">
      <c r="E475" s="120"/>
    </row>
    <row r="476" spans="5:5">
      <c r="E476" s="120"/>
    </row>
    <row r="477" spans="5:5">
      <c r="E477" s="120"/>
    </row>
    <row r="478" spans="5:5">
      <c r="E478" s="120"/>
    </row>
    <row r="479" spans="5:5">
      <c r="E479" s="120"/>
    </row>
    <row r="480" spans="5:5">
      <c r="E480" s="120"/>
    </row>
    <row r="481" spans="5:5">
      <c r="E481" s="120"/>
    </row>
    <row r="482" spans="5:5">
      <c r="E482" s="120"/>
    </row>
    <row r="483" spans="5:5">
      <c r="E483" s="120"/>
    </row>
    <row r="484" spans="5:5">
      <c r="E484" s="120"/>
    </row>
    <row r="485" spans="5:5">
      <c r="E485" s="120"/>
    </row>
    <row r="486" spans="5:5">
      <c r="E486" s="120"/>
    </row>
    <row r="487" spans="5:5">
      <c r="E487" s="120"/>
    </row>
    <row r="488" spans="5:5">
      <c r="E488" s="120"/>
    </row>
    <row r="489" spans="5:5">
      <c r="E489" s="120"/>
    </row>
    <row r="490" spans="5:5">
      <c r="E490" s="120"/>
    </row>
    <row r="491" spans="5:5">
      <c r="E491" s="120"/>
    </row>
    <row r="492" spans="5:5">
      <c r="E492" s="120"/>
    </row>
    <row r="493" spans="5:5">
      <c r="E493" s="120"/>
    </row>
    <row r="494" spans="5:5">
      <c r="E494" s="120"/>
    </row>
    <row r="495" spans="5:5">
      <c r="E495" s="120"/>
    </row>
    <row r="496" spans="5:5">
      <c r="E496" s="120"/>
    </row>
    <row r="497" spans="5:5">
      <c r="E497" s="120"/>
    </row>
    <row r="498" spans="5:5">
      <c r="E498" s="120"/>
    </row>
    <row r="499" spans="5:5">
      <c r="E499" s="120"/>
    </row>
    <row r="500" spans="5:5">
      <c r="E500" s="120"/>
    </row>
    <row r="501" spans="5:5">
      <c r="E501" s="120"/>
    </row>
    <row r="502" spans="5:5">
      <c r="E502" s="120"/>
    </row>
    <row r="503" spans="5:5">
      <c r="E503" s="120"/>
    </row>
    <row r="504" spans="5:5">
      <c r="E504" s="120"/>
    </row>
    <row r="505" spans="5:5">
      <c r="E505" s="120"/>
    </row>
    <row r="506" spans="5:5">
      <c r="E506" s="120"/>
    </row>
    <row r="507" spans="5:5">
      <c r="E507" s="120"/>
    </row>
    <row r="508" spans="5:5">
      <c r="E508" s="120"/>
    </row>
    <row r="509" spans="5:5">
      <c r="E509" s="120"/>
    </row>
    <row r="510" spans="5:5">
      <c r="E510" s="120"/>
    </row>
    <row r="511" spans="5:5">
      <c r="E511" s="120"/>
    </row>
    <row r="512" spans="5:5">
      <c r="E512" s="120"/>
    </row>
    <row r="513" spans="5:5">
      <c r="E513" s="120"/>
    </row>
    <row r="514" spans="5:5">
      <c r="E514" s="120"/>
    </row>
    <row r="515" spans="5:5">
      <c r="E515" s="120"/>
    </row>
    <row r="516" spans="5:5">
      <c r="E516" s="120"/>
    </row>
    <row r="517" spans="5:5">
      <c r="E517" s="120"/>
    </row>
    <row r="518" spans="5:5">
      <c r="E518" s="120"/>
    </row>
    <row r="519" spans="5:5">
      <c r="E519" s="120"/>
    </row>
    <row r="520" spans="5:5">
      <c r="E520" s="120"/>
    </row>
    <row r="521" spans="5:5">
      <c r="E521" s="120"/>
    </row>
    <row r="522" spans="5:5">
      <c r="E522" s="120"/>
    </row>
    <row r="523" spans="5:5">
      <c r="E523" s="120"/>
    </row>
    <row r="524" spans="5:5">
      <c r="E524" s="120"/>
    </row>
    <row r="525" spans="5:5">
      <c r="E525" s="120"/>
    </row>
    <row r="526" spans="5:5">
      <c r="E526" s="120"/>
    </row>
    <row r="527" spans="5:5">
      <c r="E527" s="120"/>
    </row>
    <row r="528" spans="5:5">
      <c r="E528" s="120"/>
    </row>
    <row r="529" spans="5:5">
      <c r="E529" s="120"/>
    </row>
    <row r="530" spans="5:5">
      <c r="E530" s="120"/>
    </row>
    <row r="531" spans="5:5">
      <c r="E531" s="120"/>
    </row>
    <row r="532" spans="5:5">
      <c r="E532" s="120"/>
    </row>
    <row r="533" spans="5:5">
      <c r="E533" s="120"/>
    </row>
    <row r="534" spans="5:5">
      <c r="E534" s="120"/>
    </row>
    <row r="535" spans="5:5">
      <c r="E535" s="120"/>
    </row>
    <row r="536" spans="5:5">
      <c r="E536" s="120"/>
    </row>
    <row r="537" spans="5:5">
      <c r="E537" s="120"/>
    </row>
    <row r="538" spans="5:5">
      <c r="E538" s="120"/>
    </row>
    <row r="539" spans="5:5">
      <c r="E539" s="120"/>
    </row>
    <row r="540" spans="5:5">
      <c r="E540" s="120"/>
    </row>
    <row r="541" spans="5:5">
      <c r="E541" s="120"/>
    </row>
    <row r="542" spans="5:5">
      <c r="E542" s="120"/>
    </row>
    <row r="543" spans="5:5">
      <c r="E543" s="120"/>
    </row>
    <row r="544" spans="5:5">
      <c r="E544" s="120"/>
    </row>
    <row r="545" spans="5:5">
      <c r="E545" s="120"/>
    </row>
    <row r="546" spans="5:5">
      <c r="E546" s="120"/>
    </row>
    <row r="547" spans="5:5">
      <c r="E547" s="120"/>
    </row>
    <row r="548" spans="5:5">
      <c r="E548" s="120"/>
    </row>
    <row r="549" spans="5:5">
      <c r="E549" s="120"/>
    </row>
    <row r="550" spans="5:5">
      <c r="E550" s="120"/>
    </row>
    <row r="551" spans="5:5">
      <c r="E551" s="120"/>
    </row>
    <row r="552" spans="5:5">
      <c r="E552" s="120"/>
    </row>
    <row r="553" spans="5:5">
      <c r="E553" s="120"/>
    </row>
    <row r="554" spans="5:5">
      <c r="E554" s="120"/>
    </row>
    <row r="555" spans="5:5">
      <c r="E555" s="120"/>
    </row>
    <row r="556" spans="5:5">
      <c r="E556" s="120"/>
    </row>
    <row r="557" spans="5:5">
      <c r="E557" s="120"/>
    </row>
    <row r="558" spans="5:5">
      <c r="E558" s="120"/>
    </row>
    <row r="559" spans="5:5">
      <c r="E559" s="120"/>
    </row>
    <row r="560" spans="5:5">
      <c r="E560" s="120"/>
    </row>
    <row r="561" spans="5:5">
      <c r="E561" s="120"/>
    </row>
    <row r="562" spans="5:5">
      <c r="E562" s="120"/>
    </row>
    <row r="563" spans="5:5">
      <c r="E563" s="120"/>
    </row>
    <row r="564" spans="5:5">
      <c r="E564" s="120"/>
    </row>
    <row r="565" spans="5:5">
      <c r="E565" s="120"/>
    </row>
    <row r="566" spans="5:5">
      <c r="E566" s="120"/>
    </row>
    <row r="567" spans="5:5">
      <c r="E567" s="120"/>
    </row>
    <row r="568" spans="5:5">
      <c r="E568" s="120"/>
    </row>
    <row r="569" spans="5:5">
      <c r="E569" s="120"/>
    </row>
    <row r="570" spans="5:5">
      <c r="E570" s="120"/>
    </row>
    <row r="571" spans="5:5">
      <c r="E571" s="120"/>
    </row>
    <row r="572" spans="5:5">
      <c r="E572" s="120"/>
    </row>
    <row r="573" spans="5:5">
      <c r="E573" s="120"/>
    </row>
    <row r="574" spans="5:5">
      <c r="E574" s="120"/>
    </row>
    <row r="575" spans="5:5">
      <c r="E575" s="120"/>
    </row>
    <row r="576" spans="5:5">
      <c r="E576" s="120"/>
    </row>
    <row r="577" spans="5:5">
      <c r="E577" s="120"/>
    </row>
    <row r="578" spans="5:5">
      <c r="E578" s="120"/>
    </row>
    <row r="579" spans="5:5">
      <c r="E579" s="120"/>
    </row>
    <row r="580" spans="5:5">
      <c r="E580" s="120"/>
    </row>
    <row r="581" spans="5:5">
      <c r="E581" s="120"/>
    </row>
    <row r="582" spans="5:5">
      <c r="E582" s="120"/>
    </row>
    <row r="583" spans="5:5">
      <c r="E583" s="120"/>
    </row>
    <row r="584" spans="5:5">
      <c r="E584" s="120"/>
    </row>
    <row r="585" spans="5:5">
      <c r="E585" s="120"/>
    </row>
    <row r="586" spans="5:5">
      <c r="E586" s="120"/>
    </row>
    <row r="587" spans="5:5">
      <c r="E587" s="120"/>
    </row>
    <row r="588" spans="5:5">
      <c r="E588" s="120"/>
    </row>
    <row r="589" spans="5:5">
      <c r="E589" s="120"/>
    </row>
    <row r="590" spans="5:5">
      <c r="E590" s="120"/>
    </row>
    <row r="591" spans="5:5">
      <c r="E591" s="120"/>
    </row>
    <row r="592" spans="5:5">
      <c r="E592" s="120"/>
    </row>
    <row r="593" spans="5:5">
      <c r="E593" s="120"/>
    </row>
    <row r="594" spans="5:5">
      <c r="E594" s="120"/>
    </row>
    <row r="595" spans="5:5">
      <c r="E595" s="120"/>
    </row>
    <row r="596" spans="5:5">
      <c r="E596" s="120"/>
    </row>
    <row r="597" spans="5:5">
      <c r="E597" s="120"/>
    </row>
    <row r="598" spans="5:5">
      <c r="E598" s="120"/>
    </row>
    <row r="599" spans="5:5">
      <c r="E599" s="120"/>
    </row>
    <row r="600" spans="5:5">
      <c r="E600" s="120"/>
    </row>
    <row r="601" spans="5:5">
      <c r="E601" s="120"/>
    </row>
    <row r="602" spans="5:5">
      <c r="E602" s="120"/>
    </row>
    <row r="603" spans="5:5">
      <c r="E603" s="120"/>
    </row>
    <row r="604" spans="5:5">
      <c r="E604" s="120"/>
    </row>
    <row r="605" spans="5:5">
      <c r="E605" s="120"/>
    </row>
    <row r="606" spans="5:5">
      <c r="E606" s="120"/>
    </row>
    <row r="607" spans="5:5">
      <c r="E607" s="120"/>
    </row>
    <row r="608" spans="5:5">
      <c r="E608" s="120"/>
    </row>
    <row r="609" spans="5:5">
      <c r="E609" s="120"/>
    </row>
    <row r="610" spans="5:5">
      <c r="E610" s="120"/>
    </row>
    <row r="611" spans="5:5">
      <c r="E611" s="120"/>
    </row>
    <row r="612" spans="5:5">
      <c r="E612" s="120"/>
    </row>
    <row r="613" spans="5:5">
      <c r="E613" s="120"/>
    </row>
    <row r="614" spans="5:5">
      <c r="E614" s="120"/>
    </row>
    <row r="615" spans="5:5">
      <c r="E615" s="120"/>
    </row>
    <row r="616" spans="5:5">
      <c r="E616" s="120"/>
    </row>
    <row r="617" spans="5:5">
      <c r="E617" s="120"/>
    </row>
    <row r="618" spans="5:5">
      <c r="E618" s="120"/>
    </row>
    <row r="619" spans="5:5">
      <c r="E619" s="120"/>
    </row>
    <row r="620" spans="5:5">
      <c r="E620" s="120"/>
    </row>
    <row r="621" spans="5:5">
      <c r="E621" s="120"/>
    </row>
    <row r="622" spans="5:5">
      <c r="E622" s="120"/>
    </row>
    <row r="623" spans="5:5">
      <c r="E623" s="120"/>
    </row>
    <row r="624" spans="5:5">
      <c r="E624" s="120"/>
    </row>
    <row r="625" spans="5:5">
      <c r="E625" s="120"/>
    </row>
    <row r="626" spans="5:5">
      <c r="E626" s="120"/>
    </row>
    <row r="627" spans="5:5">
      <c r="E627" s="120"/>
    </row>
    <row r="628" spans="5:5">
      <c r="E628" s="120"/>
    </row>
    <row r="629" spans="5:5">
      <c r="E629" s="120"/>
    </row>
    <row r="630" spans="5:5">
      <c r="E630" s="120"/>
    </row>
    <row r="631" spans="5:5">
      <c r="E631" s="120"/>
    </row>
    <row r="632" spans="5:5">
      <c r="E632" s="120"/>
    </row>
    <row r="633" spans="5:5">
      <c r="E633" s="120"/>
    </row>
    <row r="634" spans="5:5">
      <c r="E634" s="120"/>
    </row>
    <row r="635" spans="5:5">
      <c r="E635" s="120"/>
    </row>
    <row r="636" spans="5:5">
      <c r="E636" s="120"/>
    </row>
    <row r="637" spans="5:5">
      <c r="E637" s="120"/>
    </row>
    <row r="638" spans="5:5">
      <c r="E638" s="120"/>
    </row>
    <row r="639" spans="5:5">
      <c r="E639" s="120"/>
    </row>
    <row r="640" spans="5:5">
      <c r="E640" s="120"/>
    </row>
    <row r="641" spans="5:5">
      <c r="E641" s="120"/>
    </row>
    <row r="642" spans="5:5">
      <c r="E642" s="120"/>
    </row>
    <row r="643" spans="5:5">
      <c r="E643" s="120"/>
    </row>
    <row r="644" spans="5:5">
      <c r="E644" s="120"/>
    </row>
    <row r="645" spans="5:5">
      <c r="E645" s="120"/>
    </row>
    <row r="646" spans="5:5">
      <c r="E646" s="120"/>
    </row>
    <row r="647" spans="5:5">
      <c r="E647" s="120"/>
    </row>
    <row r="648" spans="5:5">
      <c r="E648" s="120"/>
    </row>
    <row r="649" spans="5:5">
      <c r="E649" s="120"/>
    </row>
    <row r="650" spans="5:5">
      <c r="E650" s="120"/>
    </row>
    <row r="651" spans="5:5">
      <c r="E651" s="120"/>
    </row>
    <row r="652" spans="5:5">
      <c r="E652" s="120"/>
    </row>
    <row r="653" spans="5:5">
      <c r="E653" s="120"/>
    </row>
    <row r="654" spans="5:5">
      <c r="E654" s="120"/>
    </row>
    <row r="655" spans="5:5">
      <c r="E655" s="120"/>
    </row>
    <row r="656" spans="5:5">
      <c r="E656" s="120"/>
    </row>
    <row r="657" spans="5:5">
      <c r="E657" s="120"/>
    </row>
    <row r="658" spans="5:5">
      <c r="E658" s="120"/>
    </row>
    <row r="659" spans="5:5">
      <c r="E659" s="120"/>
    </row>
    <row r="660" spans="5:5">
      <c r="E660" s="120"/>
    </row>
    <row r="661" spans="5:5">
      <c r="E661" s="120"/>
    </row>
    <row r="662" spans="5:5">
      <c r="E662" s="120"/>
    </row>
    <row r="663" spans="5:5">
      <c r="E663" s="120"/>
    </row>
    <row r="664" spans="5:5">
      <c r="E664" s="120"/>
    </row>
    <row r="665" spans="5:5">
      <c r="E665" s="120"/>
    </row>
    <row r="666" spans="5:5">
      <c r="E666" s="120"/>
    </row>
    <row r="667" spans="5:5">
      <c r="E667" s="120"/>
    </row>
    <row r="668" spans="5:5">
      <c r="E668" s="120"/>
    </row>
    <row r="669" spans="5:5">
      <c r="E669" s="120"/>
    </row>
    <row r="670" spans="5:5">
      <c r="E670" s="120"/>
    </row>
    <row r="671" spans="5:5">
      <c r="E671" s="120"/>
    </row>
    <row r="672" spans="5:5">
      <c r="E672" s="120"/>
    </row>
    <row r="673" spans="5:5">
      <c r="E673" s="120"/>
    </row>
    <row r="674" spans="5:5">
      <c r="E674" s="120"/>
    </row>
    <row r="675" spans="5:5">
      <c r="E675" s="120"/>
    </row>
    <row r="676" spans="5:5">
      <c r="E676" s="120"/>
    </row>
    <row r="677" spans="5:5">
      <c r="E677" s="120"/>
    </row>
    <row r="678" spans="5:5">
      <c r="E678" s="120"/>
    </row>
    <row r="679" spans="5:5">
      <c r="E679" s="120"/>
    </row>
    <row r="680" spans="5:5">
      <c r="E680" s="120"/>
    </row>
    <row r="681" spans="5:5">
      <c r="E681" s="120"/>
    </row>
    <row r="682" spans="5:5">
      <c r="E682" s="120"/>
    </row>
    <row r="683" spans="5:5">
      <c r="E683" s="120"/>
    </row>
    <row r="684" spans="5:5">
      <c r="E684" s="120"/>
    </row>
    <row r="685" spans="5:5">
      <c r="E685" s="120"/>
    </row>
    <row r="686" spans="5:5">
      <c r="E686" s="120"/>
    </row>
    <row r="687" spans="5:5">
      <c r="E687" s="120"/>
    </row>
    <row r="688" spans="5:5">
      <c r="E688" s="120"/>
    </row>
    <row r="689" spans="5:5">
      <c r="E689" s="120"/>
    </row>
    <row r="690" spans="5:5">
      <c r="E690" s="120"/>
    </row>
    <row r="691" spans="5:5">
      <c r="E691" s="120"/>
    </row>
    <row r="692" spans="5:5">
      <c r="E692" s="120"/>
    </row>
    <row r="693" spans="5:5">
      <c r="E693" s="120"/>
    </row>
    <row r="694" spans="5:5">
      <c r="E694" s="120"/>
    </row>
    <row r="695" spans="5:5">
      <c r="E695" s="120"/>
    </row>
    <row r="696" spans="5:5">
      <c r="E696" s="120"/>
    </row>
    <row r="697" spans="5:5">
      <c r="E697" s="120"/>
    </row>
    <row r="698" spans="5:5">
      <c r="E698" s="120"/>
    </row>
    <row r="699" spans="5:5">
      <c r="E699" s="120"/>
    </row>
    <row r="700" spans="5:5">
      <c r="E700" s="120"/>
    </row>
    <row r="701" spans="5:5">
      <c r="E701" s="120"/>
    </row>
    <row r="702" spans="5:5">
      <c r="E702" s="120"/>
    </row>
    <row r="703" spans="5:5">
      <c r="E703" s="120"/>
    </row>
    <row r="704" spans="5:5">
      <c r="E704" s="120"/>
    </row>
    <row r="705" spans="5:5">
      <c r="E705" s="120"/>
    </row>
    <row r="706" spans="5:5">
      <c r="E706" s="120"/>
    </row>
    <row r="707" spans="5:5">
      <c r="E707" s="120"/>
    </row>
    <row r="708" spans="5:5">
      <c r="E708" s="120"/>
    </row>
    <row r="709" spans="5:5">
      <c r="E709" s="120"/>
    </row>
    <row r="710" spans="5:5">
      <c r="E710" s="120"/>
    </row>
    <row r="711" spans="5:5">
      <c r="E711" s="120"/>
    </row>
    <row r="712" spans="5:5">
      <c r="E712" s="120"/>
    </row>
    <row r="713" spans="5:5">
      <c r="E713" s="120"/>
    </row>
    <row r="714" spans="5:5">
      <c r="E714" s="120"/>
    </row>
    <row r="715" spans="5:5">
      <c r="E715" s="120"/>
    </row>
    <row r="716" spans="5:5">
      <c r="E716" s="120"/>
    </row>
    <row r="717" spans="5:5">
      <c r="E717" s="120"/>
    </row>
    <row r="718" spans="5:5">
      <c r="E718" s="120"/>
    </row>
    <row r="719" spans="5:5">
      <c r="E719" s="120"/>
    </row>
    <row r="720" spans="5:5">
      <c r="E720" s="120"/>
    </row>
    <row r="721" spans="5:5">
      <c r="E721" s="120"/>
    </row>
    <row r="722" spans="5:5">
      <c r="E722" s="120"/>
    </row>
    <row r="723" spans="5:5">
      <c r="E723" s="120"/>
    </row>
    <row r="724" spans="5:5">
      <c r="E724" s="120"/>
    </row>
    <row r="725" spans="5:5">
      <c r="E725" s="120"/>
    </row>
    <row r="726" spans="5:5">
      <c r="E726" s="120"/>
    </row>
    <row r="727" spans="5:5">
      <c r="E727" s="120"/>
    </row>
    <row r="728" spans="5:5">
      <c r="E728" s="120"/>
    </row>
    <row r="729" spans="5:5">
      <c r="E729" s="120"/>
    </row>
    <row r="730" spans="5:5">
      <c r="E730" s="120"/>
    </row>
    <row r="731" spans="5:5">
      <c r="E731" s="120"/>
    </row>
    <row r="732" spans="5:5">
      <c r="E732" s="120"/>
    </row>
    <row r="733" spans="5:5">
      <c r="E733" s="120"/>
    </row>
    <row r="734" spans="5:5">
      <c r="E734" s="120"/>
    </row>
    <row r="735" spans="5:5">
      <c r="E735" s="120"/>
    </row>
    <row r="736" spans="5:5">
      <c r="E736" s="120"/>
    </row>
    <row r="737" spans="5:5">
      <c r="E737" s="120"/>
    </row>
    <row r="738" spans="5:5">
      <c r="E738" s="120"/>
    </row>
    <row r="739" spans="5:5">
      <c r="E739" s="120"/>
    </row>
    <row r="740" spans="5:5">
      <c r="E740" s="120"/>
    </row>
    <row r="741" spans="5:5">
      <c r="E741" s="120"/>
    </row>
    <row r="742" spans="5:5">
      <c r="E742" s="120"/>
    </row>
    <row r="743" spans="5:5">
      <c r="E743" s="120"/>
    </row>
    <row r="744" spans="5:5">
      <c r="E744" s="120"/>
    </row>
    <row r="745" spans="5:5">
      <c r="E745" s="120"/>
    </row>
    <row r="746" spans="5:5">
      <c r="E746" s="120"/>
    </row>
    <row r="747" spans="5:5">
      <c r="E747" s="120"/>
    </row>
    <row r="748" spans="5:5">
      <c r="E748" s="120"/>
    </row>
    <row r="749" spans="5:5">
      <c r="E749" s="120"/>
    </row>
    <row r="750" spans="5:5">
      <c r="E750" s="120"/>
    </row>
    <row r="751" spans="5:5">
      <c r="E751" s="120"/>
    </row>
    <row r="752" spans="5:5">
      <c r="E752" s="120"/>
    </row>
    <row r="753" spans="5:5">
      <c r="E753" s="120"/>
    </row>
    <row r="754" spans="5:5">
      <c r="E754" s="120"/>
    </row>
    <row r="755" spans="5:5">
      <c r="E755" s="120"/>
    </row>
    <row r="756" spans="5:5">
      <c r="E756" s="120"/>
    </row>
    <row r="757" spans="5:5">
      <c r="E757" s="120"/>
    </row>
    <row r="758" spans="5:5">
      <c r="E758" s="120"/>
    </row>
    <row r="759" spans="5:5">
      <c r="E759" s="120"/>
    </row>
    <row r="760" spans="5:5">
      <c r="E760" s="120"/>
    </row>
    <row r="761" spans="5:5">
      <c r="E761" s="120"/>
    </row>
    <row r="762" spans="5:5">
      <c r="E762" s="120"/>
    </row>
    <row r="763" spans="5:5">
      <c r="E763" s="120"/>
    </row>
    <row r="764" spans="5:5">
      <c r="E764" s="120"/>
    </row>
    <row r="765" spans="5:5">
      <c r="E765" s="120"/>
    </row>
    <row r="766" spans="5:5">
      <c r="E766" s="120"/>
    </row>
    <row r="767" spans="5:5">
      <c r="E767" s="120"/>
    </row>
    <row r="768" spans="5:5">
      <c r="E768" s="120"/>
    </row>
    <row r="769" spans="5:5">
      <c r="E769" s="120"/>
    </row>
    <row r="770" spans="5:5">
      <c r="E770" s="120"/>
    </row>
    <row r="771" spans="5:5">
      <c r="E771" s="120"/>
    </row>
    <row r="772" spans="5:5">
      <c r="E772" s="120"/>
    </row>
    <row r="773" spans="5:5">
      <c r="E773" s="120"/>
    </row>
    <row r="774" spans="5:5">
      <c r="E774" s="120"/>
    </row>
    <row r="775" spans="5:5">
      <c r="E775" s="120"/>
    </row>
    <row r="776" spans="5:5">
      <c r="E776" s="120"/>
    </row>
    <row r="777" spans="5:5">
      <c r="E777" s="120"/>
    </row>
    <row r="778" spans="5:5">
      <c r="E778" s="120"/>
    </row>
    <row r="779" spans="5:5">
      <c r="E779" s="120"/>
    </row>
    <row r="780" spans="5:5">
      <c r="E780" s="120"/>
    </row>
    <row r="781" spans="5:5">
      <c r="E781" s="120"/>
    </row>
    <row r="782" spans="5:5">
      <c r="E782" s="120"/>
    </row>
    <row r="783" spans="5:5">
      <c r="E783" s="120"/>
    </row>
    <row r="784" spans="5:5">
      <c r="E784" s="120"/>
    </row>
    <row r="785" spans="5:5">
      <c r="E785" s="120"/>
    </row>
    <row r="786" spans="5:5">
      <c r="E786" s="120"/>
    </row>
    <row r="787" spans="5:5">
      <c r="E787" s="120"/>
    </row>
    <row r="788" spans="5:5">
      <c r="E788" s="120"/>
    </row>
    <row r="789" spans="5:5">
      <c r="E789" s="120"/>
    </row>
    <row r="790" spans="5:5">
      <c r="E790" s="120"/>
    </row>
    <row r="791" spans="5:5">
      <c r="E791" s="120"/>
    </row>
    <row r="792" spans="5:5">
      <c r="E792" s="120"/>
    </row>
    <row r="793" spans="5:5">
      <c r="E793" s="120"/>
    </row>
    <row r="794" spans="5:5">
      <c r="E794" s="120"/>
    </row>
    <row r="795" spans="5:5">
      <c r="E795" s="120"/>
    </row>
    <row r="796" spans="5:5">
      <c r="E796" s="120"/>
    </row>
    <row r="797" spans="5:5">
      <c r="E797" s="120"/>
    </row>
    <row r="798" spans="5:5">
      <c r="E798" s="120"/>
    </row>
    <row r="799" spans="5:5">
      <c r="E799" s="120"/>
    </row>
    <row r="800" spans="5:5">
      <c r="E800" s="120"/>
    </row>
    <row r="801" spans="5:5">
      <c r="E801" s="120"/>
    </row>
    <row r="802" spans="5:5">
      <c r="E802" s="120"/>
    </row>
    <row r="803" spans="5:5">
      <c r="E803" s="120"/>
    </row>
    <row r="804" spans="5:5">
      <c r="E804" s="120"/>
    </row>
    <row r="805" spans="5:5">
      <c r="E805" s="120"/>
    </row>
    <row r="806" spans="5:5">
      <c r="E806" s="120"/>
    </row>
    <row r="807" spans="5:5">
      <c r="E807" s="120"/>
    </row>
    <row r="808" spans="5:5">
      <c r="E808" s="120"/>
    </row>
    <row r="809" spans="5:5">
      <c r="E809" s="120"/>
    </row>
    <row r="810" spans="5:5">
      <c r="E810" s="120"/>
    </row>
    <row r="811" spans="5:5">
      <c r="E811" s="120"/>
    </row>
    <row r="812" spans="5:5">
      <c r="E812" s="120"/>
    </row>
    <row r="813" spans="5:5">
      <c r="E813" s="120"/>
    </row>
    <row r="814" spans="5:5">
      <c r="E814" s="120"/>
    </row>
    <row r="815" spans="5:5">
      <c r="E815" s="120"/>
    </row>
    <row r="816" spans="5:5">
      <c r="E816" s="120"/>
    </row>
    <row r="817" spans="5:5">
      <c r="E817" s="120"/>
    </row>
    <row r="818" spans="5:5">
      <c r="E818" s="120"/>
    </row>
    <row r="819" spans="5:5">
      <c r="E819" s="120"/>
    </row>
    <row r="820" spans="5:5">
      <c r="E820" s="120"/>
    </row>
    <row r="821" spans="5:5">
      <c r="E821" s="120"/>
    </row>
    <row r="822" spans="5:5">
      <c r="E822" s="120"/>
    </row>
    <row r="823" spans="5:5">
      <c r="E823" s="120"/>
    </row>
    <row r="824" spans="5:5">
      <c r="E824" s="120"/>
    </row>
    <row r="825" spans="5:5">
      <c r="E825" s="120"/>
    </row>
    <row r="826" spans="5:5">
      <c r="E826" s="120"/>
    </row>
    <row r="827" spans="5:5">
      <c r="E827" s="120"/>
    </row>
    <row r="828" spans="5:5">
      <c r="E828" s="120"/>
    </row>
    <row r="829" spans="5:5">
      <c r="E829" s="120"/>
    </row>
    <row r="830" spans="5:5">
      <c r="E830" s="120"/>
    </row>
    <row r="831" spans="5:5">
      <c r="E831" s="120"/>
    </row>
    <row r="832" spans="5:5">
      <c r="E832" s="120"/>
    </row>
    <row r="833" spans="5:5">
      <c r="E833" s="120"/>
    </row>
    <row r="834" spans="5:5">
      <c r="E834" s="120"/>
    </row>
    <row r="835" spans="5:5">
      <c r="E835" s="120"/>
    </row>
    <row r="836" spans="5:5">
      <c r="E836" s="120"/>
    </row>
    <row r="837" spans="5:5">
      <c r="E837" s="120"/>
    </row>
    <row r="838" spans="5:5">
      <c r="E838" s="120"/>
    </row>
    <row r="839" spans="5:5">
      <c r="E839" s="120"/>
    </row>
    <row r="840" spans="5:5">
      <c r="E840" s="120"/>
    </row>
    <row r="841" spans="5:5">
      <c r="E841" s="120"/>
    </row>
    <row r="842" spans="5:5">
      <c r="E842" s="120"/>
    </row>
    <row r="843" spans="5:5">
      <c r="E843" s="120"/>
    </row>
    <row r="844" spans="5:5">
      <c r="E844" s="120"/>
    </row>
    <row r="845" spans="5:5">
      <c r="E845" s="120"/>
    </row>
    <row r="846" spans="5:5">
      <c r="E846" s="120"/>
    </row>
    <row r="847" spans="5:5">
      <c r="E847" s="120"/>
    </row>
    <row r="848" spans="5:5">
      <c r="E848" s="120"/>
    </row>
    <row r="849" spans="5:5">
      <c r="E849" s="120"/>
    </row>
    <row r="850" spans="5:5">
      <c r="E850" s="120"/>
    </row>
    <row r="851" spans="5:5">
      <c r="E851" s="120"/>
    </row>
    <row r="852" spans="5:5">
      <c r="E852" s="120"/>
    </row>
    <row r="853" spans="5:5">
      <c r="E853" s="120"/>
    </row>
    <row r="854" spans="5:5">
      <c r="E854" s="120"/>
    </row>
    <row r="855" spans="5:5">
      <c r="E855" s="120"/>
    </row>
    <row r="856" spans="5:5">
      <c r="E856" s="120"/>
    </row>
    <row r="857" spans="5:5">
      <c r="E857" s="120"/>
    </row>
    <row r="858" spans="5:5">
      <c r="E858" s="120"/>
    </row>
    <row r="859" spans="5:5">
      <c r="E859" s="120"/>
    </row>
    <row r="860" spans="5:5">
      <c r="E860" s="120"/>
    </row>
    <row r="861" spans="5:5">
      <c r="E861" s="120"/>
    </row>
    <row r="862" spans="5:5">
      <c r="E862" s="120"/>
    </row>
    <row r="863" spans="5:5">
      <c r="E863" s="120"/>
    </row>
    <row r="864" spans="5:5">
      <c r="E864" s="120"/>
    </row>
    <row r="865" spans="5:5">
      <c r="E865" s="120"/>
    </row>
    <row r="866" spans="5:5">
      <c r="E866" s="120"/>
    </row>
    <row r="867" spans="5:5">
      <c r="E867" s="120"/>
    </row>
    <row r="868" spans="5:5">
      <c r="E868" s="120"/>
    </row>
    <row r="869" spans="5:5">
      <c r="E869" s="120"/>
    </row>
    <row r="870" spans="5:5">
      <c r="E870" s="120"/>
    </row>
    <row r="871" spans="5:5">
      <c r="E871" s="120"/>
    </row>
    <row r="872" spans="5:5">
      <c r="E872" s="120"/>
    </row>
    <row r="873" spans="5:5">
      <c r="E873" s="120"/>
    </row>
    <row r="874" spans="5:5">
      <c r="E874" s="120"/>
    </row>
    <row r="875" spans="5:5">
      <c r="E875" s="120"/>
    </row>
    <row r="876" spans="5:5">
      <c r="E876" s="120"/>
    </row>
    <row r="877" spans="5:5">
      <c r="E877" s="120"/>
    </row>
    <row r="878" spans="5:5">
      <c r="E878" s="120"/>
    </row>
    <row r="879" spans="5:5">
      <c r="E879" s="120"/>
    </row>
    <row r="880" spans="5:5">
      <c r="E880" s="120"/>
    </row>
    <row r="881" spans="5:5">
      <c r="E881" s="120"/>
    </row>
    <row r="882" spans="5:5">
      <c r="E882" s="120"/>
    </row>
    <row r="883" spans="5:5">
      <c r="E883" s="120"/>
    </row>
    <row r="884" spans="5:5">
      <c r="E884" s="120"/>
    </row>
    <row r="885" spans="5:5">
      <c r="E885" s="120"/>
    </row>
    <row r="886" spans="5:5">
      <c r="E886" s="120"/>
    </row>
    <row r="887" spans="5:5">
      <c r="E887" s="120"/>
    </row>
    <row r="888" spans="5:5">
      <c r="E888" s="120"/>
    </row>
    <row r="889" spans="5:5">
      <c r="E889" s="120"/>
    </row>
    <row r="890" spans="5:5">
      <c r="E890" s="120"/>
    </row>
    <row r="891" spans="5:5">
      <c r="E891" s="120"/>
    </row>
    <row r="892" spans="5:5">
      <c r="E892" s="120"/>
    </row>
    <row r="893" spans="5:5">
      <c r="E893" s="120"/>
    </row>
    <row r="894" spans="5:5">
      <c r="E894" s="120"/>
    </row>
    <row r="895" spans="5:5">
      <c r="E895" s="120"/>
    </row>
    <row r="896" spans="5:5">
      <c r="E896" s="120"/>
    </row>
    <row r="897" spans="5:5">
      <c r="E897" s="120"/>
    </row>
    <row r="898" spans="5:5">
      <c r="E898" s="120"/>
    </row>
    <row r="899" spans="5:5">
      <c r="E899" s="120"/>
    </row>
    <row r="900" spans="5:5">
      <c r="E900" s="120"/>
    </row>
    <row r="901" spans="5:5">
      <c r="E901" s="120"/>
    </row>
    <row r="902" spans="5:5">
      <c r="E902" s="120"/>
    </row>
    <row r="903" spans="5:5">
      <c r="E903" s="120"/>
    </row>
    <row r="904" spans="5:5">
      <c r="E904" s="120"/>
    </row>
    <row r="905" spans="5:5">
      <c r="E905" s="120"/>
    </row>
    <row r="906" spans="5:5">
      <c r="E906" s="120"/>
    </row>
    <row r="907" spans="5:5">
      <c r="E907" s="120"/>
    </row>
    <row r="908" spans="5:5">
      <c r="E908" s="120"/>
    </row>
    <row r="909" spans="5:5">
      <c r="E909" s="120"/>
    </row>
    <row r="910" spans="5:5">
      <c r="E910" s="120"/>
    </row>
    <row r="911" spans="5:5">
      <c r="E911" s="120"/>
    </row>
    <row r="912" spans="5:5">
      <c r="E912" s="120"/>
    </row>
    <row r="913" spans="5:5">
      <c r="E913" s="120"/>
    </row>
    <row r="914" spans="5:5">
      <c r="E914" s="120"/>
    </row>
    <row r="915" spans="5:5">
      <c r="E915" s="120"/>
    </row>
    <row r="916" spans="5:5">
      <c r="E916" s="120"/>
    </row>
    <row r="917" spans="5:5">
      <c r="E917" s="120"/>
    </row>
    <row r="918" spans="5:5">
      <c r="E918" s="120"/>
    </row>
    <row r="919" spans="5:5">
      <c r="E919" s="120"/>
    </row>
    <row r="920" spans="5:5">
      <c r="E920" s="120"/>
    </row>
    <row r="921" spans="5:5">
      <c r="E921" s="120"/>
    </row>
    <row r="922" spans="5:5">
      <c r="E922" s="120"/>
    </row>
    <row r="923" spans="5:5">
      <c r="E923" s="120"/>
    </row>
    <row r="924" spans="5:5">
      <c r="E924" s="120"/>
    </row>
    <row r="925" spans="5:5">
      <c r="E925" s="120"/>
    </row>
    <row r="926" spans="5:5">
      <c r="E926" s="120"/>
    </row>
    <row r="927" spans="5:5">
      <c r="E927" s="120"/>
    </row>
    <row r="928" spans="5:5">
      <c r="E928" s="120"/>
    </row>
    <row r="929" spans="5:5">
      <c r="E929" s="120"/>
    </row>
    <row r="930" spans="5:5">
      <c r="E930" s="120"/>
    </row>
    <row r="931" spans="5:5">
      <c r="E931" s="120"/>
    </row>
    <row r="932" spans="5:5">
      <c r="E932" s="120"/>
    </row>
    <row r="933" spans="5:5">
      <c r="E933" s="120"/>
    </row>
    <row r="934" spans="5:5">
      <c r="E934" s="120"/>
    </row>
    <row r="935" spans="5:5">
      <c r="E935" s="120"/>
    </row>
    <row r="936" spans="5:5">
      <c r="E936" s="120"/>
    </row>
    <row r="937" spans="5:5">
      <c r="E937" s="120"/>
    </row>
    <row r="938" spans="5:5">
      <c r="E938" s="120"/>
    </row>
    <row r="939" spans="5:5">
      <c r="E939" s="120"/>
    </row>
    <row r="940" spans="5:5">
      <c r="E940" s="120"/>
    </row>
    <row r="941" spans="5:5">
      <c r="E941" s="120"/>
    </row>
    <row r="942" spans="5:5">
      <c r="E942" s="120"/>
    </row>
    <row r="943" spans="5:5">
      <c r="E943" s="120"/>
    </row>
    <row r="944" spans="5:5">
      <c r="E944" s="120"/>
    </row>
    <row r="945" spans="5:5">
      <c r="E945" s="120"/>
    </row>
    <row r="946" spans="5:5">
      <c r="E946" s="120"/>
    </row>
    <row r="947" spans="5:5">
      <c r="E947" s="120"/>
    </row>
    <row r="948" spans="5:5">
      <c r="E948" s="120"/>
    </row>
    <row r="949" spans="5:5">
      <c r="E949" s="120"/>
    </row>
    <row r="950" spans="5:5">
      <c r="E950" s="120"/>
    </row>
    <row r="951" spans="5:5">
      <c r="E951" s="120"/>
    </row>
    <row r="952" spans="5:5">
      <c r="E952" s="120"/>
    </row>
    <row r="953" spans="5:5">
      <c r="E953" s="120"/>
    </row>
    <row r="954" spans="5:5">
      <c r="E954" s="120"/>
    </row>
    <row r="955" spans="5:5">
      <c r="E955" s="120"/>
    </row>
    <row r="956" spans="5:5">
      <c r="E956" s="120"/>
    </row>
    <row r="957" spans="5:5">
      <c r="E957" s="120"/>
    </row>
    <row r="958" spans="5:5">
      <c r="E958" s="120"/>
    </row>
    <row r="959" spans="5:5">
      <c r="E959" s="120"/>
    </row>
    <row r="960" spans="5:5">
      <c r="E960" s="120"/>
    </row>
    <row r="961" spans="5:5">
      <c r="E961" s="120"/>
    </row>
    <row r="962" spans="5:5">
      <c r="E962" s="120"/>
    </row>
    <row r="963" spans="5:5">
      <c r="E963" s="120"/>
    </row>
    <row r="964" spans="5:5">
      <c r="E964" s="120"/>
    </row>
    <row r="965" spans="5:5">
      <c r="E965" s="120"/>
    </row>
    <row r="966" spans="5:5">
      <c r="E966" s="120"/>
    </row>
    <row r="967" spans="5:5">
      <c r="E967" s="120"/>
    </row>
    <row r="968" spans="5:5">
      <c r="E968" s="120"/>
    </row>
    <row r="969" spans="5:5">
      <c r="E969" s="120"/>
    </row>
    <row r="970" spans="5:5">
      <c r="E970" s="120"/>
    </row>
    <row r="971" spans="5:5">
      <c r="E971" s="120"/>
    </row>
    <row r="972" spans="5:5">
      <c r="E972" s="120"/>
    </row>
    <row r="973" spans="5:5">
      <c r="E973" s="120"/>
    </row>
    <row r="974" spans="5:5">
      <c r="E974" s="120"/>
    </row>
    <row r="975" spans="5:5">
      <c r="E975" s="120"/>
    </row>
    <row r="976" spans="5:5">
      <c r="E976" s="120"/>
    </row>
    <row r="977" spans="5:5">
      <c r="E977" s="120"/>
    </row>
    <row r="978" spans="5:5">
      <c r="E978" s="120"/>
    </row>
    <row r="979" spans="5:5">
      <c r="E979" s="120"/>
    </row>
    <row r="980" spans="5:5">
      <c r="E980" s="120"/>
    </row>
    <row r="981" spans="5:5">
      <c r="E981" s="120"/>
    </row>
    <row r="982" spans="5:5">
      <c r="E982" s="120"/>
    </row>
    <row r="983" spans="5:5">
      <c r="E983" s="120"/>
    </row>
    <row r="984" spans="5:5">
      <c r="E984" s="120"/>
    </row>
    <row r="985" spans="5:5">
      <c r="E985" s="120"/>
    </row>
    <row r="986" spans="5:5">
      <c r="E986" s="120"/>
    </row>
    <row r="987" spans="5:5">
      <c r="E987" s="120"/>
    </row>
    <row r="988" spans="5:5">
      <c r="E988" s="120"/>
    </row>
    <row r="989" spans="5:5">
      <c r="E989" s="120"/>
    </row>
    <row r="990" spans="5:5">
      <c r="E990" s="120"/>
    </row>
    <row r="991" spans="5:5">
      <c r="E991" s="120"/>
    </row>
    <row r="992" spans="5:5">
      <c r="E992" s="120"/>
    </row>
    <row r="993" spans="5:5">
      <c r="E993" s="120"/>
    </row>
    <row r="994" spans="5:5">
      <c r="E994" s="120"/>
    </row>
    <row r="995" spans="5:5">
      <c r="E995" s="120"/>
    </row>
    <row r="996" spans="5:5">
      <c r="E996" s="120"/>
    </row>
    <row r="997" spans="5:5">
      <c r="E997" s="120"/>
    </row>
    <row r="998" spans="5:5">
      <c r="E998" s="120"/>
    </row>
    <row r="999" spans="5:5">
      <c r="E999" s="120"/>
    </row>
    <row r="1000" spans="5:5">
      <c r="E1000" s="120"/>
    </row>
    <row r="1001" spans="5:5">
      <c r="E1001" s="120"/>
    </row>
    <row r="1002" spans="5:5">
      <c r="E1002" s="120"/>
    </row>
    <row r="1003" spans="5:5">
      <c r="E1003" s="120"/>
    </row>
    <row r="1004" spans="5:5">
      <c r="E1004" s="120"/>
    </row>
    <row r="1005" spans="5:5">
      <c r="E1005" s="120"/>
    </row>
    <row r="1006" spans="5:5">
      <c r="E1006" s="120"/>
    </row>
    <row r="1007" spans="5:5">
      <c r="E1007" s="120"/>
    </row>
    <row r="1008" spans="5:5">
      <c r="E1008" s="120"/>
    </row>
    <row r="1009" spans="5:5">
      <c r="E1009" s="120"/>
    </row>
    <row r="1010" spans="5:5">
      <c r="E1010" s="120"/>
    </row>
    <row r="1011" spans="5:5">
      <c r="E1011" s="120"/>
    </row>
    <row r="1012" spans="5:5">
      <c r="E1012" s="120"/>
    </row>
    <row r="1013" spans="5:5">
      <c r="E1013" s="120"/>
    </row>
    <row r="1014" spans="5:5">
      <c r="E1014" s="120"/>
    </row>
    <row r="1015" spans="5:5">
      <c r="E1015" s="120"/>
    </row>
    <row r="1016" spans="5:5">
      <c r="E1016" s="120"/>
    </row>
    <row r="1017" spans="5:5">
      <c r="E1017" s="120"/>
    </row>
    <row r="1018" spans="5:5">
      <c r="E1018" s="120"/>
    </row>
    <row r="1019" spans="5:5">
      <c r="E1019" s="120"/>
    </row>
    <row r="1020" spans="5:5">
      <c r="E1020" s="120"/>
    </row>
    <row r="1021" spans="5:5">
      <c r="E1021" s="120"/>
    </row>
    <row r="1022" spans="5:5">
      <c r="E1022" s="120"/>
    </row>
    <row r="1023" spans="5:5">
      <c r="E1023" s="120"/>
    </row>
    <row r="1024" spans="5:5">
      <c r="E1024" s="120"/>
    </row>
    <row r="1025" spans="5:5">
      <c r="E1025" s="120"/>
    </row>
    <row r="1026" spans="5:5">
      <c r="E1026" s="120"/>
    </row>
    <row r="1027" spans="5:5">
      <c r="E1027" s="120"/>
    </row>
    <row r="1028" spans="5:5">
      <c r="E1028" s="120"/>
    </row>
    <row r="1029" spans="5:5">
      <c r="E1029" s="120"/>
    </row>
    <row r="1030" spans="5:5">
      <c r="E1030" s="120"/>
    </row>
    <row r="1031" spans="5:5">
      <c r="E1031" s="120"/>
    </row>
    <row r="1032" spans="5:5">
      <c r="E1032" s="120"/>
    </row>
    <row r="1033" spans="5:5">
      <c r="E1033" s="120"/>
    </row>
    <row r="1034" spans="5:5">
      <c r="E1034" s="120"/>
    </row>
    <row r="1035" spans="5:5">
      <c r="E1035" s="120"/>
    </row>
    <row r="1036" spans="5:5">
      <c r="E1036" s="120"/>
    </row>
    <row r="1037" spans="5:5">
      <c r="E1037" s="120"/>
    </row>
    <row r="1038" spans="5:5">
      <c r="E1038" s="120"/>
    </row>
    <row r="1039" spans="5:5">
      <c r="E1039" s="120"/>
    </row>
    <row r="1040" spans="5:5">
      <c r="E1040" s="120"/>
    </row>
    <row r="1041" spans="5:5">
      <c r="E1041" s="120"/>
    </row>
    <row r="1042" spans="5:5">
      <c r="E1042" s="120"/>
    </row>
    <row r="1043" spans="5:5">
      <c r="E1043" s="120"/>
    </row>
    <row r="1044" spans="5:5">
      <c r="E1044" s="120"/>
    </row>
    <row r="1045" spans="5:5">
      <c r="E1045" s="120"/>
    </row>
    <row r="1046" spans="5:5">
      <c r="E1046" s="120"/>
    </row>
    <row r="1047" spans="5:5">
      <c r="E1047" s="120"/>
    </row>
    <row r="1048" spans="5:5">
      <c r="E1048" s="120"/>
    </row>
    <row r="1049" spans="5:5">
      <c r="E1049" s="120"/>
    </row>
    <row r="1050" spans="5:5">
      <c r="E1050" s="120"/>
    </row>
    <row r="1051" spans="5:5">
      <c r="E1051" s="120"/>
    </row>
    <row r="1052" spans="5:5">
      <c r="E1052" s="120"/>
    </row>
    <row r="1053" spans="5:5">
      <c r="E1053" s="120"/>
    </row>
    <row r="1054" spans="5:5">
      <c r="E1054" s="120"/>
    </row>
    <row r="1055" spans="5:5">
      <c r="E1055" s="120"/>
    </row>
    <row r="1056" spans="5:5">
      <c r="E1056" s="120"/>
    </row>
    <row r="1057" spans="5:5">
      <c r="E1057" s="120"/>
    </row>
    <row r="1058" spans="5:5">
      <c r="E1058" s="120"/>
    </row>
    <row r="1059" spans="5:5">
      <c r="E1059" s="120"/>
    </row>
    <row r="1060" spans="5:5">
      <c r="E1060" s="120"/>
    </row>
    <row r="1061" spans="5:5">
      <c r="E1061" s="120"/>
    </row>
    <row r="1062" spans="5:5">
      <c r="E1062" s="120"/>
    </row>
    <row r="1063" spans="5:5">
      <c r="E1063" s="120"/>
    </row>
    <row r="1064" spans="5:5">
      <c r="E1064" s="120"/>
    </row>
    <row r="1065" spans="5:5">
      <c r="E1065" s="120"/>
    </row>
    <row r="1066" spans="5:5">
      <c r="E1066" s="120"/>
    </row>
    <row r="1067" spans="5:5">
      <c r="E1067" s="120"/>
    </row>
    <row r="1068" spans="5:5">
      <c r="E1068" s="120"/>
    </row>
    <row r="1069" spans="5:5">
      <c r="E1069" s="120"/>
    </row>
    <row r="1070" spans="5:5">
      <c r="E1070" s="120"/>
    </row>
    <row r="1071" spans="5:5">
      <c r="E1071" s="120"/>
    </row>
    <row r="1072" spans="5:5">
      <c r="E1072" s="120"/>
    </row>
    <row r="1073" spans="5:5">
      <c r="E1073" s="120"/>
    </row>
    <row r="1074" spans="5:5">
      <c r="E1074" s="120"/>
    </row>
    <row r="1075" spans="5:5">
      <c r="E1075" s="120"/>
    </row>
    <row r="1076" spans="5:5">
      <c r="E1076" s="120"/>
    </row>
    <row r="1077" spans="5:5">
      <c r="E1077" s="120"/>
    </row>
    <row r="1078" spans="5:5">
      <c r="E1078" s="120"/>
    </row>
    <row r="1079" spans="5:5">
      <c r="E1079" s="120"/>
    </row>
    <row r="1080" spans="5:5">
      <c r="E1080" s="120"/>
    </row>
    <row r="1081" spans="5:5">
      <c r="E1081" s="120"/>
    </row>
    <row r="1082" spans="5:5">
      <c r="E1082" s="120"/>
    </row>
    <row r="1083" spans="5:5">
      <c r="E1083" s="120"/>
    </row>
    <row r="1084" spans="5:5">
      <c r="E1084" s="120"/>
    </row>
    <row r="1085" spans="5:5">
      <c r="E1085" s="120"/>
    </row>
    <row r="1086" spans="5:5">
      <c r="E1086" s="120"/>
    </row>
    <row r="1087" spans="5:5">
      <c r="E1087" s="120"/>
    </row>
    <row r="1088" spans="5:5">
      <c r="E1088" s="120"/>
    </row>
    <row r="1089" spans="5:5">
      <c r="E1089" s="120"/>
    </row>
    <row r="1090" spans="5:5">
      <c r="E1090" s="120"/>
    </row>
    <row r="1091" spans="5:5">
      <c r="E1091" s="120"/>
    </row>
    <row r="1092" spans="5:5">
      <c r="E1092" s="120"/>
    </row>
    <row r="1093" spans="5:5">
      <c r="E1093" s="120"/>
    </row>
    <row r="1094" spans="5:5">
      <c r="E1094" s="120"/>
    </row>
    <row r="1095" spans="5:5">
      <c r="E1095" s="120"/>
    </row>
    <row r="1096" spans="5:5">
      <c r="E1096" s="120"/>
    </row>
    <row r="1097" spans="5:5">
      <c r="E1097" s="120"/>
    </row>
    <row r="1098" spans="5:5">
      <c r="E1098" s="120"/>
    </row>
    <row r="1099" spans="5:5">
      <c r="E1099" s="120"/>
    </row>
    <row r="1100" spans="5:5">
      <c r="E1100" s="120"/>
    </row>
    <row r="1101" spans="5:5">
      <c r="E1101" s="120"/>
    </row>
    <row r="1102" spans="5:5">
      <c r="E1102" s="120"/>
    </row>
    <row r="1103" spans="5:5">
      <c r="E1103" s="120"/>
    </row>
    <row r="1104" spans="5:5">
      <c r="E1104" s="120"/>
    </row>
    <row r="1105" spans="5:5">
      <c r="E1105" s="120"/>
    </row>
    <row r="1106" spans="5:5">
      <c r="E1106" s="120"/>
    </row>
    <row r="1107" spans="5:5">
      <c r="E1107" s="120"/>
    </row>
    <row r="1108" spans="5:5">
      <c r="E1108" s="120"/>
    </row>
    <row r="1109" spans="5:5">
      <c r="E1109" s="120"/>
    </row>
    <row r="1110" spans="5:5">
      <c r="E1110" s="120"/>
    </row>
    <row r="1111" spans="5:5">
      <c r="E1111" s="120"/>
    </row>
    <row r="1112" spans="5:5">
      <c r="E1112" s="120"/>
    </row>
    <row r="1113" spans="5:5">
      <c r="E1113" s="120"/>
    </row>
    <row r="1114" spans="5:5">
      <c r="E1114" s="120"/>
    </row>
    <row r="1115" spans="5:5">
      <c r="E1115" s="120"/>
    </row>
    <row r="1116" spans="5:5">
      <c r="E1116" s="120"/>
    </row>
    <row r="1117" spans="5:5">
      <c r="E1117" s="120"/>
    </row>
    <row r="1118" spans="5:5">
      <c r="E1118" s="120"/>
    </row>
    <row r="1119" spans="5:5">
      <c r="E1119" s="120"/>
    </row>
    <row r="1120" spans="5:5">
      <c r="E1120" s="120"/>
    </row>
    <row r="1121" spans="5:5">
      <c r="E1121" s="120"/>
    </row>
    <row r="1122" spans="5:5">
      <c r="E1122" s="120"/>
    </row>
    <row r="1123" spans="5:5">
      <c r="E1123" s="120"/>
    </row>
    <row r="1124" spans="5:5">
      <c r="E1124" s="120"/>
    </row>
    <row r="1125" spans="5:5">
      <c r="E1125" s="120"/>
    </row>
    <row r="1126" spans="5:5">
      <c r="E1126" s="120"/>
    </row>
    <row r="1127" spans="5:5">
      <c r="E1127" s="120"/>
    </row>
    <row r="1128" spans="5:5">
      <c r="E1128" s="120"/>
    </row>
    <row r="1129" spans="5:5">
      <c r="E1129" s="120"/>
    </row>
    <row r="1130" spans="5:5">
      <c r="E1130" s="120"/>
    </row>
    <row r="1131" spans="5:5">
      <c r="E1131" s="120"/>
    </row>
    <row r="1132" spans="5:5">
      <c r="E1132" s="120"/>
    </row>
    <row r="1133" spans="5:5">
      <c r="E1133" s="120"/>
    </row>
    <row r="1134" spans="5:5">
      <c r="E1134" s="120"/>
    </row>
    <row r="1135" spans="5:5">
      <c r="E1135" s="120"/>
    </row>
    <row r="1136" spans="5:5">
      <c r="E1136" s="120"/>
    </row>
    <row r="1137" spans="5:5">
      <c r="E1137" s="120"/>
    </row>
    <row r="1138" spans="5:5">
      <c r="E1138" s="120"/>
    </row>
    <row r="1139" spans="5:5">
      <c r="E1139" s="120"/>
    </row>
    <row r="1140" spans="5:5">
      <c r="E1140" s="120"/>
    </row>
    <row r="1141" spans="5:5">
      <c r="E1141" s="120"/>
    </row>
    <row r="1142" spans="5:5">
      <c r="E1142" s="120"/>
    </row>
    <row r="1143" spans="5:5">
      <c r="E1143" s="120"/>
    </row>
    <row r="1144" spans="5:5">
      <c r="E1144" s="120"/>
    </row>
    <row r="1145" spans="5:5">
      <c r="E1145" s="120"/>
    </row>
    <row r="1146" spans="5:5">
      <c r="E1146" s="120"/>
    </row>
    <row r="1147" spans="5:5">
      <c r="E1147" s="120"/>
    </row>
    <row r="1148" spans="5:5">
      <c r="E1148" s="120"/>
    </row>
    <row r="1149" spans="5:5">
      <c r="E1149" s="120"/>
    </row>
    <row r="1150" spans="5:5">
      <c r="E1150" s="120"/>
    </row>
    <row r="1151" spans="5:5">
      <c r="E1151" s="120"/>
    </row>
    <row r="1152" spans="5:5">
      <c r="E1152" s="120"/>
    </row>
    <row r="1153" spans="5:5">
      <c r="E1153" s="120"/>
    </row>
    <row r="1154" spans="5:5">
      <c r="E1154" s="120"/>
    </row>
    <row r="1155" spans="5:5">
      <c r="E1155" s="120"/>
    </row>
    <row r="1156" spans="5:5">
      <c r="E1156" s="120"/>
    </row>
    <row r="1157" spans="5:5">
      <c r="E1157" s="120"/>
    </row>
    <row r="1158" spans="5:5">
      <c r="E1158" s="120"/>
    </row>
    <row r="1159" spans="5:5">
      <c r="E1159" s="120"/>
    </row>
    <row r="1160" spans="5:5">
      <c r="E1160" s="120"/>
    </row>
    <row r="1161" spans="5:5">
      <c r="E1161" s="120"/>
    </row>
    <row r="1162" spans="5:5">
      <c r="E1162" s="120"/>
    </row>
    <row r="1163" spans="5:5">
      <c r="E1163" s="120"/>
    </row>
    <row r="1164" spans="5:5">
      <c r="E1164" s="120"/>
    </row>
    <row r="1165" spans="5:5">
      <c r="E1165" s="120"/>
    </row>
    <row r="1166" spans="5:5">
      <c r="E1166" s="120"/>
    </row>
    <row r="1167" spans="5:5">
      <c r="E1167" s="120"/>
    </row>
    <row r="1168" spans="5:5">
      <c r="E1168" s="120"/>
    </row>
    <row r="1169" spans="5:5">
      <c r="E1169" s="120"/>
    </row>
    <row r="1170" spans="5:5">
      <c r="E1170" s="120"/>
    </row>
    <row r="1171" spans="5:5">
      <c r="E1171" s="120"/>
    </row>
    <row r="1172" spans="5:5">
      <c r="E1172" s="120"/>
    </row>
    <row r="1173" spans="5:5">
      <c r="E1173" s="120"/>
    </row>
    <row r="1174" spans="5:5">
      <c r="E1174" s="120"/>
    </row>
    <row r="1175" spans="5:5">
      <c r="E1175" s="120"/>
    </row>
    <row r="1176" spans="5:5">
      <c r="E1176" s="120"/>
    </row>
    <row r="1177" spans="5:5">
      <c r="E1177" s="120"/>
    </row>
    <row r="1178" spans="5:5">
      <c r="E1178" s="120"/>
    </row>
    <row r="1179" spans="5:5">
      <c r="E1179" s="120"/>
    </row>
    <row r="1180" spans="5:5">
      <c r="E1180" s="120"/>
    </row>
    <row r="1181" spans="5:5">
      <c r="E1181" s="120"/>
    </row>
    <row r="1182" spans="5:5">
      <c r="E1182" s="120"/>
    </row>
    <row r="1183" spans="5:5">
      <c r="E1183" s="120"/>
    </row>
    <row r="1184" spans="5:5">
      <c r="E1184" s="120"/>
    </row>
    <row r="1185" spans="5:5">
      <c r="E1185" s="120"/>
    </row>
    <row r="1186" spans="5:5">
      <c r="E1186" s="120"/>
    </row>
    <row r="1187" spans="5:5">
      <c r="E1187" s="120"/>
    </row>
    <row r="1188" spans="5:5">
      <c r="E1188" s="120"/>
    </row>
    <row r="1189" spans="5:5">
      <c r="E1189" s="120"/>
    </row>
    <row r="1190" spans="5:5">
      <c r="E1190" s="120"/>
    </row>
    <row r="1191" spans="5:5">
      <c r="E1191" s="120"/>
    </row>
    <row r="1192" spans="5:5">
      <c r="E1192" s="120"/>
    </row>
    <row r="1193" spans="5:5">
      <c r="E1193" s="120"/>
    </row>
    <row r="1194" spans="5:5">
      <c r="E1194" s="120"/>
    </row>
    <row r="1195" spans="5:5">
      <c r="E1195" s="120"/>
    </row>
    <row r="1196" spans="5:5">
      <c r="E1196" s="120"/>
    </row>
    <row r="1197" spans="5:5">
      <c r="E1197" s="120"/>
    </row>
    <row r="1198" spans="5:5">
      <c r="E1198" s="120"/>
    </row>
    <row r="1199" spans="5:5">
      <c r="E1199" s="120"/>
    </row>
    <row r="1200" spans="5:5">
      <c r="E1200" s="120"/>
    </row>
    <row r="1201" spans="5:5">
      <c r="E1201" s="120"/>
    </row>
    <row r="1202" spans="5:5">
      <c r="E1202" s="120"/>
    </row>
    <row r="1203" spans="5:5">
      <c r="E1203" s="120"/>
    </row>
    <row r="1204" spans="5:5">
      <c r="E1204" s="120"/>
    </row>
    <row r="1205" spans="5:5">
      <c r="E1205" s="120"/>
    </row>
    <row r="1206" spans="5:5">
      <c r="E1206" s="120"/>
    </row>
    <row r="1207" spans="5:5">
      <c r="E1207" s="120"/>
    </row>
    <row r="1208" spans="5:5">
      <c r="E1208" s="120"/>
    </row>
    <row r="1209" spans="5:5">
      <c r="E1209" s="120"/>
    </row>
    <row r="1210" spans="5:5">
      <c r="E1210" s="120"/>
    </row>
    <row r="1211" spans="5:5">
      <c r="E1211" s="120"/>
    </row>
    <row r="1212" spans="5:5">
      <c r="E1212" s="120"/>
    </row>
    <row r="1213" spans="5:5">
      <c r="E1213" s="120"/>
    </row>
    <row r="1214" spans="5:5">
      <c r="E1214" s="120"/>
    </row>
    <row r="1215" spans="5:5">
      <c r="E1215" s="120"/>
    </row>
    <row r="1216" spans="5:5">
      <c r="E1216" s="120"/>
    </row>
    <row r="1217" spans="5:5">
      <c r="E1217" s="120"/>
    </row>
    <row r="1218" spans="5:5">
      <c r="E1218" s="120"/>
    </row>
    <row r="1219" spans="5:5">
      <c r="E1219" s="120"/>
    </row>
    <row r="1220" spans="5:5">
      <c r="E1220" s="120"/>
    </row>
    <row r="1221" spans="5:5">
      <c r="E1221" s="120"/>
    </row>
    <row r="1222" spans="5:5">
      <c r="E1222" s="120"/>
    </row>
    <row r="1223" spans="5:5">
      <c r="E1223" s="120"/>
    </row>
    <row r="1224" spans="5:5">
      <c r="E1224" s="120"/>
    </row>
    <row r="1225" spans="5:5">
      <c r="E1225" s="120"/>
    </row>
    <row r="1226" spans="5:5">
      <c r="E1226" s="120"/>
    </row>
    <row r="1227" spans="5:5">
      <c r="E1227" s="120"/>
    </row>
    <row r="1228" spans="5:5">
      <c r="E1228" s="120"/>
    </row>
    <row r="1229" spans="5:5">
      <c r="E1229" s="120"/>
    </row>
    <row r="1230" spans="5:5">
      <c r="E1230" s="120"/>
    </row>
    <row r="1231" spans="5:5">
      <c r="E1231" s="120"/>
    </row>
    <row r="1232" spans="5:5">
      <c r="E1232" s="120"/>
    </row>
    <row r="1233" spans="5:5">
      <c r="E1233" s="120"/>
    </row>
    <row r="1234" spans="5:5">
      <c r="E1234" s="120"/>
    </row>
    <row r="1235" spans="5:5">
      <c r="E1235" s="120"/>
    </row>
    <row r="1236" spans="5:5">
      <c r="E1236" s="120"/>
    </row>
    <row r="1237" spans="5:5">
      <c r="E1237" s="120"/>
    </row>
    <row r="1238" spans="5:5">
      <c r="E1238" s="120"/>
    </row>
    <row r="1239" spans="5:5">
      <c r="E1239" s="120"/>
    </row>
    <row r="1240" spans="5:5">
      <c r="E1240" s="120"/>
    </row>
    <row r="1241" spans="5:5">
      <c r="E1241" s="120"/>
    </row>
    <row r="1242" spans="5:5">
      <c r="E1242" s="120"/>
    </row>
    <row r="1243" spans="5:5">
      <c r="E1243" s="120"/>
    </row>
    <row r="1244" spans="5:5">
      <c r="E1244" s="120"/>
    </row>
    <row r="1245" spans="5:5">
      <c r="E1245" s="120"/>
    </row>
    <row r="1246" spans="5:5">
      <c r="E1246" s="120"/>
    </row>
    <row r="1247" spans="5:5">
      <c r="E1247" s="120"/>
    </row>
    <row r="1248" spans="5:5">
      <c r="E1248" s="120"/>
    </row>
    <row r="1249" spans="5:5">
      <c r="E1249" s="120"/>
    </row>
    <row r="1250" spans="5:5">
      <c r="E1250" s="120"/>
    </row>
    <row r="1251" spans="5:5">
      <c r="E1251" s="120"/>
    </row>
    <row r="1252" spans="5:5">
      <c r="E1252" s="120"/>
    </row>
    <row r="1253" spans="5:5">
      <c r="E1253" s="120"/>
    </row>
    <row r="1254" spans="5:5">
      <c r="E1254" s="120"/>
    </row>
    <row r="1255" spans="5:5">
      <c r="E1255" s="120"/>
    </row>
    <row r="1256" spans="5:5">
      <c r="E1256" s="120"/>
    </row>
    <row r="1257" spans="5:5">
      <c r="E1257" s="120"/>
    </row>
    <row r="1258" spans="5:5">
      <c r="E1258" s="120"/>
    </row>
    <row r="1259" spans="5:5">
      <c r="E1259" s="120"/>
    </row>
    <row r="1260" spans="5:5">
      <c r="E1260" s="120"/>
    </row>
    <row r="1261" spans="5:5">
      <c r="E1261" s="120"/>
    </row>
    <row r="1262" spans="5:5">
      <c r="E1262" s="120"/>
    </row>
    <row r="1263" spans="5:5">
      <c r="E1263" s="120"/>
    </row>
    <row r="1264" spans="5:5">
      <c r="E1264" s="120"/>
    </row>
    <row r="1265" spans="5:5">
      <c r="E1265" s="120"/>
    </row>
    <row r="1266" spans="5:5">
      <c r="E1266" s="120"/>
    </row>
    <row r="1267" spans="5:5">
      <c r="E1267" s="120"/>
    </row>
    <row r="1268" spans="5:5">
      <c r="E1268" s="120"/>
    </row>
    <row r="1269" spans="5:5">
      <c r="E1269" s="120"/>
    </row>
    <row r="1270" spans="5:5">
      <c r="E1270" s="120"/>
    </row>
    <row r="1271" spans="5:5">
      <c r="E1271" s="120"/>
    </row>
    <row r="1272" spans="5:5">
      <c r="E1272" s="120"/>
    </row>
    <row r="1273" spans="5:5">
      <c r="E1273" s="120"/>
    </row>
    <row r="1274" spans="5:5">
      <c r="E1274" s="120"/>
    </row>
    <row r="1275" spans="5:5">
      <c r="E1275" s="120"/>
    </row>
    <row r="1276" spans="5:5">
      <c r="E1276" s="120"/>
    </row>
    <row r="1277" spans="5:5">
      <c r="E1277" s="120"/>
    </row>
    <row r="1278" spans="5:5">
      <c r="E1278" s="120"/>
    </row>
    <row r="1279" spans="5:5">
      <c r="E1279" s="120"/>
    </row>
    <row r="1280" spans="5:5">
      <c r="E1280" s="120"/>
    </row>
    <row r="1281" spans="5:5">
      <c r="E1281" s="120"/>
    </row>
    <row r="1282" spans="5:5">
      <c r="E1282" s="120"/>
    </row>
    <row r="1283" spans="5:5">
      <c r="E1283" s="120"/>
    </row>
    <row r="1284" spans="5:5">
      <c r="E1284" s="120"/>
    </row>
    <row r="1285" spans="5:5">
      <c r="E1285" s="120"/>
    </row>
    <row r="1286" spans="5:5">
      <c r="E1286" s="120"/>
    </row>
    <row r="1287" spans="5:5">
      <c r="E1287" s="120"/>
    </row>
    <row r="1288" spans="5:5">
      <c r="E1288" s="120"/>
    </row>
    <row r="1289" spans="5:5">
      <c r="E1289" s="120"/>
    </row>
    <row r="1290" spans="5:5">
      <c r="E1290" s="120"/>
    </row>
    <row r="1291" spans="5:5">
      <c r="E1291" s="120"/>
    </row>
    <row r="1292" spans="5:5">
      <c r="E1292" s="120"/>
    </row>
    <row r="1293" spans="5:5">
      <c r="E1293" s="120"/>
    </row>
    <row r="1294" spans="5:5">
      <c r="E1294" s="120"/>
    </row>
    <row r="1295" spans="5:5">
      <c r="E1295" s="120"/>
    </row>
    <row r="1296" spans="5:5">
      <c r="E1296" s="120"/>
    </row>
    <row r="1297" spans="5:5">
      <c r="E1297" s="120"/>
    </row>
    <row r="1298" spans="5:5">
      <c r="E1298" s="120"/>
    </row>
    <row r="1299" spans="5:5">
      <c r="E1299" s="120"/>
    </row>
    <row r="1300" spans="5:5">
      <c r="E1300" s="120"/>
    </row>
    <row r="1301" spans="5:5">
      <c r="E1301" s="120"/>
    </row>
    <row r="1302" spans="5:5">
      <c r="E1302" s="120"/>
    </row>
    <row r="1303" spans="5:5">
      <c r="E1303" s="120"/>
    </row>
    <row r="1304" spans="5:5">
      <c r="E1304" s="120"/>
    </row>
    <row r="1305" spans="5:5">
      <c r="E1305" s="120"/>
    </row>
    <row r="1306" spans="5:5">
      <c r="E1306" s="120"/>
    </row>
    <row r="1307" spans="5:5">
      <c r="E1307" s="120"/>
    </row>
    <row r="1308" spans="5:5">
      <c r="E1308" s="120"/>
    </row>
    <row r="1309" spans="5:5">
      <c r="E1309" s="120"/>
    </row>
    <row r="1310" spans="5:5">
      <c r="E1310" s="120"/>
    </row>
    <row r="1311" spans="5:5">
      <c r="E1311" s="120"/>
    </row>
    <row r="1312" spans="5:5">
      <c r="E1312" s="120"/>
    </row>
    <row r="1313" spans="5:5">
      <c r="E1313" s="120"/>
    </row>
    <row r="1314" spans="5:5">
      <c r="E1314" s="120"/>
    </row>
    <row r="1315" spans="5:5">
      <c r="E1315" s="120"/>
    </row>
    <row r="1316" spans="5:5">
      <c r="E1316" s="120"/>
    </row>
    <row r="1317" spans="5:5">
      <c r="E1317" s="120"/>
    </row>
    <row r="1318" spans="5:5">
      <c r="E1318" s="120"/>
    </row>
    <row r="1319" spans="5:5">
      <c r="E1319" s="120"/>
    </row>
    <row r="1320" spans="5:5">
      <c r="E1320" s="120"/>
    </row>
    <row r="1321" spans="5:5">
      <c r="E1321" s="120"/>
    </row>
    <row r="1322" spans="5:5">
      <c r="E1322" s="120"/>
    </row>
    <row r="1323" spans="5:5">
      <c r="E1323" s="120"/>
    </row>
    <row r="1324" spans="5:5">
      <c r="E1324" s="120"/>
    </row>
    <row r="1325" spans="5:5">
      <c r="E1325" s="120"/>
    </row>
    <row r="1326" spans="5:5">
      <c r="E1326" s="120"/>
    </row>
    <row r="1327" spans="5:5">
      <c r="E1327" s="120"/>
    </row>
    <row r="1328" spans="5:5">
      <c r="E1328" s="120"/>
    </row>
    <row r="1329" spans="5:5">
      <c r="E1329" s="120"/>
    </row>
    <row r="1330" spans="5:5">
      <c r="E1330" s="120"/>
    </row>
    <row r="1331" spans="5:5">
      <c r="E1331" s="120"/>
    </row>
    <row r="1332" spans="5:5">
      <c r="E1332" s="120"/>
    </row>
    <row r="1333" spans="5:5">
      <c r="E1333" s="120"/>
    </row>
    <row r="1334" spans="5:5">
      <c r="E1334" s="120"/>
    </row>
    <row r="1335" spans="5:5">
      <c r="E1335" s="120"/>
    </row>
    <row r="1336" spans="5:5">
      <c r="E1336" s="120"/>
    </row>
    <row r="1337" spans="5:5">
      <c r="E1337" s="120"/>
    </row>
    <row r="1338" spans="5:5">
      <c r="E1338" s="120"/>
    </row>
    <row r="1339" spans="5:5">
      <c r="E1339" s="120"/>
    </row>
    <row r="1340" spans="5:5">
      <c r="E1340" s="120"/>
    </row>
    <row r="1341" spans="5:5">
      <c r="E1341" s="120"/>
    </row>
    <row r="1342" spans="5:5">
      <c r="E1342" s="120"/>
    </row>
    <row r="1343" spans="5:5">
      <c r="E1343" s="120"/>
    </row>
    <row r="1344" spans="5:5">
      <c r="E1344" s="120"/>
    </row>
    <row r="1345" spans="5:5">
      <c r="E1345" s="120"/>
    </row>
    <row r="1346" spans="5:5">
      <c r="E1346" s="120"/>
    </row>
    <row r="1347" spans="5:5">
      <c r="E1347" s="120"/>
    </row>
    <row r="1348" spans="5:5">
      <c r="E1348" s="120"/>
    </row>
    <row r="1349" spans="5:5">
      <c r="E1349" s="120"/>
    </row>
    <row r="1350" spans="5:5">
      <c r="E1350" s="120"/>
    </row>
    <row r="1351" spans="5:5">
      <c r="E1351" s="120"/>
    </row>
    <row r="1352" spans="5:5">
      <c r="E1352" s="120"/>
    </row>
    <row r="1353" spans="5:5">
      <c r="E1353" s="120"/>
    </row>
    <row r="1354" spans="5:5">
      <c r="E1354" s="120"/>
    </row>
    <row r="1355" spans="5:5">
      <c r="E1355" s="120"/>
    </row>
    <row r="1356" spans="5:5">
      <c r="E1356" s="120"/>
    </row>
    <row r="1357" spans="5:5">
      <c r="E1357" s="120"/>
    </row>
    <row r="1358" spans="5:5">
      <c r="E1358" s="120"/>
    </row>
    <row r="1359" spans="5:5">
      <c r="E1359" s="120"/>
    </row>
    <row r="1360" spans="5:5">
      <c r="E1360" s="120"/>
    </row>
    <row r="1361" spans="5:5">
      <c r="E1361" s="120"/>
    </row>
    <row r="1362" spans="5:5">
      <c r="E1362" s="120"/>
    </row>
    <row r="1363" spans="5:5">
      <c r="E1363" s="120"/>
    </row>
    <row r="1364" spans="5:5">
      <c r="E1364" s="120"/>
    </row>
    <row r="1365" spans="5:5">
      <c r="E1365" s="120"/>
    </row>
    <row r="1366" spans="5:5">
      <c r="E1366" s="120"/>
    </row>
    <row r="1367" spans="5:5">
      <c r="E1367" s="120"/>
    </row>
    <row r="1368" spans="5:5">
      <c r="E1368" s="120"/>
    </row>
    <row r="1369" spans="5:5">
      <c r="E1369" s="120"/>
    </row>
    <row r="1370" spans="5:5">
      <c r="E1370" s="120"/>
    </row>
    <row r="1371" spans="5:5">
      <c r="E1371" s="120"/>
    </row>
    <row r="1372" spans="5:5">
      <c r="E1372" s="120"/>
    </row>
    <row r="1373" spans="5:5">
      <c r="E1373" s="120"/>
    </row>
    <row r="1374" spans="5:5">
      <c r="E1374" s="120"/>
    </row>
    <row r="1375" spans="5:5">
      <c r="E1375" s="120"/>
    </row>
    <row r="1376" spans="5:5">
      <c r="E1376" s="120"/>
    </row>
    <row r="1377" spans="5:5">
      <c r="E1377" s="120"/>
    </row>
    <row r="1378" spans="5:5">
      <c r="E1378" s="120"/>
    </row>
    <row r="1379" spans="5:5">
      <c r="E1379" s="120"/>
    </row>
    <row r="1380" spans="5:5">
      <c r="E1380" s="120"/>
    </row>
    <row r="1381" spans="5:5">
      <c r="E1381" s="120"/>
    </row>
    <row r="1382" spans="5:5">
      <c r="E1382" s="120"/>
    </row>
    <row r="1383" spans="5:5">
      <c r="E1383" s="120"/>
    </row>
    <row r="1384" spans="5:5">
      <c r="E1384" s="120"/>
    </row>
    <row r="1385" spans="5:5">
      <c r="E1385" s="120"/>
    </row>
    <row r="1386" spans="5:5">
      <c r="E1386" s="120"/>
    </row>
    <row r="1387" spans="5:5">
      <c r="E1387" s="120"/>
    </row>
    <row r="1388" spans="5:5">
      <c r="E1388" s="120"/>
    </row>
    <row r="1389" spans="5:5">
      <c r="E1389" s="120"/>
    </row>
    <row r="1390" spans="5:5">
      <c r="E1390" s="120"/>
    </row>
    <row r="1391" spans="5:5">
      <c r="E1391" s="120"/>
    </row>
    <row r="1392" spans="5:5">
      <c r="E1392" s="120"/>
    </row>
    <row r="1393" spans="5:5">
      <c r="E1393" s="120"/>
    </row>
    <row r="1394" spans="5:5">
      <c r="E1394" s="120"/>
    </row>
    <row r="1395" spans="5:5">
      <c r="E1395" s="120"/>
    </row>
    <row r="1396" spans="5:5">
      <c r="E1396" s="120"/>
    </row>
    <row r="1397" spans="5:5">
      <c r="E1397" s="120"/>
    </row>
    <row r="1398" spans="5:5">
      <c r="E1398" s="120"/>
    </row>
    <row r="1399" spans="5:5">
      <c r="E1399" s="120"/>
    </row>
    <row r="1400" spans="5:5">
      <c r="E1400" s="120"/>
    </row>
    <row r="1401" spans="5:5">
      <c r="E1401" s="120"/>
    </row>
    <row r="1402" spans="5:5">
      <c r="E1402" s="120"/>
    </row>
    <row r="1403" spans="5:5">
      <c r="E1403" s="120"/>
    </row>
    <row r="1404" spans="5:5">
      <c r="E1404" s="120"/>
    </row>
    <row r="1405" spans="5:5">
      <c r="E1405" s="120"/>
    </row>
    <row r="1406" spans="5:5">
      <c r="E1406" s="120"/>
    </row>
    <row r="1407" spans="5:5">
      <c r="E1407" s="120"/>
    </row>
    <row r="1408" spans="5:5">
      <c r="E1408" s="120"/>
    </row>
    <row r="1409" spans="5:5">
      <c r="E1409" s="120"/>
    </row>
    <row r="1410" spans="5:5">
      <c r="E1410" s="120"/>
    </row>
    <row r="1411" spans="5:5">
      <c r="E1411" s="120"/>
    </row>
    <row r="1412" spans="5:5">
      <c r="E1412" s="120"/>
    </row>
    <row r="1413" spans="5:5">
      <c r="E1413" s="120"/>
    </row>
    <row r="1414" spans="5:5">
      <c r="E1414" s="120"/>
    </row>
    <row r="1415" spans="5:5">
      <c r="E1415" s="120"/>
    </row>
    <row r="1416" spans="5:5">
      <c r="E1416" s="120"/>
    </row>
    <row r="1417" spans="5:5">
      <c r="E1417" s="120"/>
    </row>
    <row r="1418" spans="5:5">
      <c r="E1418" s="120"/>
    </row>
    <row r="1419" spans="5:5">
      <c r="E1419" s="120"/>
    </row>
    <row r="1420" spans="5:5">
      <c r="E1420" s="120"/>
    </row>
    <row r="1421" spans="5:5">
      <c r="E1421" s="120"/>
    </row>
    <row r="1422" spans="5:5">
      <c r="E1422" s="120"/>
    </row>
    <row r="1423" spans="5:5">
      <c r="E1423" s="120"/>
    </row>
    <row r="1424" spans="5:5">
      <c r="E1424" s="120"/>
    </row>
    <row r="1425" spans="5:5">
      <c r="E1425" s="120"/>
    </row>
    <row r="1426" spans="5:5">
      <c r="E1426" s="120"/>
    </row>
    <row r="1427" spans="5:5">
      <c r="E1427" s="120"/>
    </row>
    <row r="1428" spans="5:5">
      <c r="E1428" s="120"/>
    </row>
    <row r="1429" spans="5:5">
      <c r="E1429" s="120"/>
    </row>
    <row r="1430" spans="5:5">
      <c r="E1430" s="120"/>
    </row>
    <row r="1431" spans="5:5">
      <c r="E1431" s="120"/>
    </row>
    <row r="1432" spans="5:5">
      <c r="E1432" s="120"/>
    </row>
    <row r="1433" spans="5:5">
      <c r="E1433" s="120"/>
    </row>
    <row r="1434" spans="5:5">
      <c r="E1434" s="120"/>
    </row>
    <row r="1435" spans="5:5">
      <c r="E1435" s="120"/>
    </row>
    <row r="1436" spans="5:5">
      <c r="E1436" s="120"/>
    </row>
    <row r="1437" spans="5:5">
      <c r="E1437" s="120"/>
    </row>
    <row r="1438" spans="5:5">
      <c r="E1438" s="120"/>
    </row>
    <row r="1439" spans="5:5">
      <c r="E1439" s="120"/>
    </row>
    <row r="1440" spans="5:5">
      <c r="E1440" s="120"/>
    </row>
    <row r="1441" spans="5:5">
      <c r="E1441" s="120"/>
    </row>
    <row r="1442" spans="5:5">
      <c r="E1442" s="120"/>
    </row>
    <row r="1443" spans="5:5">
      <c r="E1443" s="120"/>
    </row>
    <row r="1444" spans="5:5">
      <c r="E1444" s="120"/>
    </row>
    <row r="1445" spans="5:5">
      <c r="E1445" s="120"/>
    </row>
    <row r="1446" spans="5:5">
      <c r="E1446" s="120"/>
    </row>
    <row r="1447" spans="5:5">
      <c r="E1447" s="120"/>
    </row>
    <row r="1448" spans="5:5">
      <c r="E1448" s="120"/>
    </row>
    <row r="1449" spans="5:5">
      <c r="E1449" s="120"/>
    </row>
    <row r="1450" spans="5:5">
      <c r="E1450" s="120"/>
    </row>
    <row r="1451" spans="5:5">
      <c r="E1451" s="120"/>
    </row>
    <row r="1452" spans="5:5">
      <c r="E1452" s="120"/>
    </row>
    <row r="1453" spans="5:5">
      <c r="E1453" s="120"/>
    </row>
    <row r="1454" spans="5:5">
      <c r="E1454" s="120"/>
    </row>
    <row r="1455" spans="5:5">
      <c r="E1455" s="120"/>
    </row>
    <row r="1456" spans="5:5">
      <c r="E1456" s="120"/>
    </row>
    <row r="1457" spans="5:5">
      <c r="E1457" s="120"/>
    </row>
    <row r="1458" spans="5:5">
      <c r="E1458" s="120"/>
    </row>
    <row r="1459" spans="5:5">
      <c r="E1459" s="120"/>
    </row>
    <row r="1460" spans="5:5">
      <c r="E1460" s="120"/>
    </row>
    <row r="1461" spans="5:5">
      <c r="E1461" s="120"/>
    </row>
    <row r="1462" spans="5:5">
      <c r="E1462" s="120"/>
    </row>
    <row r="1463" spans="5:5">
      <c r="E1463" s="120"/>
    </row>
    <row r="1464" spans="5:5">
      <c r="E1464" s="120"/>
    </row>
    <row r="1465" spans="5:5">
      <c r="E1465" s="120"/>
    </row>
    <row r="1466" spans="5:5">
      <c r="E1466" s="120"/>
    </row>
    <row r="1467" spans="5:5">
      <c r="E1467" s="120"/>
    </row>
    <row r="1468" spans="5:5">
      <c r="E1468" s="120"/>
    </row>
    <row r="1469" spans="5:5">
      <c r="E1469" s="120"/>
    </row>
    <row r="1470" spans="5:5">
      <c r="E1470" s="120"/>
    </row>
    <row r="1471" spans="5:5">
      <c r="E1471" s="120"/>
    </row>
    <row r="1472" spans="5:5">
      <c r="E1472" s="120"/>
    </row>
    <row r="1473" spans="5:5">
      <c r="E1473" s="120"/>
    </row>
    <row r="1474" spans="5:5">
      <c r="E1474" s="120"/>
    </row>
    <row r="1475" spans="5:5">
      <c r="E1475" s="120"/>
    </row>
    <row r="1476" spans="5:5">
      <c r="E1476" s="120"/>
    </row>
    <row r="1477" spans="5:5">
      <c r="E1477" s="120"/>
    </row>
    <row r="1478" spans="5:5">
      <c r="E1478" s="120"/>
    </row>
    <row r="1479" spans="5:5">
      <c r="E1479" s="120"/>
    </row>
    <row r="1480" spans="5:5">
      <c r="E1480" s="120"/>
    </row>
    <row r="1481" spans="5:5">
      <c r="E1481" s="120"/>
    </row>
    <row r="1482" spans="5:5">
      <c r="E1482" s="120"/>
    </row>
    <row r="1483" spans="5:5">
      <c r="E1483" s="120"/>
    </row>
    <row r="1484" spans="5:5">
      <c r="E1484" s="120"/>
    </row>
    <row r="1485" spans="5:5">
      <c r="E1485" s="120"/>
    </row>
    <row r="1486" spans="5:5">
      <c r="E1486" s="120"/>
    </row>
    <row r="1487" spans="5:5">
      <c r="E1487" s="120"/>
    </row>
    <row r="1488" spans="5:5">
      <c r="E1488" s="120"/>
    </row>
    <row r="1489" spans="5:5">
      <c r="E1489" s="120"/>
    </row>
    <row r="1490" spans="5:5">
      <c r="E1490" s="120"/>
    </row>
    <row r="1491" spans="5:5">
      <c r="E1491" s="120"/>
    </row>
    <row r="1492" spans="5:5">
      <c r="E1492" s="120"/>
    </row>
    <row r="1493" spans="5:5">
      <c r="E1493" s="120"/>
    </row>
    <row r="1494" spans="5:5">
      <c r="E1494" s="120"/>
    </row>
    <row r="1495" spans="5:5">
      <c r="E1495" s="120"/>
    </row>
    <row r="1496" spans="5:5">
      <c r="E1496" s="120"/>
    </row>
    <row r="1497" spans="5:5">
      <c r="E1497" s="120"/>
    </row>
    <row r="1498" spans="5:5">
      <c r="E1498" s="120"/>
    </row>
    <row r="1499" spans="5:5">
      <c r="E1499" s="120"/>
    </row>
    <row r="1500" spans="5:5">
      <c r="E1500" s="120"/>
    </row>
    <row r="1501" spans="5:5">
      <c r="E1501" s="120"/>
    </row>
    <row r="1502" spans="5:5">
      <c r="E1502" s="120"/>
    </row>
    <row r="1503" spans="5:5">
      <c r="E1503" s="120"/>
    </row>
    <row r="1504" spans="5:5">
      <c r="E1504" s="120"/>
    </row>
    <row r="1505" spans="5:5">
      <c r="E1505" s="120"/>
    </row>
    <row r="1506" spans="5:5">
      <c r="E1506" s="120"/>
    </row>
    <row r="1507" spans="5:5">
      <c r="E1507" s="120"/>
    </row>
    <row r="1508" spans="5:5">
      <c r="E1508" s="120"/>
    </row>
    <row r="1509" spans="5:5">
      <c r="E1509" s="120"/>
    </row>
    <row r="1510" spans="5:5">
      <c r="E1510" s="120"/>
    </row>
    <row r="1511" spans="5:5">
      <c r="E1511" s="120"/>
    </row>
    <row r="1512" spans="5:5">
      <c r="E1512" s="120"/>
    </row>
    <row r="1513" spans="5:5">
      <c r="E1513" s="120"/>
    </row>
    <row r="1514" spans="5:5">
      <c r="E1514" s="120"/>
    </row>
    <row r="1515" spans="5:5">
      <c r="E1515" s="120"/>
    </row>
    <row r="1516" spans="5:5">
      <c r="E1516" s="120"/>
    </row>
    <row r="1517" spans="5:5">
      <c r="E1517" s="120"/>
    </row>
    <row r="1518" spans="5:5">
      <c r="E1518" s="120"/>
    </row>
    <row r="1519" spans="5:5">
      <c r="E1519" s="120"/>
    </row>
    <row r="1520" spans="5:5">
      <c r="E1520" s="120"/>
    </row>
    <row r="1521" spans="5:5">
      <c r="E1521" s="120"/>
    </row>
    <row r="1522" spans="5:5">
      <c r="E1522" s="120"/>
    </row>
    <row r="1523" spans="5:5">
      <c r="E1523" s="120"/>
    </row>
    <row r="1524" spans="5:5">
      <c r="E1524" s="120"/>
    </row>
    <row r="1525" spans="5:5">
      <c r="E1525" s="120"/>
    </row>
    <row r="1526" spans="5:5">
      <c r="E1526" s="120"/>
    </row>
    <row r="1527" spans="5:5">
      <c r="E1527" s="120"/>
    </row>
    <row r="1528" spans="5:5">
      <c r="E1528" s="120"/>
    </row>
    <row r="1529" spans="5:5">
      <c r="E1529" s="120"/>
    </row>
    <row r="1530" spans="5:5">
      <c r="E1530" s="120"/>
    </row>
    <row r="1531" spans="5:5">
      <c r="E1531" s="120"/>
    </row>
    <row r="1532" spans="5:5">
      <c r="E1532" s="120"/>
    </row>
    <row r="1533" spans="5:5">
      <c r="E1533" s="120"/>
    </row>
    <row r="1534" spans="5:5">
      <c r="E1534" s="120"/>
    </row>
    <row r="1535" spans="5:5">
      <c r="E1535" s="120"/>
    </row>
    <row r="1536" spans="5:5">
      <c r="E1536" s="120"/>
    </row>
    <row r="1537" spans="5:5">
      <c r="E1537" s="120"/>
    </row>
    <row r="1538" spans="5:5">
      <c r="E1538" s="120"/>
    </row>
    <row r="1539" spans="5:5">
      <c r="E1539" s="120"/>
    </row>
    <row r="1540" spans="5:5">
      <c r="E1540" s="120"/>
    </row>
    <row r="1541" spans="5:5">
      <c r="E1541" s="120"/>
    </row>
    <row r="1542" spans="5:5">
      <c r="E1542" s="120"/>
    </row>
    <row r="1543" spans="5:5">
      <c r="E1543" s="120"/>
    </row>
    <row r="1544" spans="5:5">
      <c r="E1544" s="120"/>
    </row>
    <row r="1545" spans="5:5">
      <c r="E1545" s="120"/>
    </row>
    <row r="1546" spans="5:5">
      <c r="E1546" s="120"/>
    </row>
    <row r="1547" spans="5:5">
      <c r="E1547" s="120"/>
    </row>
    <row r="1548" spans="5:5">
      <c r="E1548" s="120"/>
    </row>
    <row r="1549" spans="5:5">
      <c r="E1549" s="120"/>
    </row>
    <row r="1550" spans="5:5">
      <c r="E1550" s="120"/>
    </row>
    <row r="1551" spans="5:5">
      <c r="E1551" s="120"/>
    </row>
    <row r="1552" spans="5:5">
      <c r="E1552" s="120"/>
    </row>
    <row r="1553" spans="5:5">
      <c r="E1553" s="120"/>
    </row>
    <row r="1554" spans="5:5">
      <c r="E1554" s="120"/>
    </row>
    <row r="1555" spans="5:5">
      <c r="E1555" s="120"/>
    </row>
    <row r="1556" spans="5:5">
      <c r="E1556" s="120"/>
    </row>
    <row r="1557" spans="5:5">
      <c r="E1557" s="120"/>
    </row>
    <row r="1558" spans="5:5">
      <c r="E1558" s="120"/>
    </row>
    <row r="1559" spans="5:5">
      <c r="E1559" s="120"/>
    </row>
    <row r="1560" spans="5:5">
      <c r="E1560" s="120"/>
    </row>
    <row r="1561" spans="5:5">
      <c r="E1561" s="120"/>
    </row>
    <row r="1562" spans="5:5">
      <c r="E1562" s="120"/>
    </row>
    <row r="1563" spans="5:5">
      <c r="E1563" s="120"/>
    </row>
    <row r="1564" spans="5:5">
      <c r="E1564" s="120"/>
    </row>
    <row r="1565" spans="5:5">
      <c r="E1565" s="120"/>
    </row>
    <row r="1566" spans="5:5">
      <c r="E1566" s="120"/>
    </row>
    <row r="1567" spans="5:5">
      <c r="E1567" s="120"/>
    </row>
    <row r="1568" spans="5:5">
      <c r="E1568" s="120"/>
    </row>
    <row r="1569" spans="5:5">
      <c r="E1569" s="120"/>
    </row>
    <row r="1570" spans="5:5">
      <c r="E1570" s="120"/>
    </row>
    <row r="1571" spans="5:5">
      <c r="E1571" s="120"/>
    </row>
    <row r="1572" spans="5:5">
      <c r="E1572" s="120"/>
    </row>
    <row r="1573" spans="5:5">
      <c r="E1573" s="120"/>
    </row>
    <row r="1574" spans="5:5">
      <c r="E1574" s="120"/>
    </row>
    <row r="1575" spans="5:5">
      <c r="E1575" s="120"/>
    </row>
    <row r="1576" spans="5:5">
      <c r="E1576" s="120"/>
    </row>
    <row r="1577" spans="5:5">
      <c r="E1577" s="120"/>
    </row>
    <row r="1578" spans="5:5">
      <c r="E1578" s="120"/>
    </row>
    <row r="1579" spans="5:5">
      <c r="E1579" s="120"/>
    </row>
    <row r="1580" spans="5:5">
      <c r="E1580" s="120"/>
    </row>
    <row r="1581" spans="5:5">
      <c r="E1581" s="120"/>
    </row>
    <row r="1582" spans="5:5">
      <c r="E1582" s="120"/>
    </row>
    <row r="1583" spans="5:5">
      <c r="E1583" s="120"/>
    </row>
    <row r="1584" spans="5:5">
      <c r="E1584" s="120"/>
    </row>
    <row r="1585" spans="5:5">
      <c r="E1585" s="120"/>
    </row>
    <row r="1586" spans="5:5">
      <c r="E1586" s="120"/>
    </row>
    <row r="1587" spans="5:5">
      <c r="E1587" s="120"/>
    </row>
    <row r="1588" spans="5:5">
      <c r="E1588" s="120"/>
    </row>
    <row r="1589" spans="5:5">
      <c r="E1589" s="120"/>
    </row>
    <row r="1590" spans="5:5">
      <c r="E1590" s="120"/>
    </row>
    <row r="1591" spans="5:5">
      <c r="E1591" s="120"/>
    </row>
    <row r="1592" spans="5:5">
      <c r="E1592" s="120"/>
    </row>
    <row r="1593" spans="5:5">
      <c r="E1593" s="120"/>
    </row>
    <row r="1594" spans="5:5">
      <c r="E1594" s="120"/>
    </row>
    <row r="1595" spans="5:5">
      <c r="E1595" s="120"/>
    </row>
    <row r="1596" spans="5:5">
      <c r="E1596" s="120"/>
    </row>
    <row r="1597" spans="5:5">
      <c r="E1597" s="120"/>
    </row>
    <row r="1598" spans="5:5">
      <c r="E1598" s="120"/>
    </row>
    <row r="1599" spans="5:5">
      <c r="E1599" s="120"/>
    </row>
    <row r="1600" spans="5:5">
      <c r="E1600" s="120"/>
    </row>
    <row r="1601" spans="5:5">
      <c r="E1601" s="120"/>
    </row>
    <row r="1602" spans="5:5">
      <c r="E1602" s="120"/>
    </row>
    <row r="1603" spans="5:5">
      <c r="E1603" s="120"/>
    </row>
    <row r="1604" spans="5:5">
      <c r="E1604" s="120"/>
    </row>
    <row r="1605" spans="5:5">
      <c r="E1605" s="120"/>
    </row>
    <row r="1606" spans="5:5">
      <c r="E1606" s="120"/>
    </row>
    <row r="1607" spans="5:5">
      <c r="E1607" s="120"/>
    </row>
    <row r="1608" spans="5:5">
      <c r="E1608" s="120"/>
    </row>
    <row r="1609" spans="5:5">
      <c r="E1609" s="120"/>
    </row>
    <row r="1610" spans="5:5">
      <c r="E1610" s="120"/>
    </row>
    <row r="1611" spans="5:5">
      <c r="E1611" s="120"/>
    </row>
    <row r="1612" spans="5:5">
      <c r="E1612" s="120"/>
    </row>
    <row r="1613" spans="5:5">
      <c r="E1613" s="120"/>
    </row>
    <row r="1614" spans="5:5">
      <c r="E1614" s="120"/>
    </row>
    <row r="1615" spans="5:5">
      <c r="E1615" s="120"/>
    </row>
    <row r="1616" spans="5:5">
      <c r="E1616" s="120"/>
    </row>
    <row r="1617" spans="5:5">
      <c r="E1617" s="120"/>
    </row>
    <row r="1618" spans="5:5">
      <c r="E1618" s="120"/>
    </row>
    <row r="1619" spans="5:5">
      <c r="E1619" s="120"/>
    </row>
    <row r="1620" spans="5:5">
      <c r="E1620" s="120"/>
    </row>
    <row r="1621" spans="5:5">
      <c r="E1621" s="120"/>
    </row>
    <row r="1622" spans="5:5">
      <c r="E1622" s="120"/>
    </row>
    <row r="1623" spans="5:5">
      <c r="E1623" s="120"/>
    </row>
    <row r="1624" spans="5:5">
      <c r="E1624" s="120"/>
    </row>
    <row r="1625" spans="5:5">
      <c r="E1625" s="120"/>
    </row>
    <row r="1626" spans="5:5">
      <c r="E1626" s="120"/>
    </row>
    <row r="1627" spans="5:5">
      <c r="E1627" s="120"/>
    </row>
    <row r="1628" spans="5:5">
      <c r="E1628" s="120"/>
    </row>
    <row r="1629" spans="5:5">
      <c r="E1629" s="120"/>
    </row>
    <row r="1630" spans="5:5">
      <c r="E1630" s="120"/>
    </row>
    <row r="1631" spans="5:5">
      <c r="E1631" s="120"/>
    </row>
    <row r="1632" spans="5:5">
      <c r="E1632" s="120"/>
    </row>
    <row r="1633" spans="5:5">
      <c r="E1633" s="120"/>
    </row>
    <row r="1634" spans="5:5">
      <c r="E1634" s="120"/>
    </row>
    <row r="1635" spans="5:5">
      <c r="E1635" s="120"/>
    </row>
    <row r="1636" spans="5:5">
      <c r="E1636" s="120"/>
    </row>
    <row r="1637" spans="5:5">
      <c r="E1637" s="120"/>
    </row>
    <row r="1638" spans="5:5">
      <c r="E1638" s="120"/>
    </row>
    <row r="1639" spans="5:5">
      <c r="E1639" s="120"/>
    </row>
    <row r="1640" spans="5:5">
      <c r="E1640" s="120"/>
    </row>
    <row r="1641" spans="5:5">
      <c r="E1641" s="120"/>
    </row>
    <row r="1642" spans="5:5">
      <c r="E1642" s="120"/>
    </row>
    <row r="1643" spans="5:5">
      <c r="E1643" s="120"/>
    </row>
    <row r="1644" spans="5:5">
      <c r="E1644" s="120"/>
    </row>
    <row r="1645" spans="5:5">
      <c r="E1645" s="120"/>
    </row>
    <row r="1646" spans="5:5">
      <c r="E1646" s="120"/>
    </row>
    <row r="1647" spans="5:5">
      <c r="E1647" s="120"/>
    </row>
    <row r="1648" spans="5:5">
      <c r="E1648" s="120"/>
    </row>
    <row r="1649" spans="5:5">
      <c r="E1649" s="120"/>
    </row>
    <row r="1650" spans="5:5">
      <c r="E1650" s="120"/>
    </row>
    <row r="1651" spans="5:5">
      <c r="E1651" s="120"/>
    </row>
    <row r="1652" spans="5:5">
      <c r="E1652" s="120"/>
    </row>
    <row r="1653" spans="5:5">
      <c r="E1653" s="120"/>
    </row>
    <row r="1654" spans="5:5">
      <c r="E1654" s="120"/>
    </row>
    <row r="1655" spans="5:5">
      <c r="E1655" s="120"/>
    </row>
    <row r="1656" spans="5:5">
      <c r="E1656" s="120"/>
    </row>
    <row r="1657" spans="5:5">
      <c r="E1657" s="120"/>
    </row>
    <row r="1658" spans="5:5">
      <c r="E1658" s="120"/>
    </row>
    <row r="1659" spans="5:5">
      <c r="E1659" s="120"/>
    </row>
    <row r="1660" spans="5:5">
      <c r="E1660" s="120"/>
    </row>
    <row r="1661" spans="5:5">
      <c r="E1661" s="120"/>
    </row>
    <row r="1662" spans="5:5">
      <c r="E1662" s="120"/>
    </row>
    <row r="1663" spans="5:5">
      <c r="E1663" s="120"/>
    </row>
    <row r="1664" spans="5:5">
      <c r="E1664" s="120"/>
    </row>
    <row r="1665" spans="5:5">
      <c r="E1665" s="120"/>
    </row>
    <row r="1666" spans="5:5">
      <c r="E1666" s="120"/>
    </row>
    <row r="1667" spans="5:5">
      <c r="E1667" s="120"/>
    </row>
    <row r="1668" spans="5:5">
      <c r="E1668" s="120"/>
    </row>
    <row r="1669" spans="5:5">
      <c r="E1669" s="120"/>
    </row>
    <row r="1670" spans="5:5">
      <c r="E1670" s="120"/>
    </row>
    <row r="1671" spans="5:5">
      <c r="E1671" s="120"/>
    </row>
    <row r="1672" spans="5:5">
      <c r="E1672" s="120"/>
    </row>
    <row r="1673" spans="5:5">
      <c r="E1673" s="120"/>
    </row>
    <row r="1674" spans="5:5">
      <c r="E1674" s="120"/>
    </row>
    <row r="1675" spans="5:5">
      <c r="E1675" s="120"/>
    </row>
    <row r="1676" spans="5:5">
      <c r="E1676" s="120"/>
    </row>
    <row r="1677" spans="5:5">
      <c r="E1677" s="120"/>
    </row>
    <row r="1678" spans="5:5">
      <c r="E1678" s="120"/>
    </row>
    <row r="1679" spans="5:5">
      <c r="E1679" s="120"/>
    </row>
    <row r="1680" spans="5:5">
      <c r="E1680" s="120"/>
    </row>
    <row r="1681" spans="5:5">
      <c r="E1681" s="120"/>
    </row>
    <row r="1682" spans="5:5">
      <c r="E1682" s="120"/>
    </row>
    <row r="1683" spans="5:5">
      <c r="E1683" s="120"/>
    </row>
    <row r="1684" spans="5:5">
      <c r="E1684" s="120"/>
    </row>
    <row r="1685" spans="5:5">
      <c r="E1685" s="120"/>
    </row>
    <row r="1686" spans="5:5">
      <c r="E1686" s="120"/>
    </row>
    <row r="1687" spans="5:5">
      <c r="E1687" s="120"/>
    </row>
    <row r="1688" spans="5:5">
      <c r="E1688" s="120"/>
    </row>
    <row r="1689" spans="5:5">
      <c r="E1689" s="120"/>
    </row>
    <row r="1690" spans="5:5">
      <c r="E1690" s="120"/>
    </row>
    <row r="1691" spans="5:5">
      <c r="E1691" s="120"/>
    </row>
    <row r="1692" spans="5:5">
      <c r="E1692" s="120"/>
    </row>
    <row r="1693" spans="5:5">
      <c r="E1693" s="120"/>
    </row>
    <row r="1694" spans="5:5">
      <c r="E1694" s="120"/>
    </row>
    <row r="1695" spans="5:5">
      <c r="E1695" s="120"/>
    </row>
    <row r="1696" spans="5:5">
      <c r="E1696" s="120"/>
    </row>
    <row r="1697" spans="5:5">
      <c r="E1697" s="120"/>
    </row>
    <row r="1698" spans="5:5">
      <c r="E1698" s="120"/>
    </row>
    <row r="1699" spans="5:5">
      <c r="E1699" s="120"/>
    </row>
    <row r="1700" spans="5:5">
      <c r="E1700" s="120"/>
    </row>
    <row r="1701" spans="5:5">
      <c r="E1701" s="120"/>
    </row>
    <row r="1702" spans="5:5">
      <c r="E1702" s="120"/>
    </row>
    <row r="1703" spans="5:5">
      <c r="E1703" s="120"/>
    </row>
    <row r="1704" spans="5:5">
      <c r="E1704" s="120"/>
    </row>
    <row r="1705" spans="5:5">
      <c r="E1705" s="120"/>
    </row>
    <row r="1706" spans="5:5">
      <c r="E1706" s="120"/>
    </row>
    <row r="1707" spans="5:5">
      <c r="E1707" s="120"/>
    </row>
    <row r="1708" spans="5:5">
      <c r="E1708" s="120"/>
    </row>
    <row r="1709" spans="5:5">
      <c r="E1709" s="120"/>
    </row>
    <row r="1710" spans="5:5">
      <c r="E1710" s="120"/>
    </row>
    <row r="1711" spans="5:5">
      <c r="E1711" s="120"/>
    </row>
    <row r="1712" spans="5:5">
      <c r="E1712" s="120"/>
    </row>
    <row r="1713" spans="5:5">
      <c r="E1713" s="120"/>
    </row>
    <row r="1714" spans="5:5">
      <c r="E1714" s="120"/>
    </row>
    <row r="1715" spans="5:5">
      <c r="E1715" s="120"/>
    </row>
    <row r="1716" spans="5:5">
      <c r="E1716" s="120"/>
    </row>
    <row r="1717" spans="5:5">
      <c r="E1717" s="120"/>
    </row>
    <row r="1718" spans="5:5">
      <c r="E1718" s="120"/>
    </row>
    <row r="1719" spans="5:5">
      <c r="E1719" s="120"/>
    </row>
    <row r="1720" spans="5:5">
      <c r="E1720" s="120"/>
    </row>
    <row r="1721" spans="5:5">
      <c r="E1721" s="120"/>
    </row>
    <row r="1722" spans="5:5">
      <c r="E1722" s="120"/>
    </row>
    <row r="1723" spans="5:5">
      <c r="E1723" s="120"/>
    </row>
    <row r="1724" spans="5:5">
      <c r="E1724" s="120"/>
    </row>
    <row r="1725" spans="5:5">
      <c r="E1725" s="120"/>
    </row>
    <row r="1726" spans="5:5">
      <c r="E1726" s="120"/>
    </row>
    <row r="1727" spans="5:5">
      <c r="E1727" s="120"/>
    </row>
    <row r="1728" spans="5:5">
      <c r="E1728" s="120"/>
    </row>
    <row r="1729" spans="5:5">
      <c r="E1729" s="120"/>
    </row>
    <row r="1730" spans="5:5">
      <c r="E1730" s="120"/>
    </row>
    <row r="1731" spans="5:5">
      <c r="E1731" s="120"/>
    </row>
    <row r="1732" spans="5:5">
      <c r="E1732" s="120"/>
    </row>
    <row r="1733" spans="5:5">
      <c r="E1733" s="120"/>
    </row>
    <row r="1734" spans="5:5">
      <c r="E1734" s="120"/>
    </row>
    <row r="1735" spans="5:5">
      <c r="E1735" s="120"/>
    </row>
    <row r="1736" spans="5:5">
      <c r="E1736" s="120"/>
    </row>
    <row r="1737" spans="5:5">
      <c r="E1737" s="120"/>
    </row>
    <row r="1738" spans="5:5">
      <c r="E1738" s="120"/>
    </row>
    <row r="1739" spans="5:5">
      <c r="E1739" s="120"/>
    </row>
    <row r="1740" spans="5:5">
      <c r="E1740" s="120"/>
    </row>
    <row r="1741" spans="5:5">
      <c r="E1741" s="120"/>
    </row>
    <row r="1742" spans="5:5">
      <c r="E1742" s="120"/>
    </row>
    <row r="1743" spans="5:5">
      <c r="E1743" s="120"/>
    </row>
    <row r="1744" spans="5:5">
      <c r="E1744" s="120"/>
    </row>
    <row r="1745" spans="5:5">
      <c r="E1745" s="120"/>
    </row>
    <row r="1746" spans="5:5">
      <c r="E1746" s="120"/>
    </row>
    <row r="1747" spans="5:5">
      <c r="E1747" s="120"/>
    </row>
    <row r="1748" spans="5:5">
      <c r="E1748" s="120"/>
    </row>
    <row r="1749" spans="5:5">
      <c r="E1749" s="120"/>
    </row>
    <row r="1750" spans="5:5">
      <c r="E1750" s="120"/>
    </row>
    <row r="1751" spans="5:5">
      <c r="E1751" s="120"/>
    </row>
    <row r="1752" spans="5:5">
      <c r="E1752" s="120"/>
    </row>
    <row r="1753" spans="5:5">
      <c r="E1753" s="120"/>
    </row>
    <row r="1754" spans="5:5">
      <c r="E1754" s="120"/>
    </row>
    <row r="1755" spans="5:5">
      <c r="E1755" s="120"/>
    </row>
    <row r="1756" spans="5:5">
      <c r="E1756" s="120"/>
    </row>
    <row r="1757" spans="5:5">
      <c r="E1757" s="120"/>
    </row>
    <row r="1758" spans="5:5">
      <c r="E1758" s="120"/>
    </row>
    <row r="1759" spans="5:5">
      <c r="E1759" s="120"/>
    </row>
    <row r="1760" spans="5:5">
      <c r="E1760" s="120"/>
    </row>
    <row r="1761" spans="5:5">
      <c r="E1761" s="120"/>
    </row>
    <row r="1762" spans="5:5">
      <c r="E1762" s="120"/>
    </row>
    <row r="1763" spans="5:5">
      <c r="E1763" s="120"/>
    </row>
    <row r="1764" spans="5:5">
      <c r="E1764" s="120"/>
    </row>
    <row r="1765" spans="5:5">
      <c r="E1765" s="120"/>
    </row>
    <row r="1766" spans="5:5">
      <c r="E1766" s="120"/>
    </row>
    <row r="1767" spans="5:5">
      <c r="E1767" s="120"/>
    </row>
    <row r="1768" spans="5:5">
      <c r="E1768" s="120"/>
    </row>
    <row r="1769" spans="5:5">
      <c r="E1769" s="120"/>
    </row>
    <row r="1770" spans="5:5">
      <c r="E1770" s="120"/>
    </row>
    <row r="1771" spans="5:5">
      <c r="E1771" s="120"/>
    </row>
    <row r="1772" spans="5:5">
      <c r="E1772" s="120"/>
    </row>
    <row r="1773" spans="5:5">
      <c r="E1773" s="120"/>
    </row>
    <row r="1774" spans="5:5">
      <c r="E1774" s="120"/>
    </row>
    <row r="1775" spans="5:5">
      <c r="E1775" s="120"/>
    </row>
    <row r="1776" spans="5:5">
      <c r="E1776" s="120"/>
    </row>
    <row r="1777" spans="5:5">
      <c r="E1777" s="120"/>
    </row>
    <row r="1778" spans="5:5">
      <c r="E1778" s="120"/>
    </row>
    <row r="1779" spans="5:5">
      <c r="E1779" s="120"/>
    </row>
    <row r="1780" spans="5:5">
      <c r="E1780" s="120"/>
    </row>
    <row r="1781" spans="5:5">
      <c r="E1781" s="120"/>
    </row>
    <row r="1782" spans="5:5">
      <c r="E1782" s="120"/>
    </row>
    <row r="1783" spans="5:5">
      <c r="E1783" s="120"/>
    </row>
    <row r="1784" spans="5:5">
      <c r="E1784" s="120"/>
    </row>
    <row r="1785" spans="5:5">
      <c r="E1785" s="120"/>
    </row>
    <row r="1786" spans="5:5">
      <c r="E1786" s="120"/>
    </row>
    <row r="1787" spans="5:5">
      <c r="E1787" s="120"/>
    </row>
    <row r="1788" spans="5:5">
      <c r="E1788" s="120"/>
    </row>
    <row r="1789" spans="5:5">
      <c r="E1789" s="120"/>
    </row>
    <row r="1790" spans="5:5">
      <c r="E1790" s="120"/>
    </row>
    <row r="1791" spans="5:5">
      <c r="E1791" s="120"/>
    </row>
    <row r="1792" spans="5:5">
      <c r="E1792" s="120"/>
    </row>
    <row r="1793" spans="5:5">
      <c r="E1793" s="120"/>
    </row>
    <row r="1794" spans="5:5">
      <c r="E1794" s="120"/>
    </row>
    <row r="1795" spans="5:5">
      <c r="E1795" s="120"/>
    </row>
    <row r="1796" spans="5:5">
      <c r="E1796" s="120"/>
    </row>
    <row r="1797" spans="5:5">
      <c r="E1797" s="120"/>
    </row>
    <row r="1798" spans="5:5">
      <c r="E1798" s="120"/>
    </row>
    <row r="1799" spans="5:5">
      <c r="E1799" s="120"/>
    </row>
    <row r="1800" spans="5:5">
      <c r="E1800" s="120"/>
    </row>
    <row r="1801" spans="5:5">
      <c r="E1801" s="120"/>
    </row>
    <row r="1802" spans="5:5">
      <c r="E1802" s="120"/>
    </row>
    <row r="1803" spans="5:5">
      <c r="E1803" s="120"/>
    </row>
    <row r="1804" spans="5:5">
      <c r="E1804" s="120"/>
    </row>
    <row r="1805" spans="5:5">
      <c r="E1805" s="120"/>
    </row>
    <row r="1806" spans="5:5">
      <c r="E1806" s="120"/>
    </row>
    <row r="1807" spans="5:5">
      <c r="E1807" s="120"/>
    </row>
    <row r="1808" spans="5:5">
      <c r="E1808" s="120"/>
    </row>
    <row r="1809" spans="5:5">
      <c r="E1809" s="120"/>
    </row>
    <row r="1810" spans="5:5">
      <c r="E1810" s="120"/>
    </row>
    <row r="1811" spans="5:5">
      <c r="E1811" s="120"/>
    </row>
    <row r="1812" spans="5:5">
      <c r="E1812" s="120"/>
    </row>
    <row r="1813" spans="5:5">
      <c r="E1813" s="120"/>
    </row>
    <row r="1814" spans="5:5">
      <c r="E1814" s="120"/>
    </row>
    <row r="1815" spans="5:5">
      <c r="E1815" s="120"/>
    </row>
    <row r="1816" spans="5:5">
      <c r="E1816" s="120"/>
    </row>
    <row r="1817" spans="5:5">
      <c r="E1817" s="120"/>
    </row>
    <row r="1818" spans="5:5">
      <c r="E1818" s="120"/>
    </row>
    <row r="1819" spans="5:5">
      <c r="E1819" s="120"/>
    </row>
    <row r="1820" spans="5:5">
      <c r="E1820" s="120"/>
    </row>
    <row r="1821" spans="5:5">
      <c r="E1821" s="120"/>
    </row>
    <row r="1822" spans="5:5">
      <c r="E1822" s="120"/>
    </row>
    <row r="1823" spans="5:5">
      <c r="E1823" s="120"/>
    </row>
    <row r="1824" spans="5:5">
      <c r="E1824" s="120"/>
    </row>
    <row r="1825" spans="5:5">
      <c r="E1825" s="120"/>
    </row>
    <row r="1826" spans="5:5">
      <c r="E1826" s="120"/>
    </row>
    <row r="1827" spans="5:5">
      <c r="E1827" s="120"/>
    </row>
    <row r="1828" spans="5:5">
      <c r="E1828" s="120"/>
    </row>
    <row r="1829" spans="5:5">
      <c r="E1829" s="120"/>
    </row>
    <row r="1830" spans="5:5">
      <c r="E1830" s="120"/>
    </row>
    <row r="1831" spans="5:5">
      <c r="E1831" s="120"/>
    </row>
    <row r="1832" spans="5:5">
      <c r="E1832" s="120"/>
    </row>
    <row r="1833" spans="5:5">
      <c r="E1833" s="120"/>
    </row>
    <row r="1834" spans="5:5">
      <c r="E1834" s="120"/>
    </row>
    <row r="1835" spans="5:5">
      <c r="E1835" s="120"/>
    </row>
    <row r="1836" spans="5:5">
      <c r="E1836" s="120"/>
    </row>
    <row r="1837" spans="5:5">
      <c r="E1837" s="120"/>
    </row>
    <row r="1838" spans="5:5">
      <c r="E1838" s="120"/>
    </row>
    <row r="1839" spans="5:5">
      <c r="E1839" s="120"/>
    </row>
    <row r="1840" spans="5:5">
      <c r="E1840" s="120"/>
    </row>
    <row r="1841" spans="5:5">
      <c r="E1841" s="120"/>
    </row>
    <row r="1842" spans="5:5">
      <c r="E1842" s="120"/>
    </row>
    <row r="1843" spans="5:5">
      <c r="E1843" s="120"/>
    </row>
    <row r="1844" spans="5:5">
      <c r="E1844" s="120"/>
    </row>
    <row r="1845" spans="5:5">
      <c r="E1845" s="120"/>
    </row>
    <row r="1846" spans="5:5">
      <c r="E1846" s="120"/>
    </row>
    <row r="1847" spans="5:5">
      <c r="E1847" s="120"/>
    </row>
    <row r="1848" spans="5:5">
      <c r="E1848" s="120"/>
    </row>
    <row r="1849" spans="5:5">
      <c r="E1849" s="120"/>
    </row>
    <row r="1850" spans="5:5">
      <c r="E1850" s="120"/>
    </row>
    <row r="1851" spans="5:5">
      <c r="E1851" s="120"/>
    </row>
    <row r="1852" spans="5:5">
      <c r="E1852" s="120"/>
    </row>
    <row r="1853" spans="5:5">
      <c r="E1853" s="120"/>
    </row>
    <row r="1854" spans="5:5">
      <c r="E1854" s="120"/>
    </row>
    <row r="1855" spans="5:5">
      <c r="E1855" s="120"/>
    </row>
    <row r="1856" spans="5:5">
      <c r="E1856" s="120"/>
    </row>
    <row r="1857" spans="5:5">
      <c r="E1857" s="120"/>
    </row>
    <row r="1858" spans="5:5">
      <c r="E1858" s="120"/>
    </row>
    <row r="1859" spans="5:5">
      <c r="E1859" s="120"/>
    </row>
    <row r="1860" spans="5:5">
      <c r="E1860" s="120"/>
    </row>
    <row r="1861" spans="5:5">
      <c r="E1861" s="120"/>
    </row>
    <row r="1862" spans="5:5">
      <c r="E1862" s="120"/>
    </row>
    <row r="1863" spans="5:5">
      <c r="E1863" s="120"/>
    </row>
    <row r="1864" spans="5:5">
      <c r="E1864" s="120"/>
    </row>
    <row r="1865" spans="5:5">
      <c r="E1865" s="120"/>
    </row>
    <row r="1866" spans="5:5">
      <c r="E1866" s="120"/>
    </row>
    <row r="1867" spans="5:5">
      <c r="E1867" s="120"/>
    </row>
    <row r="1868" spans="5:5">
      <c r="E1868" s="120"/>
    </row>
    <row r="1869" spans="5:5">
      <c r="E1869" s="120"/>
    </row>
    <row r="1870" spans="5:5">
      <c r="E1870" s="120"/>
    </row>
    <row r="1871" spans="5:5">
      <c r="E1871" s="120"/>
    </row>
    <row r="1872" spans="5:5">
      <c r="E1872" s="120"/>
    </row>
    <row r="1873" spans="5:5">
      <c r="E1873" s="120"/>
    </row>
    <row r="1874" spans="5:5">
      <c r="E1874" s="120"/>
    </row>
    <row r="1875" spans="5:5">
      <c r="E1875" s="120"/>
    </row>
    <row r="1876" spans="5:5">
      <c r="E1876" s="120"/>
    </row>
    <row r="1877" spans="5:5">
      <c r="E1877" s="120"/>
    </row>
    <row r="1878" spans="5:5">
      <c r="E1878" s="120"/>
    </row>
    <row r="1879" spans="5:5">
      <c r="E1879" s="120"/>
    </row>
    <row r="1880" spans="5:5">
      <c r="E1880" s="120"/>
    </row>
    <row r="1881" spans="5:5">
      <c r="E1881" s="120"/>
    </row>
    <row r="1882" spans="5:5">
      <c r="E1882" s="120"/>
    </row>
    <row r="1883" spans="5:5">
      <c r="E1883" s="120"/>
    </row>
    <row r="1884" spans="5:5">
      <c r="E1884" s="120"/>
    </row>
    <row r="1885" spans="5:5">
      <c r="E1885" s="120"/>
    </row>
    <row r="1886" spans="5:5">
      <c r="E1886" s="120"/>
    </row>
    <row r="1887" spans="5:5">
      <c r="E1887" s="120"/>
    </row>
    <row r="1888" spans="5:5">
      <c r="E1888" s="120"/>
    </row>
    <row r="1889" spans="5:5">
      <c r="E1889" s="120"/>
    </row>
    <row r="1890" spans="5:5">
      <c r="E1890" s="120"/>
    </row>
    <row r="1891" spans="5:5">
      <c r="E1891" s="120"/>
    </row>
    <row r="1892" spans="5:5">
      <c r="E1892" s="120"/>
    </row>
    <row r="1893" spans="5:5">
      <c r="E1893" s="120"/>
    </row>
    <row r="1894" spans="5:5">
      <c r="E1894" s="120"/>
    </row>
    <row r="1895" spans="5:5">
      <c r="E1895" s="120"/>
    </row>
    <row r="1896" spans="5:5">
      <c r="E1896" s="120"/>
    </row>
    <row r="1897" spans="5:5">
      <c r="E1897" s="120"/>
    </row>
    <row r="1898" spans="5:5">
      <c r="E1898" s="120"/>
    </row>
    <row r="1899" spans="5:5">
      <c r="E1899" s="120"/>
    </row>
    <row r="1900" spans="5:5">
      <c r="E1900" s="120"/>
    </row>
    <row r="1901" spans="5:5">
      <c r="E1901" s="120"/>
    </row>
    <row r="1902" spans="5:5">
      <c r="E1902" s="120"/>
    </row>
    <row r="1903" spans="5:5">
      <c r="E1903" s="120"/>
    </row>
    <row r="1904" spans="5:5">
      <c r="E1904" s="120"/>
    </row>
    <row r="1905" spans="5:5">
      <c r="E1905" s="120"/>
    </row>
    <row r="1906" spans="5:5">
      <c r="E1906" s="120"/>
    </row>
    <row r="1907" spans="5:5">
      <c r="E1907" s="120"/>
    </row>
    <row r="1908" spans="5:5">
      <c r="E1908" s="120"/>
    </row>
    <row r="1909" spans="5:5">
      <c r="E1909" s="120"/>
    </row>
    <row r="1910" spans="5:5">
      <c r="E1910" s="120"/>
    </row>
    <row r="1911" spans="5:5">
      <c r="E1911" s="120"/>
    </row>
    <row r="1912" spans="5:5">
      <c r="E1912" s="120"/>
    </row>
    <row r="1913" spans="5:5">
      <c r="E1913" s="120"/>
    </row>
    <row r="1914" spans="5:5">
      <c r="E1914" s="120"/>
    </row>
    <row r="1915" spans="5:5">
      <c r="E1915" s="120"/>
    </row>
    <row r="1916" spans="5:5">
      <c r="E1916" s="120"/>
    </row>
    <row r="1917" spans="5:5">
      <c r="E1917" s="120"/>
    </row>
    <row r="1918" spans="5:5">
      <c r="E1918" s="120"/>
    </row>
    <row r="1919" spans="5:5">
      <c r="E1919" s="120"/>
    </row>
    <row r="1920" spans="5:5">
      <c r="E1920" s="120"/>
    </row>
    <row r="1921" spans="5:5">
      <c r="E1921" s="120"/>
    </row>
    <row r="1922" spans="5:5">
      <c r="E1922" s="120"/>
    </row>
    <row r="1923" spans="5:5">
      <c r="E1923" s="120"/>
    </row>
    <row r="1924" spans="5:5">
      <c r="E1924" s="120"/>
    </row>
    <row r="1925" spans="5:5">
      <c r="E1925" s="120"/>
    </row>
    <row r="1926" spans="5:5">
      <c r="E1926" s="120"/>
    </row>
    <row r="1927" spans="5:5">
      <c r="E1927" s="120"/>
    </row>
    <row r="1928" spans="5:5">
      <c r="E1928" s="120"/>
    </row>
    <row r="1929" spans="5:5">
      <c r="E1929" s="120"/>
    </row>
    <row r="1930" spans="5:5">
      <c r="E1930" s="120"/>
    </row>
    <row r="1931" spans="5:5">
      <c r="E1931" s="120"/>
    </row>
    <row r="1932" spans="5:5">
      <c r="E1932" s="120"/>
    </row>
    <row r="1933" spans="5:5">
      <c r="E1933" s="120"/>
    </row>
    <row r="1934" spans="5:5">
      <c r="E1934" s="120"/>
    </row>
    <row r="1935" spans="5:5">
      <c r="E1935" s="120"/>
    </row>
    <row r="1936" spans="5:5">
      <c r="E1936" s="120"/>
    </row>
    <row r="1937" spans="5:5">
      <c r="E1937" s="120"/>
    </row>
    <row r="1938" spans="5:5">
      <c r="E1938" s="120"/>
    </row>
    <row r="1939" spans="5:5">
      <c r="E1939" s="120"/>
    </row>
    <row r="1940" spans="5:5">
      <c r="E1940" s="120"/>
    </row>
    <row r="1941" spans="5:5">
      <c r="E1941" s="120"/>
    </row>
    <row r="1942" spans="5:5">
      <c r="E1942" s="120"/>
    </row>
    <row r="1943" spans="5:5">
      <c r="E1943" s="120"/>
    </row>
    <row r="1944" spans="5:5">
      <c r="E1944" s="120"/>
    </row>
    <row r="1945" spans="5:5">
      <c r="E1945" s="120"/>
    </row>
    <row r="1946" spans="5:5">
      <c r="E1946" s="120"/>
    </row>
    <row r="1947" spans="5:5">
      <c r="E1947" s="120"/>
    </row>
    <row r="1948" spans="5:5">
      <c r="E1948" s="120"/>
    </row>
    <row r="1949" spans="5:5">
      <c r="E1949" s="120"/>
    </row>
    <row r="1950" spans="5:5">
      <c r="E1950" s="120"/>
    </row>
    <row r="1951" spans="5:5">
      <c r="E1951" s="120"/>
    </row>
    <row r="1952" spans="5:5">
      <c r="E1952" s="120"/>
    </row>
    <row r="1953" spans="5:5">
      <c r="E1953" s="120"/>
    </row>
    <row r="1954" spans="5:5">
      <c r="E1954" s="120"/>
    </row>
    <row r="1955" spans="5:5">
      <c r="E1955" s="120"/>
    </row>
    <row r="1956" spans="5:5">
      <c r="E1956" s="120"/>
    </row>
    <row r="1957" spans="5:5">
      <c r="E1957" s="120"/>
    </row>
    <row r="1958" spans="5:5">
      <c r="E1958" s="120"/>
    </row>
    <row r="1959" spans="5:5">
      <c r="E1959" s="120"/>
    </row>
    <row r="1960" spans="5:5">
      <c r="E1960" s="120"/>
    </row>
    <row r="1961" spans="5:5">
      <c r="E1961" s="120"/>
    </row>
    <row r="1962" spans="5:5">
      <c r="E1962" s="120"/>
    </row>
    <row r="1963" spans="5:5">
      <c r="E1963" s="120"/>
    </row>
    <row r="1964" spans="5:5">
      <c r="E1964" s="120"/>
    </row>
    <row r="1965" spans="5:5">
      <c r="E1965" s="120"/>
    </row>
    <row r="1966" spans="5:5">
      <c r="E1966" s="120"/>
    </row>
    <row r="1967" spans="5:5">
      <c r="E1967" s="120"/>
    </row>
    <row r="1968" spans="5:5">
      <c r="E1968" s="120"/>
    </row>
    <row r="1969" spans="5:5">
      <c r="E1969" s="120"/>
    </row>
    <row r="1970" spans="5:5">
      <c r="E1970" s="120"/>
    </row>
    <row r="1971" spans="5:5">
      <c r="E1971" s="120"/>
    </row>
    <row r="1972" spans="5:5">
      <c r="E1972" s="120"/>
    </row>
    <row r="1973" spans="5:5">
      <c r="E1973" s="120"/>
    </row>
    <row r="1974" spans="5:5">
      <c r="E1974" s="120"/>
    </row>
    <row r="1975" spans="5:5">
      <c r="E1975" s="120"/>
    </row>
    <row r="1976" spans="5:5">
      <c r="E1976" s="120"/>
    </row>
    <row r="1977" spans="5:5">
      <c r="E1977" s="120"/>
    </row>
    <row r="1978" spans="5:5">
      <c r="E1978" s="120"/>
    </row>
    <row r="1979" spans="5:5">
      <c r="E1979" s="120"/>
    </row>
    <row r="1980" spans="5:5">
      <c r="E1980" s="120"/>
    </row>
    <row r="1981" spans="5:5">
      <c r="E1981" s="120"/>
    </row>
    <row r="1982" spans="5:5">
      <c r="E1982" s="120"/>
    </row>
    <row r="1983" spans="5:5">
      <c r="E1983" s="120"/>
    </row>
    <row r="1984" spans="5:5">
      <c r="E1984" s="120"/>
    </row>
    <row r="1985" spans="5:5">
      <c r="E1985" s="120"/>
    </row>
    <row r="1986" spans="5:5">
      <c r="E1986" s="120"/>
    </row>
    <row r="1987" spans="5:5">
      <c r="E1987" s="120"/>
    </row>
    <row r="1988" spans="5:5">
      <c r="E1988" s="120"/>
    </row>
    <row r="1989" spans="5:5">
      <c r="E1989" s="120"/>
    </row>
    <row r="1990" spans="5:5">
      <c r="E1990" s="120"/>
    </row>
    <row r="1991" spans="5:5">
      <c r="E1991" s="120"/>
    </row>
    <row r="1992" spans="5:5">
      <c r="E1992" s="120"/>
    </row>
    <row r="1993" spans="5:5">
      <c r="E1993" s="120"/>
    </row>
    <row r="1994" spans="5:5">
      <c r="E1994" s="120"/>
    </row>
    <row r="1995" spans="5:5">
      <c r="E1995" s="120"/>
    </row>
    <row r="1996" spans="5:5">
      <c r="E1996" s="120"/>
    </row>
    <row r="1997" spans="5:5">
      <c r="E1997" s="120"/>
    </row>
    <row r="1998" spans="5:5">
      <c r="E1998" s="120"/>
    </row>
    <row r="1999" spans="5:5">
      <c r="E1999" s="120"/>
    </row>
    <row r="2000" spans="5:5">
      <c r="E2000" s="120"/>
    </row>
    <row r="2001" spans="5:5">
      <c r="E2001" s="120"/>
    </row>
    <row r="2002" spans="5:5">
      <c r="E2002" s="120"/>
    </row>
    <row r="2003" spans="5:5">
      <c r="E2003" s="120"/>
    </row>
    <row r="2004" spans="5:5">
      <c r="E2004" s="120"/>
    </row>
    <row r="2005" spans="5:5">
      <c r="E2005" s="120"/>
    </row>
    <row r="2006" spans="5:5">
      <c r="E2006" s="120"/>
    </row>
    <row r="2007" spans="5:5">
      <c r="E2007" s="120"/>
    </row>
    <row r="2008" spans="5:5">
      <c r="E2008" s="120"/>
    </row>
    <row r="2009" spans="5:5">
      <c r="E2009" s="120"/>
    </row>
    <row r="2010" spans="5:5">
      <c r="E2010" s="120"/>
    </row>
    <row r="2011" spans="5:5">
      <c r="E2011" s="120"/>
    </row>
    <row r="2012" spans="5:5">
      <c r="E2012" s="120"/>
    </row>
    <row r="2013" spans="5:5">
      <c r="E2013" s="120"/>
    </row>
    <row r="2014" spans="5:5">
      <c r="E2014" s="120"/>
    </row>
    <row r="2015" spans="5:5">
      <c r="E2015" s="120"/>
    </row>
    <row r="2016" spans="5:5">
      <c r="E2016" s="120"/>
    </row>
    <row r="2017" spans="5:5">
      <c r="E2017" s="120"/>
    </row>
    <row r="2018" spans="5:5">
      <c r="E2018" s="120"/>
    </row>
    <row r="2019" spans="5:5">
      <c r="E2019" s="120"/>
    </row>
    <row r="2020" spans="5:5">
      <c r="E2020" s="120"/>
    </row>
    <row r="2021" spans="5:5">
      <c r="E2021" s="120"/>
    </row>
    <row r="2022" spans="5:5">
      <c r="E2022" s="120"/>
    </row>
    <row r="2023" spans="5:5">
      <c r="E2023" s="120"/>
    </row>
    <row r="2024" spans="5:5">
      <c r="E2024" s="120"/>
    </row>
    <row r="2025" spans="5:5">
      <c r="E2025" s="120"/>
    </row>
    <row r="2026" spans="5:5">
      <c r="E2026" s="120"/>
    </row>
    <row r="2027" spans="5:5">
      <c r="E2027" s="120"/>
    </row>
    <row r="2028" spans="5:5">
      <c r="E2028" s="120"/>
    </row>
    <row r="2029" spans="5:5">
      <c r="E2029" s="120"/>
    </row>
    <row r="2030" spans="5:5">
      <c r="E2030" s="120"/>
    </row>
    <row r="2031" spans="5:5">
      <c r="E2031" s="120"/>
    </row>
    <row r="2032" spans="5:5">
      <c r="E2032" s="120"/>
    </row>
    <row r="2033" spans="5:5">
      <c r="E2033" s="120"/>
    </row>
    <row r="2034" spans="5:5">
      <c r="E2034" s="120"/>
    </row>
    <row r="2035" spans="5:5">
      <c r="E2035" s="120"/>
    </row>
    <row r="2036" spans="5:5">
      <c r="E2036" s="120"/>
    </row>
    <row r="2037" spans="5:5">
      <c r="E2037" s="120"/>
    </row>
    <row r="2038" spans="5:5">
      <c r="E2038" s="120"/>
    </row>
    <row r="2039" spans="5:5">
      <c r="E2039" s="120"/>
    </row>
    <row r="2040" spans="5:5">
      <c r="E2040" s="120"/>
    </row>
    <row r="2041" spans="5:5">
      <c r="E2041" s="120"/>
    </row>
    <row r="2042" spans="5:5">
      <c r="E2042" s="120"/>
    </row>
    <row r="2043" spans="5:5">
      <c r="E2043" s="120"/>
    </row>
    <row r="2044" spans="5:5">
      <c r="E2044" s="120"/>
    </row>
    <row r="2045" spans="5:5">
      <c r="E2045" s="120"/>
    </row>
    <row r="2046" spans="5:5">
      <c r="E2046" s="120"/>
    </row>
    <row r="2047" spans="5:5">
      <c r="E2047" s="120"/>
    </row>
    <row r="2048" spans="5:5">
      <c r="E2048" s="120"/>
    </row>
    <row r="2049" spans="5:5">
      <c r="E2049" s="120"/>
    </row>
    <row r="2050" spans="5:5">
      <c r="E2050" s="120"/>
    </row>
    <row r="2051" spans="5:5">
      <c r="E2051" s="120"/>
    </row>
    <row r="2052" spans="5:5">
      <c r="E2052" s="120"/>
    </row>
    <row r="2053" spans="5:5">
      <c r="E2053" s="120"/>
    </row>
    <row r="2054" spans="5:5">
      <c r="E2054" s="120"/>
    </row>
    <row r="2055" spans="5:5">
      <c r="E2055" s="120"/>
    </row>
    <row r="2056" spans="5:5">
      <c r="E2056" s="120"/>
    </row>
    <row r="2057" spans="5:5">
      <c r="E2057" s="120"/>
    </row>
    <row r="2058" spans="5:5">
      <c r="E2058" s="120"/>
    </row>
    <row r="2059" spans="5:5">
      <c r="E2059" s="120"/>
    </row>
    <row r="2060" spans="5:5">
      <c r="E2060" s="120"/>
    </row>
    <row r="2061" spans="5:5">
      <c r="E2061" s="120"/>
    </row>
    <row r="2062" spans="5:5">
      <c r="E2062" s="120"/>
    </row>
    <row r="2063" spans="5:5">
      <c r="E2063" s="120"/>
    </row>
    <row r="2064" spans="5:5">
      <c r="E2064" s="120"/>
    </row>
    <row r="2065" spans="5:5">
      <c r="E2065" s="120"/>
    </row>
    <row r="2066" spans="5:5">
      <c r="E2066" s="120"/>
    </row>
    <row r="2067" spans="5:5">
      <c r="E2067" s="120"/>
    </row>
    <row r="2068" spans="5:5">
      <c r="E2068" s="120"/>
    </row>
    <row r="2069" spans="5:5">
      <c r="E2069" s="120"/>
    </row>
    <row r="2070" spans="5:5">
      <c r="E2070" s="120"/>
    </row>
    <row r="2071" spans="5:5">
      <c r="E2071" s="120"/>
    </row>
    <row r="2072" spans="5:5">
      <c r="E2072" s="120"/>
    </row>
    <row r="2073" spans="5:5">
      <c r="E2073" s="120"/>
    </row>
    <row r="2074" spans="5:5">
      <c r="E2074" s="120"/>
    </row>
    <row r="2075" spans="5:5">
      <c r="E2075" s="120"/>
    </row>
    <row r="2076" spans="5:5">
      <c r="E2076" s="120"/>
    </row>
    <row r="2077" spans="5:5">
      <c r="E2077" s="120"/>
    </row>
    <row r="2078" spans="5:5">
      <c r="E2078" s="120"/>
    </row>
    <row r="2079" spans="5:5">
      <c r="E2079" s="120"/>
    </row>
    <row r="2080" spans="5:5">
      <c r="E2080" s="120"/>
    </row>
    <row r="2081" spans="5:5">
      <c r="E2081" s="120"/>
    </row>
    <row r="2082" spans="5:5">
      <c r="E2082" s="120"/>
    </row>
    <row r="2083" spans="5:5">
      <c r="E2083" s="120"/>
    </row>
    <row r="2084" spans="5:5">
      <c r="E2084" s="120"/>
    </row>
    <row r="2085" spans="5:5">
      <c r="E2085" s="120"/>
    </row>
    <row r="2086" spans="5:5">
      <c r="E2086" s="120"/>
    </row>
    <row r="2087" spans="5:5">
      <c r="E2087" s="120"/>
    </row>
    <row r="2088" spans="5:5">
      <c r="E2088" s="120"/>
    </row>
    <row r="2089" spans="5:5">
      <c r="E2089" s="120"/>
    </row>
    <row r="2090" spans="5:5">
      <c r="E2090" s="120"/>
    </row>
    <row r="2091" spans="5:5">
      <c r="E2091" s="120"/>
    </row>
    <row r="2092" spans="5:5">
      <c r="E2092" s="120"/>
    </row>
    <row r="2093" spans="5:5">
      <c r="E2093" s="120"/>
    </row>
    <row r="2094" spans="5:5">
      <c r="E2094" s="120"/>
    </row>
    <row r="2095" spans="5:5">
      <c r="E2095" s="120"/>
    </row>
    <row r="2096" spans="5:5">
      <c r="E2096" s="120"/>
    </row>
    <row r="2097" spans="5:5">
      <c r="E2097" s="120"/>
    </row>
    <row r="2098" spans="5:5">
      <c r="E2098" s="120"/>
    </row>
    <row r="2099" spans="5:5">
      <c r="E2099" s="120"/>
    </row>
    <row r="2100" spans="5:5">
      <c r="E2100" s="120"/>
    </row>
    <row r="2101" spans="5:5">
      <c r="E2101" s="120"/>
    </row>
    <row r="2102" spans="5:5">
      <c r="E2102" s="120"/>
    </row>
    <row r="2103" spans="5:5">
      <c r="E2103" s="120"/>
    </row>
    <row r="2104" spans="5:5">
      <c r="E2104" s="120"/>
    </row>
    <row r="2105" spans="5:5">
      <c r="E2105" s="120"/>
    </row>
    <row r="2106" spans="5:5">
      <c r="E2106" s="120"/>
    </row>
    <row r="2107" spans="5:5">
      <c r="E2107" s="120"/>
    </row>
    <row r="2108" spans="5:5">
      <c r="E2108" s="120"/>
    </row>
    <row r="2109" spans="5:5">
      <c r="E2109" s="120"/>
    </row>
    <row r="2110" spans="5:5">
      <c r="E2110" s="120"/>
    </row>
    <row r="2111" spans="5:5">
      <c r="E2111" s="120"/>
    </row>
    <row r="2112" spans="5:5">
      <c r="E2112" s="120"/>
    </row>
    <row r="2113" spans="5:5">
      <c r="E2113" s="120"/>
    </row>
    <row r="2114" spans="5:5">
      <c r="E2114" s="120"/>
    </row>
    <row r="2115" spans="5:5">
      <c r="E2115" s="120"/>
    </row>
    <row r="2116" spans="5:5">
      <c r="E2116" s="120"/>
    </row>
    <row r="2117" spans="5:5">
      <c r="E2117" s="120"/>
    </row>
    <row r="2118" spans="5:5">
      <c r="E2118" s="120"/>
    </row>
    <row r="2119" spans="5:5">
      <c r="E2119" s="120"/>
    </row>
    <row r="2120" spans="5:5">
      <c r="E2120" s="120"/>
    </row>
    <row r="2121" spans="5:5">
      <c r="E2121" s="120"/>
    </row>
    <row r="2122" spans="5:5">
      <c r="E2122" s="120"/>
    </row>
    <row r="2123" spans="5:5">
      <c r="E2123" s="120"/>
    </row>
    <row r="2124" spans="5:5">
      <c r="E2124" s="120"/>
    </row>
    <row r="2125" spans="5:5">
      <c r="E2125" s="120"/>
    </row>
    <row r="2126" spans="5:5">
      <c r="E2126" s="120"/>
    </row>
    <row r="2127" spans="5:5">
      <c r="E2127" s="120"/>
    </row>
    <row r="2128" spans="5:5">
      <c r="E2128" s="120"/>
    </row>
    <row r="2129" spans="5:5">
      <c r="E2129" s="120"/>
    </row>
    <row r="2130" spans="5:5">
      <c r="E2130" s="120"/>
    </row>
    <row r="2131" spans="5:5">
      <c r="E2131" s="120"/>
    </row>
    <row r="2132" spans="5:5">
      <c r="E2132" s="120"/>
    </row>
    <row r="2133" spans="5:5">
      <c r="E2133" s="120"/>
    </row>
    <row r="2134" spans="5:5">
      <c r="E2134" s="120"/>
    </row>
    <row r="2135" spans="5:5">
      <c r="E2135" s="120"/>
    </row>
    <row r="2136" spans="5:5">
      <c r="E2136" s="120"/>
    </row>
    <row r="2137" spans="5:5">
      <c r="E2137" s="120"/>
    </row>
    <row r="2138" spans="5:5">
      <c r="E2138" s="120"/>
    </row>
    <row r="2139" spans="5:5">
      <c r="E2139" s="120"/>
    </row>
    <row r="2140" spans="5:5">
      <c r="E2140" s="120"/>
    </row>
    <row r="2141" spans="5:5">
      <c r="E2141" s="120"/>
    </row>
    <row r="2142" spans="5:5">
      <c r="E2142" s="120"/>
    </row>
    <row r="2143" spans="5:5">
      <c r="E2143" s="120"/>
    </row>
    <row r="2144" spans="5:5">
      <c r="E2144" s="120"/>
    </row>
    <row r="2145" spans="5:5">
      <c r="E2145" s="120"/>
    </row>
    <row r="2146" spans="5:5">
      <c r="E2146" s="120"/>
    </row>
    <row r="2147" spans="5:5">
      <c r="E2147" s="120"/>
    </row>
    <row r="2148" spans="5:5">
      <c r="E2148" s="120"/>
    </row>
    <row r="2149" spans="5:5">
      <c r="E2149" s="120"/>
    </row>
    <row r="2150" spans="5:5">
      <c r="E2150" s="120"/>
    </row>
    <row r="2151" spans="5:5">
      <c r="E2151" s="120"/>
    </row>
    <row r="2152" spans="5:5">
      <c r="E2152" s="120"/>
    </row>
    <row r="2153" spans="5:5">
      <c r="E2153" s="120"/>
    </row>
    <row r="2154" spans="5:5">
      <c r="E2154" s="120"/>
    </row>
    <row r="2155" spans="5:5">
      <c r="E2155" s="120"/>
    </row>
    <row r="2156" spans="5:5">
      <c r="E2156" s="120"/>
    </row>
    <row r="2157" spans="5:5">
      <c r="E2157" s="120"/>
    </row>
    <row r="2158" spans="5:5">
      <c r="E2158" s="120"/>
    </row>
    <row r="2159" spans="5:5">
      <c r="E2159" s="120"/>
    </row>
    <row r="2160" spans="5:5">
      <c r="E2160" s="120"/>
    </row>
    <row r="2161" spans="5:5">
      <c r="E2161" s="120"/>
    </row>
    <row r="2162" spans="5:5">
      <c r="E2162" s="120"/>
    </row>
    <row r="2163" spans="5:5">
      <c r="E2163" s="120"/>
    </row>
    <row r="2164" spans="5:5">
      <c r="E2164" s="120"/>
    </row>
    <row r="2165" spans="5:5">
      <c r="E2165" s="120"/>
    </row>
    <row r="2166" spans="5:5">
      <c r="E2166" s="120"/>
    </row>
    <row r="2167" spans="5:5">
      <c r="E2167" s="120"/>
    </row>
    <row r="2168" spans="5:5">
      <c r="E2168" s="120"/>
    </row>
    <row r="2169" spans="5:5">
      <c r="E2169" s="120"/>
    </row>
    <row r="2170" spans="5:5">
      <c r="E2170" s="120"/>
    </row>
    <row r="2171" spans="5:5">
      <c r="E2171" s="120"/>
    </row>
    <row r="2172" spans="5:5">
      <c r="E2172" s="120"/>
    </row>
    <row r="2173" spans="5:5">
      <c r="E2173" s="120"/>
    </row>
    <row r="2174" spans="5:5">
      <c r="E2174" s="120"/>
    </row>
    <row r="2175" spans="5:5">
      <c r="E2175" s="120"/>
    </row>
    <row r="2176" spans="5:5">
      <c r="E2176" s="120"/>
    </row>
    <row r="2177" spans="5:5">
      <c r="E2177" s="120"/>
    </row>
    <row r="2178" spans="5:5">
      <c r="E2178" s="120"/>
    </row>
    <row r="2179" spans="5:5">
      <c r="E2179" s="120"/>
    </row>
    <row r="2180" spans="5:5">
      <c r="E2180" s="120"/>
    </row>
    <row r="2181" spans="5:5">
      <c r="E2181" s="120"/>
    </row>
    <row r="2182" spans="5:5">
      <c r="E2182" s="120"/>
    </row>
    <row r="2183" spans="5:5">
      <c r="E2183" s="120"/>
    </row>
    <row r="2184" spans="5:5">
      <c r="E2184" s="120"/>
    </row>
    <row r="2185" spans="5:5">
      <c r="E2185" s="120"/>
    </row>
    <row r="2186" spans="5:5">
      <c r="E2186" s="120"/>
    </row>
    <row r="2187" spans="5:5">
      <c r="E2187" s="120"/>
    </row>
    <row r="2188" spans="5:5">
      <c r="E2188" s="120"/>
    </row>
    <row r="2189" spans="5:5">
      <c r="E2189" s="120"/>
    </row>
    <row r="2190" spans="5:5">
      <c r="E2190" s="120"/>
    </row>
    <row r="2191" spans="5:5">
      <c r="E2191" s="120"/>
    </row>
    <row r="2192" spans="5:5">
      <c r="E2192" s="120"/>
    </row>
    <row r="2193" spans="5:5">
      <c r="E2193" s="120"/>
    </row>
    <row r="2194" spans="5:5">
      <c r="E2194" s="120"/>
    </row>
    <row r="2195" spans="5:5">
      <c r="E2195" s="120"/>
    </row>
    <row r="2196" spans="5:5">
      <c r="E2196" s="120"/>
    </row>
    <row r="2197" spans="5:5">
      <c r="E2197" s="120"/>
    </row>
    <row r="2198" spans="5:5">
      <c r="E2198" s="120"/>
    </row>
    <row r="2199" spans="5:5">
      <c r="E2199" s="120"/>
    </row>
    <row r="2200" spans="5:5">
      <c r="E2200" s="120"/>
    </row>
    <row r="2201" spans="5:5">
      <c r="E2201" s="120"/>
    </row>
    <row r="2202" spans="5:5">
      <c r="E2202" s="120"/>
    </row>
    <row r="2203" spans="5:5">
      <c r="E2203" s="120"/>
    </row>
    <row r="2204" spans="5:5">
      <c r="E2204" s="120"/>
    </row>
    <row r="2205" spans="5:5">
      <c r="E2205" s="120"/>
    </row>
    <row r="2206" spans="5:5">
      <c r="E2206" s="120"/>
    </row>
    <row r="2207" spans="5:5">
      <c r="E2207" s="120"/>
    </row>
    <row r="2208" spans="5:5">
      <c r="E2208" s="120"/>
    </row>
    <row r="2209" spans="5:5">
      <c r="E2209" s="120"/>
    </row>
    <row r="2210" spans="5:5">
      <c r="E2210" s="120"/>
    </row>
    <row r="2211" spans="5:5">
      <c r="E2211" s="120"/>
    </row>
    <row r="2212" spans="5:5">
      <c r="E2212" s="120"/>
    </row>
    <row r="2213" spans="5:5">
      <c r="E2213" s="120"/>
    </row>
    <row r="2214" spans="5:5">
      <c r="E2214" s="120"/>
    </row>
    <row r="2215" spans="5:5">
      <c r="E2215" s="120"/>
    </row>
    <row r="2216" spans="5:5">
      <c r="E2216" s="120"/>
    </row>
    <row r="2217" spans="5:5">
      <c r="E2217" s="120"/>
    </row>
    <row r="2218" spans="5:5">
      <c r="E2218" s="120"/>
    </row>
    <row r="2219" spans="5:5">
      <c r="E2219" s="120"/>
    </row>
    <row r="2220" spans="5:5">
      <c r="E2220" s="120"/>
    </row>
    <row r="2221" spans="5:5">
      <c r="E2221" s="120"/>
    </row>
    <row r="2222" spans="5:5">
      <c r="E2222" s="120"/>
    </row>
    <row r="2223" spans="5:5">
      <c r="E2223" s="120"/>
    </row>
    <row r="2224" spans="5:5">
      <c r="E2224" s="120"/>
    </row>
    <row r="2225" spans="5:5">
      <c r="E2225" s="120"/>
    </row>
    <row r="2226" spans="5:5">
      <c r="E2226" s="120"/>
    </row>
    <row r="2227" spans="5:5">
      <c r="E2227" s="120"/>
    </row>
    <row r="2228" spans="5:5">
      <c r="E2228" s="120"/>
    </row>
    <row r="2229" spans="5:5">
      <c r="E2229" s="120"/>
    </row>
    <row r="2230" spans="5:5">
      <c r="E2230" s="120"/>
    </row>
    <row r="2231" spans="5:5">
      <c r="E2231" s="120"/>
    </row>
    <row r="2232" spans="5:5">
      <c r="E2232" s="120"/>
    </row>
    <row r="2233" spans="5:5">
      <c r="E2233" s="120"/>
    </row>
    <row r="2234" spans="5:5">
      <c r="E2234" s="120"/>
    </row>
    <row r="2235" spans="5:5">
      <c r="E2235" s="120"/>
    </row>
    <row r="2236" spans="5:5">
      <c r="E2236" s="120"/>
    </row>
    <row r="2237" spans="5:5">
      <c r="E2237" s="120"/>
    </row>
    <row r="2238" spans="5:5">
      <c r="E2238" s="120"/>
    </row>
    <row r="2239" spans="5:5">
      <c r="E2239" s="120"/>
    </row>
    <row r="2240" spans="5:5">
      <c r="E2240" s="120"/>
    </row>
    <row r="2241" spans="5:5">
      <c r="E2241" s="120"/>
    </row>
    <row r="2242" spans="5:5">
      <c r="E2242" s="120"/>
    </row>
    <row r="2243" spans="5:5">
      <c r="E2243" s="120"/>
    </row>
    <row r="2244" spans="5:5">
      <c r="E2244" s="120"/>
    </row>
    <row r="2245" spans="5:5">
      <c r="E2245" s="120"/>
    </row>
    <row r="2246" spans="5:5">
      <c r="E2246" s="120"/>
    </row>
    <row r="2247" spans="5:5">
      <c r="E2247" s="120"/>
    </row>
    <row r="2248" spans="5:5">
      <c r="E2248" s="120"/>
    </row>
    <row r="2249" spans="5:5">
      <c r="E2249" s="120"/>
    </row>
    <row r="2250" spans="5:5">
      <c r="E2250" s="120"/>
    </row>
    <row r="2251" spans="5:5">
      <c r="E2251" s="120"/>
    </row>
    <row r="2252" spans="5:5">
      <c r="E2252" s="120"/>
    </row>
    <row r="2253" spans="5:5">
      <c r="E2253" s="120"/>
    </row>
    <row r="2254" spans="5:5">
      <c r="E2254" s="120"/>
    </row>
    <row r="2255" spans="5:5">
      <c r="E2255" s="120"/>
    </row>
    <row r="2256" spans="5:5">
      <c r="E2256" s="120"/>
    </row>
    <row r="2257" spans="5:5">
      <c r="E2257" s="120"/>
    </row>
    <row r="2258" spans="5:5">
      <c r="E2258" s="120"/>
    </row>
    <row r="2259" spans="5:5">
      <c r="E2259" s="120"/>
    </row>
    <row r="2260" spans="5:5">
      <c r="E2260" s="120"/>
    </row>
    <row r="2261" spans="5:5">
      <c r="E2261" s="120"/>
    </row>
    <row r="2262" spans="5:5">
      <c r="E2262" s="120"/>
    </row>
    <row r="2263" spans="5:5">
      <c r="E2263" s="120"/>
    </row>
    <row r="2264" spans="5:5">
      <c r="E2264" s="120"/>
    </row>
    <row r="2265" spans="5:5">
      <c r="E2265" s="120"/>
    </row>
    <row r="2266" spans="5:5">
      <c r="E2266" s="120"/>
    </row>
    <row r="2267" spans="5:5">
      <c r="E2267" s="120"/>
    </row>
    <row r="2268" spans="5:5">
      <c r="E2268" s="120"/>
    </row>
    <row r="2269" spans="5:5">
      <c r="E2269" s="120"/>
    </row>
    <row r="2270" spans="5:5">
      <c r="E2270" s="120"/>
    </row>
    <row r="2271" spans="5:5">
      <c r="E2271" s="120"/>
    </row>
    <row r="2272" spans="5:5">
      <c r="E2272" s="120"/>
    </row>
    <row r="2273" spans="5:5">
      <c r="E2273" s="120"/>
    </row>
    <row r="2274" spans="5:5">
      <c r="E2274" s="120"/>
    </row>
    <row r="2275" spans="5:5">
      <c r="E2275" s="120"/>
    </row>
    <row r="2276" spans="5:5">
      <c r="E2276" s="120"/>
    </row>
    <row r="2277" spans="5:5">
      <c r="E2277" s="120"/>
    </row>
    <row r="2278" spans="5:5">
      <c r="E2278" s="120"/>
    </row>
    <row r="2279" spans="5:5">
      <c r="E2279" s="120"/>
    </row>
    <row r="2280" spans="5:5">
      <c r="E2280" s="120"/>
    </row>
    <row r="2281" spans="5:5">
      <c r="E2281" s="120"/>
    </row>
    <row r="2282" spans="5:5">
      <c r="E2282" s="120"/>
    </row>
    <row r="2283" spans="5:5">
      <c r="E2283" s="120"/>
    </row>
    <row r="2284" spans="5:5">
      <c r="E2284" s="120"/>
    </row>
    <row r="2285" spans="5:5">
      <c r="E2285" s="120"/>
    </row>
    <row r="2286" spans="5:5">
      <c r="E2286" s="120"/>
    </row>
    <row r="2287" spans="5:5">
      <c r="E2287" s="120"/>
    </row>
    <row r="2288" spans="5:5">
      <c r="E2288" s="120"/>
    </row>
    <row r="2289" spans="5:5">
      <c r="E2289" s="120"/>
    </row>
    <row r="2290" spans="5:5">
      <c r="E2290" s="120"/>
    </row>
    <row r="2291" spans="5:5">
      <c r="E2291" s="120"/>
    </row>
    <row r="2292" spans="5:5">
      <c r="E2292" s="120"/>
    </row>
    <row r="2293" spans="5:5">
      <c r="E2293" s="120"/>
    </row>
    <row r="2294" spans="5:5">
      <c r="E2294" s="120"/>
    </row>
    <row r="2295" spans="5:5">
      <c r="E2295" s="120"/>
    </row>
    <row r="2296" spans="5:5">
      <c r="E2296" s="120"/>
    </row>
    <row r="2297" spans="5:5">
      <c r="E2297" s="120"/>
    </row>
    <row r="2298" spans="5:5">
      <c r="E2298" s="120"/>
    </row>
    <row r="2299" spans="5:5">
      <c r="E2299" s="120"/>
    </row>
    <row r="2300" spans="5:5">
      <c r="E2300" s="120"/>
    </row>
    <row r="2301" spans="5:5">
      <c r="E2301" s="120"/>
    </row>
    <row r="2302" spans="5:5">
      <c r="E2302" s="120"/>
    </row>
    <row r="2303" spans="5:5">
      <c r="E2303" s="120"/>
    </row>
    <row r="2304" spans="5:5">
      <c r="E2304" s="120"/>
    </row>
    <row r="2305" spans="5:5">
      <c r="E2305" s="120"/>
    </row>
    <row r="2306" spans="5:5">
      <c r="E2306" s="120"/>
    </row>
    <row r="2307" spans="5:5">
      <c r="E2307" s="120"/>
    </row>
    <row r="2308" spans="5:5">
      <c r="E2308" s="120"/>
    </row>
    <row r="2309" spans="5:5">
      <c r="E2309" s="120"/>
    </row>
    <row r="2310" spans="5:5">
      <c r="E2310" s="120"/>
    </row>
    <row r="2311" spans="5:5">
      <c r="E2311" s="120"/>
    </row>
    <row r="2312" spans="5:5">
      <c r="E2312" s="120"/>
    </row>
    <row r="2313" spans="5:5">
      <c r="E2313" s="120"/>
    </row>
    <row r="2314" spans="5:5">
      <c r="E2314" s="120"/>
    </row>
    <row r="2315" spans="5:5">
      <c r="E2315" s="120"/>
    </row>
    <row r="2316" spans="5:5">
      <c r="E2316" s="120"/>
    </row>
    <row r="2317" spans="5:5">
      <c r="E2317" s="120"/>
    </row>
    <row r="2318" spans="5:5">
      <c r="E2318" s="120"/>
    </row>
    <row r="2319" spans="5:5">
      <c r="E2319" s="120"/>
    </row>
    <row r="2320" spans="5:5">
      <c r="E2320" s="120"/>
    </row>
    <row r="2321" spans="5:5">
      <c r="E2321" s="120"/>
    </row>
    <row r="2322" spans="5:5">
      <c r="E2322" s="120"/>
    </row>
    <row r="2323" spans="5:5">
      <c r="E2323" s="120"/>
    </row>
    <row r="2324" spans="5:5">
      <c r="E2324" s="120"/>
    </row>
    <row r="2325" spans="5:5">
      <c r="E2325" s="120"/>
    </row>
    <row r="2326" spans="5:5">
      <c r="E2326" s="120"/>
    </row>
    <row r="2327" spans="5:5">
      <c r="E2327" s="120"/>
    </row>
    <row r="2328" spans="5:5">
      <c r="E2328" s="120"/>
    </row>
    <row r="2329" spans="5:5">
      <c r="E2329" s="120"/>
    </row>
    <row r="2330" spans="5:5">
      <c r="E2330" s="120"/>
    </row>
    <row r="2331" spans="5:5">
      <c r="E2331" s="120"/>
    </row>
    <row r="2332" spans="5:5">
      <c r="E2332" s="120"/>
    </row>
    <row r="2333" spans="5:5">
      <c r="E2333" s="120"/>
    </row>
    <row r="2334" spans="5:5">
      <c r="E2334" s="120"/>
    </row>
    <row r="2335" spans="5:5">
      <c r="E2335" s="120"/>
    </row>
    <row r="2336" spans="5:5">
      <c r="E2336" s="120"/>
    </row>
    <row r="2337" spans="5:5">
      <c r="E2337" s="120"/>
    </row>
    <row r="2338" spans="5:5">
      <c r="E2338" s="120"/>
    </row>
    <row r="2339" spans="5:5">
      <c r="E2339" s="120"/>
    </row>
    <row r="2340" spans="5:5">
      <c r="E2340" s="120"/>
    </row>
    <row r="2341" spans="5:5">
      <c r="E2341" s="120"/>
    </row>
    <row r="2342" spans="5:5">
      <c r="E2342" s="120"/>
    </row>
    <row r="2343" spans="5:5">
      <c r="E2343" s="120"/>
    </row>
    <row r="2344" spans="5:5">
      <c r="E2344" s="120"/>
    </row>
    <row r="2345" spans="5:5">
      <c r="E2345" s="120"/>
    </row>
    <row r="2346" spans="5:5">
      <c r="E2346" s="120"/>
    </row>
    <row r="2347" spans="5:5">
      <c r="E2347" s="120"/>
    </row>
    <row r="2348" spans="5:5">
      <c r="E2348" s="120"/>
    </row>
    <row r="2349" spans="5:5">
      <c r="E2349" s="120"/>
    </row>
    <row r="2350" spans="5:5">
      <c r="E2350" s="120"/>
    </row>
    <row r="2351" spans="5:5">
      <c r="E2351" s="120"/>
    </row>
    <row r="2352" spans="5:5">
      <c r="E2352" s="120"/>
    </row>
    <row r="2353" spans="5:5">
      <c r="E2353" s="120"/>
    </row>
    <row r="2354" spans="5:5">
      <c r="E2354" s="120"/>
    </row>
    <row r="2355" spans="5:5">
      <c r="E2355" s="120"/>
    </row>
    <row r="2356" spans="5:5">
      <c r="E2356" s="120"/>
    </row>
    <row r="2357" spans="5:5">
      <c r="E2357" s="120"/>
    </row>
    <row r="2358" spans="5:5">
      <c r="E2358" s="120"/>
    </row>
    <row r="2359" spans="5:5">
      <c r="E2359" s="120"/>
    </row>
    <row r="2360" spans="5:5">
      <c r="E2360" s="120"/>
    </row>
    <row r="2361" spans="5:5">
      <c r="E2361" s="120"/>
    </row>
    <row r="2362" spans="5:5">
      <c r="E2362" s="120"/>
    </row>
    <row r="2363" spans="5:5">
      <c r="E2363" s="120"/>
    </row>
    <row r="2364" spans="5:5">
      <c r="E2364" s="120"/>
    </row>
    <row r="2365" spans="5:5">
      <c r="E2365" s="120"/>
    </row>
    <row r="2366" spans="5:5">
      <c r="E2366" s="120"/>
    </row>
    <row r="2367" spans="5:5">
      <c r="E2367" s="120"/>
    </row>
    <row r="2368" spans="5:5">
      <c r="E2368" s="120"/>
    </row>
    <row r="2369" spans="5:5">
      <c r="E2369" s="120"/>
    </row>
    <row r="2370" spans="5:5">
      <c r="E2370" s="120"/>
    </row>
    <row r="2371" spans="5:5">
      <c r="E2371" s="120"/>
    </row>
    <row r="2372" spans="5:5">
      <c r="E2372" s="120"/>
    </row>
    <row r="2373" spans="5:5">
      <c r="E2373" s="120"/>
    </row>
    <row r="2374" spans="5:5">
      <c r="E2374" s="120"/>
    </row>
    <row r="2375" spans="5:5">
      <c r="E2375" s="120"/>
    </row>
    <row r="2376" spans="5:5">
      <c r="E2376" s="120"/>
    </row>
    <row r="2377" spans="5:5">
      <c r="E2377" s="120"/>
    </row>
    <row r="2378" spans="5:5">
      <c r="E2378" s="120"/>
    </row>
    <row r="2379" spans="5:5">
      <c r="E2379" s="120"/>
    </row>
    <row r="2380" spans="5:5">
      <c r="E2380" s="120"/>
    </row>
    <row r="2381" spans="5:5">
      <c r="E2381" s="120"/>
    </row>
    <row r="2382" spans="5:5">
      <c r="E2382" s="120"/>
    </row>
    <row r="2383" spans="5:5">
      <c r="E2383" s="120"/>
    </row>
    <row r="2384" spans="5:5">
      <c r="E2384" s="120"/>
    </row>
    <row r="2385" spans="5:5">
      <c r="E2385" s="120"/>
    </row>
    <row r="2386" spans="5:5">
      <c r="E2386" s="120"/>
    </row>
    <row r="2387" spans="5:5">
      <c r="E2387" s="120"/>
    </row>
    <row r="2388" spans="5:5">
      <c r="E2388" s="120"/>
    </row>
    <row r="2389" spans="5:5">
      <c r="E2389" s="120"/>
    </row>
    <row r="2390" spans="5:5">
      <c r="E2390" s="120"/>
    </row>
    <row r="2391" spans="5:5">
      <c r="E2391" s="120"/>
    </row>
    <row r="2392" spans="5:5">
      <c r="E2392" s="120"/>
    </row>
    <row r="2393" spans="5:5">
      <c r="E2393" s="120"/>
    </row>
    <row r="2394" spans="5:5">
      <c r="E2394" s="120"/>
    </row>
    <row r="2395" spans="5:5">
      <c r="E2395" s="120"/>
    </row>
    <row r="2396" spans="5:5">
      <c r="E2396" s="120"/>
    </row>
    <row r="2397" spans="5:5">
      <c r="E2397" s="120"/>
    </row>
    <row r="2398" spans="5:5">
      <c r="E2398" s="120"/>
    </row>
    <row r="2399" spans="5:5">
      <c r="E2399" s="120"/>
    </row>
    <row r="2400" spans="5:5">
      <c r="E2400" s="120"/>
    </row>
    <row r="2401" spans="5:5">
      <c r="E2401" s="120"/>
    </row>
    <row r="2402" spans="5:5">
      <c r="E2402" s="120"/>
    </row>
    <row r="2403" spans="5:5">
      <c r="E2403" s="120"/>
    </row>
    <row r="2404" spans="5:5">
      <c r="E2404" s="120"/>
    </row>
    <row r="2405" spans="5:5">
      <c r="E2405" s="120"/>
    </row>
    <row r="2406" spans="5:5">
      <c r="E2406" s="120"/>
    </row>
    <row r="2407" spans="5:5">
      <c r="E2407" s="120"/>
    </row>
    <row r="2408" spans="5:5">
      <c r="E2408" s="120"/>
    </row>
    <row r="2409" spans="5:5">
      <c r="E2409" s="120"/>
    </row>
    <row r="2410" spans="5:5">
      <c r="E2410" s="120"/>
    </row>
    <row r="2411" spans="5:5">
      <c r="E2411" s="120"/>
    </row>
    <row r="2412" spans="5:5">
      <c r="E2412" s="120"/>
    </row>
    <row r="2413" spans="5:5">
      <c r="E2413" s="120"/>
    </row>
    <row r="2414" spans="5:5">
      <c r="E2414" s="120"/>
    </row>
    <row r="2415" spans="5:5">
      <c r="E2415" s="120"/>
    </row>
    <row r="2416" spans="5:5">
      <c r="E2416" s="120"/>
    </row>
    <row r="2417" spans="5:5">
      <c r="E2417" s="120"/>
    </row>
    <row r="2418" spans="5:5">
      <c r="E2418" s="120"/>
    </row>
    <row r="2419" spans="5:5">
      <c r="E2419" s="120"/>
    </row>
    <row r="2420" spans="5:5">
      <c r="E2420" s="120"/>
    </row>
    <row r="2421" spans="5:5">
      <c r="E2421" s="120"/>
    </row>
    <row r="2422" spans="5:5">
      <c r="E2422" s="120"/>
    </row>
    <row r="2423" spans="5:5">
      <c r="E2423" s="120"/>
    </row>
    <row r="2424" spans="5:5">
      <c r="E2424" s="120"/>
    </row>
    <row r="2425" spans="5:5">
      <c r="E2425" s="120"/>
    </row>
    <row r="2426" spans="5:5">
      <c r="E2426" s="120"/>
    </row>
    <row r="2427" spans="5:5">
      <c r="E2427" s="120"/>
    </row>
    <row r="2428" spans="5:5">
      <c r="E2428" s="120"/>
    </row>
    <row r="2429" spans="5:5">
      <c r="E2429" s="120"/>
    </row>
    <row r="2430" spans="5:5">
      <c r="E2430" s="120"/>
    </row>
    <row r="2431" spans="5:5">
      <c r="E2431" s="120"/>
    </row>
    <row r="2432" spans="5:5">
      <c r="E2432" s="120"/>
    </row>
    <row r="2433" spans="5:5">
      <c r="E2433" s="120"/>
    </row>
    <row r="2434" spans="5:5">
      <c r="E2434" s="120"/>
    </row>
    <row r="2435" spans="5:5">
      <c r="E2435" s="120"/>
    </row>
    <row r="2436" spans="5:5">
      <c r="E2436" s="120"/>
    </row>
    <row r="2437" spans="5:5">
      <c r="E2437" s="120"/>
    </row>
    <row r="2438" spans="5:5">
      <c r="E2438" s="120"/>
    </row>
    <row r="2439" spans="5:5">
      <c r="E2439" s="120"/>
    </row>
    <row r="2440" spans="5:5">
      <c r="E2440" s="120"/>
    </row>
    <row r="2441" spans="5:5">
      <c r="E2441" s="120"/>
    </row>
    <row r="2442" spans="5:5">
      <c r="E2442" s="120"/>
    </row>
    <row r="2443" spans="5:5">
      <c r="E2443" s="120"/>
    </row>
    <row r="2444" spans="5:5">
      <c r="E2444" s="120"/>
    </row>
    <row r="2445" spans="5:5">
      <c r="E2445" s="120"/>
    </row>
    <row r="2446" spans="5:5">
      <c r="E2446" s="120"/>
    </row>
    <row r="2447" spans="5:5">
      <c r="E2447" s="120"/>
    </row>
    <row r="2448" spans="5:5">
      <c r="E2448" s="120"/>
    </row>
    <row r="2449" spans="5:5">
      <c r="E2449" s="120"/>
    </row>
    <row r="2450" spans="5:5">
      <c r="E2450" s="120"/>
    </row>
    <row r="2451" spans="5:5">
      <c r="E2451" s="120"/>
    </row>
    <row r="2452" spans="5:5">
      <c r="E2452" s="120"/>
    </row>
    <row r="2453" spans="5:5">
      <c r="E2453" s="120"/>
    </row>
    <row r="2454" spans="5:5">
      <c r="E2454" s="120"/>
    </row>
    <row r="2455" spans="5:5">
      <c r="E2455" s="120"/>
    </row>
    <row r="2456" spans="5:5">
      <c r="E2456" s="120"/>
    </row>
    <row r="2457" spans="5:5">
      <c r="E2457" s="120"/>
    </row>
    <row r="2458" spans="5:5">
      <c r="E2458" s="120"/>
    </row>
    <row r="2459" spans="5:5">
      <c r="E2459" s="120"/>
    </row>
    <row r="2460" spans="5:5">
      <c r="E2460" s="120"/>
    </row>
    <row r="2461" spans="5:5">
      <c r="E2461" s="120"/>
    </row>
    <row r="2462" spans="5:5">
      <c r="E2462" s="120"/>
    </row>
    <row r="2463" spans="5:5">
      <c r="E2463" s="120"/>
    </row>
    <row r="2464" spans="5:5">
      <c r="E2464" s="120"/>
    </row>
    <row r="2465" spans="5:5">
      <c r="E2465" s="120"/>
    </row>
    <row r="2466" spans="5:5">
      <c r="E2466" s="120"/>
    </row>
    <row r="2467" spans="5:5">
      <c r="E2467" s="120"/>
    </row>
    <row r="2468" spans="5:5">
      <c r="E2468" s="120"/>
    </row>
    <row r="2469" spans="5:5">
      <c r="E2469" s="120"/>
    </row>
    <row r="2470" spans="5:5">
      <c r="E2470" s="120"/>
    </row>
    <row r="2471" spans="5:5">
      <c r="E2471" s="120"/>
    </row>
    <row r="2472" spans="5:5">
      <c r="E2472" s="120"/>
    </row>
    <row r="2473" spans="5:5">
      <c r="E2473" s="120"/>
    </row>
    <row r="2474" spans="5:5">
      <c r="E2474" s="120"/>
    </row>
    <row r="2475" spans="5:5">
      <c r="E2475" s="120"/>
    </row>
    <row r="2476" spans="5:5">
      <c r="E2476" s="120"/>
    </row>
    <row r="2477" spans="5:5">
      <c r="E2477" s="120"/>
    </row>
    <row r="2478" spans="5:5">
      <c r="E2478" s="120"/>
    </row>
    <row r="2479" spans="5:5">
      <c r="E2479" s="120"/>
    </row>
    <row r="2480" spans="5:5">
      <c r="E2480" s="120"/>
    </row>
    <row r="2481" spans="5:5">
      <c r="E2481" s="120"/>
    </row>
    <row r="2482" spans="5:5">
      <c r="E2482" s="120"/>
    </row>
    <row r="2483" spans="5:5">
      <c r="E2483" s="120"/>
    </row>
    <row r="2484" spans="5:5">
      <c r="E2484" s="120"/>
    </row>
    <row r="2485" spans="5:5">
      <c r="E2485" s="120"/>
    </row>
    <row r="2486" spans="5:5">
      <c r="E2486" s="120"/>
    </row>
    <row r="2487" spans="5:5">
      <c r="E2487" s="120"/>
    </row>
    <row r="2488" spans="5:5">
      <c r="E2488" s="120"/>
    </row>
    <row r="2489" spans="5:5">
      <c r="E2489" s="120"/>
    </row>
    <row r="2490" spans="5:5">
      <c r="E2490" s="120"/>
    </row>
    <row r="2491" spans="5:5">
      <c r="E2491" s="120"/>
    </row>
    <row r="2492" spans="5:5">
      <c r="E2492" s="120"/>
    </row>
    <row r="2493" spans="5:5">
      <c r="E2493" s="120"/>
    </row>
    <row r="2494" spans="5:5">
      <c r="E2494" s="120"/>
    </row>
    <row r="2495" spans="5:5">
      <c r="E2495" s="120"/>
    </row>
    <row r="2496" spans="5:5">
      <c r="E2496" s="120"/>
    </row>
    <row r="2497" spans="5:5">
      <c r="E2497" s="120"/>
    </row>
    <row r="2498" spans="5:5">
      <c r="E2498" s="120"/>
    </row>
    <row r="2499" spans="5:5">
      <c r="E2499" s="120"/>
    </row>
    <row r="2500" spans="5:5">
      <c r="E2500" s="120"/>
    </row>
    <row r="2501" spans="5:5">
      <c r="E2501" s="120"/>
    </row>
    <row r="2502" spans="5:5">
      <c r="E2502" s="120"/>
    </row>
    <row r="2503" spans="5:5">
      <c r="E2503" s="120"/>
    </row>
    <row r="2504" spans="5:5">
      <c r="E2504" s="120"/>
    </row>
    <row r="2505" spans="5:5">
      <c r="E2505" s="120"/>
    </row>
    <row r="2506" spans="5:5">
      <c r="E2506" s="120"/>
    </row>
    <row r="2507" spans="5:5">
      <c r="E2507" s="120"/>
    </row>
    <row r="2508" spans="5:5">
      <c r="E2508" s="120"/>
    </row>
    <row r="2509" spans="5:5">
      <c r="E2509" s="120"/>
    </row>
    <row r="2510" spans="5:5">
      <c r="E2510" s="120"/>
    </row>
    <row r="2511" spans="5:5">
      <c r="E2511" s="120"/>
    </row>
    <row r="2512" spans="5:5">
      <c r="E2512" s="120"/>
    </row>
    <row r="2513" spans="5:5">
      <c r="E2513" s="120"/>
    </row>
    <row r="2514" spans="5:5">
      <c r="E2514" s="120"/>
    </row>
    <row r="2515" spans="5:5">
      <c r="E2515" s="120"/>
    </row>
    <row r="2516" spans="5:5">
      <c r="E2516" s="120"/>
    </row>
    <row r="2517" spans="5:5">
      <c r="E2517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BALANCE SHEET </vt:lpstr>
      <vt:lpstr>Percentage Balance sheet</vt:lpstr>
      <vt:lpstr>INCOME STATEMENT</vt:lpstr>
      <vt:lpstr>Income statement c</vt:lpstr>
      <vt:lpstr>CASHFLOW STATEMENT</vt:lpstr>
      <vt:lpstr>FINANCIAL RATIOS</vt:lpstr>
      <vt:lpstr>Projected Financial statement</vt:lpstr>
      <vt:lpstr>Relative Value</vt:lpstr>
      <vt:lpstr>COMPARISION</vt:lpstr>
      <vt:lpstr>AMD</vt:lpstr>
      <vt:lpstr>INTEL</vt:lpstr>
      <vt:lpstr>QUALCOMM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Babu Palakurti</dc:creator>
  <cp:lastModifiedBy>Manish Babu Palakurti</cp:lastModifiedBy>
  <dcterms:created xsi:type="dcterms:W3CDTF">2025-01-19T20:59:10Z</dcterms:created>
  <dcterms:modified xsi:type="dcterms:W3CDTF">2025-03-02T02:58:01Z</dcterms:modified>
</cp:coreProperties>
</file>