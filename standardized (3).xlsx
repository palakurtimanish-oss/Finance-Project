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si\Downloads\"/>
    </mc:Choice>
  </mc:AlternateContent>
  <xr:revisionPtr revIDLastSave="0" documentId="13_ncr:1_{D73C2B52-8ECC-4190-915E-1E682BAA2720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standardized" sheetId="1" r:id="rId1"/>
    <sheet name="Sheet1" sheetId="2" r:id="rId2"/>
    <sheet name="balancesheet" sheetId="3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5" l="1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F9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G44" i="5"/>
  <c r="C41" i="5"/>
  <c r="C42" i="5"/>
  <c r="C43" i="5"/>
  <c r="C4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L24" i="5"/>
  <c r="K24" i="5"/>
  <c r="J24" i="5"/>
  <c r="I24" i="5"/>
  <c r="H24" i="5"/>
  <c r="G24" i="5"/>
  <c r="F24" i="5"/>
  <c r="E24" i="5"/>
  <c r="D24" i="5"/>
  <c r="C24" i="5"/>
  <c r="E9" i="4"/>
  <c r="F9" i="4"/>
  <c r="G9" i="4"/>
  <c r="H9" i="4"/>
  <c r="I9" i="4"/>
  <c r="J9" i="4"/>
  <c r="K9" i="4"/>
  <c r="E10" i="4"/>
  <c r="F10" i="4"/>
  <c r="G10" i="4"/>
  <c r="H10" i="4"/>
  <c r="I10" i="4"/>
  <c r="J10" i="4"/>
  <c r="K10" i="4"/>
  <c r="E11" i="4"/>
  <c r="F11" i="4"/>
  <c r="G11" i="4"/>
  <c r="H11" i="4"/>
  <c r="I11" i="4"/>
  <c r="J11" i="4"/>
  <c r="K11" i="4"/>
  <c r="E12" i="4"/>
  <c r="F12" i="4"/>
  <c r="G12" i="4"/>
  <c r="H12" i="4"/>
  <c r="I12" i="4"/>
  <c r="J12" i="4"/>
  <c r="K12" i="4"/>
  <c r="E13" i="4"/>
  <c r="F13" i="4"/>
  <c r="G13" i="4"/>
  <c r="H13" i="4"/>
  <c r="I13" i="4"/>
  <c r="J13" i="4"/>
  <c r="K13" i="4"/>
  <c r="E14" i="4"/>
  <c r="F14" i="4"/>
  <c r="G14" i="4"/>
  <c r="H14" i="4"/>
  <c r="I14" i="4"/>
  <c r="J14" i="4"/>
  <c r="K14" i="4"/>
  <c r="E15" i="4"/>
  <c r="F15" i="4"/>
  <c r="G15" i="4"/>
  <c r="H15" i="4"/>
  <c r="I15" i="4"/>
  <c r="J15" i="4"/>
  <c r="K15" i="4"/>
  <c r="E16" i="4"/>
  <c r="F16" i="4"/>
  <c r="G16" i="4"/>
  <c r="H16" i="4"/>
  <c r="I16" i="4"/>
  <c r="J16" i="4"/>
  <c r="K16" i="4"/>
  <c r="E17" i="4"/>
  <c r="F17" i="4"/>
  <c r="G17" i="4"/>
  <c r="H17" i="4"/>
  <c r="I17" i="4"/>
  <c r="J17" i="4"/>
  <c r="K17" i="4"/>
  <c r="E18" i="4"/>
  <c r="F18" i="4"/>
  <c r="G18" i="4"/>
  <c r="H18" i="4"/>
  <c r="I18" i="4"/>
  <c r="J18" i="4"/>
  <c r="K18" i="4"/>
  <c r="E19" i="4"/>
  <c r="F19" i="4"/>
  <c r="G19" i="4"/>
  <c r="H19" i="4"/>
  <c r="I19" i="4"/>
  <c r="J19" i="4"/>
  <c r="K19" i="4"/>
  <c r="E20" i="4"/>
  <c r="F20" i="4"/>
  <c r="G20" i="4"/>
  <c r="H20" i="4"/>
  <c r="I20" i="4"/>
  <c r="J20" i="4"/>
  <c r="K20" i="4"/>
  <c r="E21" i="4"/>
  <c r="F21" i="4"/>
  <c r="G21" i="4"/>
  <c r="H21" i="4"/>
  <c r="I21" i="4"/>
  <c r="J21" i="4"/>
  <c r="K21" i="4"/>
  <c r="E22" i="4"/>
  <c r="F22" i="4"/>
  <c r="G22" i="4"/>
  <c r="H22" i="4"/>
  <c r="I22" i="4"/>
  <c r="J22" i="4"/>
  <c r="K22" i="4"/>
  <c r="E23" i="4"/>
  <c r="F23" i="4"/>
  <c r="G23" i="4"/>
  <c r="H23" i="4"/>
  <c r="I23" i="4"/>
  <c r="J23" i="4"/>
  <c r="K23" i="4"/>
  <c r="E24" i="4"/>
  <c r="F24" i="4"/>
  <c r="G24" i="4"/>
  <c r="H24" i="4"/>
  <c r="I24" i="4"/>
  <c r="J24" i="4"/>
  <c r="K24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E25" i="4"/>
  <c r="F25" i="4"/>
  <c r="G25" i="4"/>
  <c r="H25" i="4"/>
  <c r="I25" i="4"/>
  <c r="J25" i="4"/>
  <c r="K25" i="4"/>
  <c r="E26" i="4"/>
  <c r="F26" i="4"/>
  <c r="G26" i="4"/>
  <c r="H26" i="4"/>
  <c r="I26" i="4"/>
  <c r="J26" i="4"/>
  <c r="K26" i="4"/>
  <c r="E27" i="4"/>
  <c r="F27" i="4"/>
  <c r="G27" i="4"/>
  <c r="H27" i="4"/>
  <c r="I27" i="4"/>
  <c r="J27" i="4"/>
  <c r="K27" i="4"/>
  <c r="E28" i="4"/>
  <c r="F28" i="4"/>
  <c r="G28" i="4"/>
  <c r="H28" i="4"/>
  <c r="I28" i="4"/>
  <c r="J28" i="4"/>
  <c r="K28" i="4"/>
  <c r="E29" i="4"/>
  <c r="F29" i="4"/>
  <c r="G29" i="4"/>
  <c r="H29" i="4"/>
  <c r="I29" i="4"/>
  <c r="J29" i="4"/>
  <c r="K29" i="4"/>
  <c r="E30" i="4"/>
  <c r="F30" i="4"/>
  <c r="G30" i="4"/>
  <c r="H30" i="4"/>
  <c r="I30" i="4"/>
  <c r="J30" i="4"/>
  <c r="K30" i="4"/>
  <c r="E31" i="4"/>
  <c r="F31" i="4"/>
  <c r="G31" i="4"/>
  <c r="H31" i="4"/>
  <c r="I31" i="4"/>
  <c r="J31" i="4"/>
  <c r="K31" i="4"/>
  <c r="E32" i="4"/>
  <c r="F32" i="4"/>
  <c r="G32" i="4"/>
  <c r="H32" i="4"/>
  <c r="I32" i="4"/>
  <c r="J32" i="4"/>
  <c r="K32" i="4"/>
  <c r="E33" i="4"/>
  <c r="F33" i="4"/>
  <c r="G33" i="4"/>
  <c r="H33" i="4"/>
  <c r="I33" i="4"/>
  <c r="J33" i="4"/>
  <c r="K33" i="4"/>
  <c r="E34" i="4"/>
  <c r="F34" i="4"/>
  <c r="G34" i="4"/>
  <c r="H34" i="4"/>
  <c r="I34" i="4"/>
  <c r="J34" i="4"/>
  <c r="K34" i="4"/>
  <c r="E35" i="4"/>
  <c r="F35" i="4"/>
  <c r="G35" i="4"/>
  <c r="H35" i="4"/>
  <c r="I35" i="4"/>
  <c r="J35" i="4"/>
  <c r="K35" i="4"/>
  <c r="E36" i="4"/>
  <c r="F36" i="4"/>
  <c r="G36" i="4"/>
  <c r="H36" i="4"/>
  <c r="I36" i="4"/>
  <c r="J36" i="4"/>
  <c r="K36" i="4"/>
  <c r="E37" i="4"/>
  <c r="F37" i="4"/>
  <c r="G37" i="4"/>
  <c r="H37" i="4"/>
  <c r="I37" i="4"/>
  <c r="J37" i="4"/>
  <c r="K37" i="4"/>
  <c r="E38" i="4"/>
  <c r="F38" i="4"/>
  <c r="G38" i="4"/>
  <c r="H38" i="4"/>
  <c r="I38" i="4"/>
  <c r="J38" i="4"/>
  <c r="K38" i="4"/>
  <c r="E39" i="4"/>
  <c r="F39" i="4"/>
  <c r="G39" i="4"/>
  <c r="H39" i="4"/>
  <c r="I39" i="4"/>
  <c r="J39" i="4"/>
  <c r="K39" i="4"/>
  <c r="E40" i="4"/>
  <c r="F40" i="4"/>
  <c r="G40" i="4"/>
  <c r="H40" i="4"/>
  <c r="I40" i="4"/>
  <c r="J40" i="4"/>
  <c r="K40" i="4"/>
  <c r="E41" i="4"/>
  <c r="F41" i="4"/>
  <c r="G41" i="4"/>
  <c r="H41" i="4"/>
  <c r="I41" i="4"/>
  <c r="J41" i="4"/>
  <c r="K41" i="4"/>
  <c r="E42" i="4"/>
  <c r="F42" i="4"/>
  <c r="G42" i="4"/>
  <c r="H42" i="4"/>
  <c r="I42" i="4"/>
  <c r="J42" i="4"/>
  <c r="K42" i="4"/>
  <c r="E43" i="4"/>
  <c r="F43" i="4"/>
  <c r="G43" i="4"/>
  <c r="H43" i="4"/>
  <c r="I43" i="4"/>
  <c r="J43" i="4"/>
  <c r="K43" i="4"/>
  <c r="E44" i="4"/>
  <c r="F44" i="4"/>
  <c r="G44" i="4"/>
  <c r="H44" i="4"/>
  <c r="I44" i="4"/>
  <c r="J44" i="4"/>
  <c r="K4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24" i="4"/>
  <c r="C16" i="2"/>
  <c r="D16" i="2"/>
  <c r="E16" i="2"/>
  <c r="F16" i="2"/>
  <c r="G16" i="2"/>
  <c r="H16" i="2"/>
  <c r="I16" i="2"/>
  <c r="J16" i="2"/>
  <c r="K16" i="2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C19" i="2"/>
  <c r="D19" i="2"/>
  <c r="E19" i="2"/>
  <c r="F19" i="2"/>
  <c r="G19" i="2"/>
  <c r="H19" i="2"/>
  <c r="I19" i="2"/>
  <c r="J19" i="2"/>
  <c r="K19" i="2"/>
  <c r="C20" i="2"/>
  <c r="D20" i="2"/>
  <c r="E20" i="2"/>
  <c r="F20" i="2"/>
  <c r="G20" i="2"/>
  <c r="H20" i="2"/>
  <c r="I20" i="2"/>
  <c r="J20" i="2"/>
  <c r="K20" i="2"/>
  <c r="C21" i="2"/>
  <c r="D21" i="2"/>
  <c r="E21" i="2"/>
  <c r="F21" i="2"/>
  <c r="G21" i="2"/>
  <c r="H21" i="2"/>
  <c r="I21" i="2"/>
  <c r="J21" i="2"/>
  <c r="K21" i="2"/>
  <c r="C22" i="2"/>
  <c r="D22" i="2"/>
  <c r="E22" i="2"/>
  <c r="F22" i="2"/>
  <c r="G22" i="2"/>
  <c r="H22" i="2"/>
  <c r="I22" i="2"/>
  <c r="J22" i="2"/>
  <c r="K22" i="2"/>
  <c r="C23" i="2"/>
  <c r="D23" i="2"/>
  <c r="E23" i="2"/>
  <c r="F23" i="2"/>
  <c r="G23" i="2"/>
  <c r="H23" i="2"/>
  <c r="I23" i="2"/>
  <c r="J23" i="2"/>
  <c r="K23" i="2"/>
  <c r="C24" i="2"/>
  <c r="D24" i="2"/>
  <c r="E24" i="2"/>
  <c r="F24" i="2"/>
  <c r="G24" i="2"/>
  <c r="H24" i="2"/>
  <c r="I24" i="2"/>
  <c r="J24" i="2"/>
  <c r="K24" i="2"/>
  <c r="C25" i="2"/>
  <c r="D25" i="2"/>
  <c r="E25" i="2"/>
  <c r="F25" i="2"/>
  <c r="G25" i="2"/>
  <c r="H25" i="2"/>
  <c r="I25" i="2"/>
  <c r="J25" i="2"/>
  <c r="K25" i="2"/>
  <c r="C26" i="2"/>
  <c r="D26" i="2"/>
  <c r="E26" i="2"/>
  <c r="F26" i="2"/>
  <c r="G26" i="2"/>
  <c r="H26" i="2"/>
  <c r="I26" i="2"/>
  <c r="J26" i="2"/>
  <c r="K26" i="2"/>
  <c r="C27" i="2"/>
  <c r="D27" i="2"/>
  <c r="E27" i="2"/>
  <c r="F27" i="2"/>
  <c r="G27" i="2"/>
  <c r="H27" i="2"/>
  <c r="I27" i="2"/>
  <c r="J27" i="2"/>
  <c r="K27" i="2"/>
  <c r="C28" i="2"/>
  <c r="D28" i="2"/>
  <c r="E28" i="2"/>
  <c r="F28" i="2"/>
  <c r="G28" i="2"/>
  <c r="H28" i="2"/>
  <c r="I28" i="2"/>
  <c r="J28" i="2"/>
  <c r="K28" i="2"/>
  <c r="C29" i="2"/>
  <c r="D29" i="2"/>
  <c r="E29" i="2"/>
  <c r="F29" i="2"/>
  <c r="G29" i="2"/>
  <c r="H29" i="2"/>
  <c r="I29" i="2"/>
  <c r="J29" i="2"/>
  <c r="K29" i="2"/>
  <c r="C30" i="2"/>
  <c r="D30" i="2"/>
  <c r="E30" i="2"/>
  <c r="F30" i="2"/>
  <c r="G30" i="2"/>
  <c r="H30" i="2"/>
  <c r="I30" i="2"/>
  <c r="J30" i="2"/>
  <c r="K30" i="2"/>
  <c r="C31" i="2"/>
  <c r="D31" i="2"/>
  <c r="E31" i="2"/>
  <c r="F31" i="2"/>
  <c r="G31" i="2"/>
  <c r="H31" i="2"/>
  <c r="I31" i="2"/>
  <c r="J31" i="2"/>
  <c r="K31" i="2"/>
  <c r="C32" i="2"/>
  <c r="D32" i="2"/>
  <c r="E32" i="2"/>
  <c r="F32" i="2"/>
  <c r="G32" i="2"/>
  <c r="H32" i="2"/>
  <c r="I32" i="2"/>
  <c r="J32" i="2"/>
  <c r="K32" i="2"/>
  <c r="C33" i="2"/>
  <c r="D33" i="2"/>
  <c r="E33" i="2"/>
  <c r="F33" i="2"/>
  <c r="G33" i="2"/>
  <c r="H33" i="2"/>
  <c r="I33" i="2"/>
  <c r="J33" i="2"/>
  <c r="K33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16" i="2"/>
  <c r="D15" i="1"/>
  <c r="L15" i="1" s="1"/>
  <c r="E15" i="1"/>
  <c r="F15" i="1"/>
  <c r="G15" i="1"/>
  <c r="H15" i="1"/>
  <c r="I15" i="1"/>
  <c r="J15" i="1"/>
  <c r="K15" i="1"/>
  <c r="C15" i="1"/>
</calcChain>
</file>

<file path=xl/sharedStrings.xml><?xml version="1.0" encoding="utf-8"?>
<sst xmlns="http://schemas.openxmlformats.org/spreadsheetml/2006/main" count="361" uniqueCount="92">
  <si>
    <t>Powered by Clearbit</t>
  </si>
  <si>
    <t>Johnson &amp; Johnson   (NYS: JNJ)</t>
  </si>
  <si>
    <t xml:space="preserve">Exchange rate used is that of the Year End reported date </t>
  </si>
  <si>
    <t xml:space="preserve">Standardized Annual Income Statement </t>
  </si>
  <si>
    <t>Report Date</t>
  </si>
  <si>
    <t>12/31/2023</t>
  </si>
  <si>
    <t>01/01/2023</t>
  </si>
  <si>
    <t>01/02/2022</t>
  </si>
  <si>
    <t>01/03/2021</t>
  </si>
  <si>
    <t>12/29/2019</t>
  </si>
  <si>
    <t>12/30/2018</t>
  </si>
  <si>
    <t>12/31/2017</t>
  </si>
  <si>
    <t>01/01/2017</t>
  </si>
  <si>
    <t>01/03/2016</t>
  </si>
  <si>
    <t>12/28/2014</t>
  </si>
  <si>
    <t>Currency</t>
  </si>
  <si>
    <t>USD</t>
  </si>
  <si>
    <t>Audit Status</t>
  </si>
  <si>
    <t>Not Qualified</t>
  </si>
  <si>
    <t>Consolidated</t>
  </si>
  <si>
    <t>Yes</t>
  </si>
  <si>
    <t>Scale</t>
  </si>
  <si>
    <t>Millions</t>
  </si>
  <si>
    <t>Sales Revenue</t>
  </si>
  <si>
    <t>Total Revenue</t>
  </si>
  <si>
    <t>Direct Costs</t>
  </si>
  <si>
    <t>Gross Profit</t>
  </si>
  <si>
    <t>Selling General &amp; Admin</t>
  </si>
  <si>
    <t>Research &amp; Development</t>
  </si>
  <si>
    <t>Restruct Remediation &amp; Impair</t>
  </si>
  <si>
    <t>-</t>
  </si>
  <si>
    <t>Other Operating Expense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</si>
  <si>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</si>
  <si>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</si>
  <si>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</si>
  <si>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</si>
  <si>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</si>
  <si>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</si>
  <si>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Taxation</t>
  </si>
  <si>
    <t>Discontinued Operations</t>
  </si>
  <si>
    <t>Extraordinary Items</t>
  </si>
  <si>
    <t>Accounting Changes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</si>
  <si>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</si>
  <si>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</si>
  <si>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</si>
  <si>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</si>
  <si>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</si>
  <si>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</si>
  <si>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</si>
  <si>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</si>
  <si>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</si>
  <si>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</si>
  <si>
    <t>Sales Growth</t>
  </si>
  <si>
    <t xml:space="preserve">maybe do macroeconomic factor on the project sales growth </t>
  </si>
  <si>
    <t xml:space="preserve"> </t>
  </si>
  <si>
    <t xml:space="preserve">Standardized Annual Balance Sheet </t>
  </si>
  <si>
    <t>Cash &amp; Equivalents</t>
  </si>
  <si>
    <t>Short Term Investments</t>
  </si>
  <si>
    <t>Cash &amp; Equivs &amp; ST Investments</t>
  </si>
  <si>
    <t>Receivables (ST)</t>
  </si>
  <si>
    <t>Inventories</t>
  </si>
  <si>
    <t>Current Tax Assets</t>
  </si>
  <si>
    <t>Assets Held for Sale (ST)</t>
  </si>
  <si>
    <t>Other Current Assets</t>
  </si>
  <si>
    <t>Total Current Assets</t>
  </si>
  <si>
    <t>Gross Property Plant &amp; Equip</t>
  </si>
  <si>
    <t>Accumulated Depreciation</t>
  </si>
  <si>
    <t>Net Property Plant &amp; Equip</t>
  </si>
  <si>
    <t>Intangible Assets</t>
  </si>
  <si>
    <t>Deferred LT Assets</t>
  </si>
  <si>
    <t>Other Assets</t>
  </si>
  <si>
    <t>Total Assets</t>
  </si>
  <si>
    <t>Accounts Payable &amp; Accrued Exps</t>
  </si>
  <si>
    <t>Accounts Payable</t>
  </si>
  <si>
    <t>Accrued Expenses</t>
  </si>
  <si>
    <t>Current Debt</t>
  </si>
  <si>
    <t>Other Current Liabilities</t>
  </si>
  <si>
    <t>Total Current Liabilities</t>
  </si>
  <si>
    <t>LT Debt &amp; Leases</t>
  </si>
  <si>
    <t>Pensions &amp; OPEB</t>
  </si>
  <si>
    <t>Deferred LT Liabilities</t>
  </si>
  <si>
    <t>Minority Interests</t>
  </si>
  <si>
    <t>Other Liabilities</t>
  </si>
  <si>
    <t>Total Liabilities</t>
  </si>
  <si>
    <t>Common Share Capital</t>
  </si>
  <si>
    <t>Retained Earnings</t>
  </si>
  <si>
    <t>Accum Other Comprehensive Income</t>
  </si>
  <si>
    <t>Treasury Stock</t>
  </si>
  <si>
    <t>For Curr Trans (BS)</t>
  </si>
  <si>
    <t>Other Equity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</si>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</sst>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/>
    </xf>
    <xf numFmtId="44" fontId="0" fillId="0" borderId="0" xfId="1" applyFont="1"/>
    <xf numFmtId="44" fontId="0" fillId="0" borderId="0" xfId="1" applyFont="1" applyAlignment="1">
      <alignment horizontal="right"/>
    </xf>
    <xf numFmtId="0" fontId="3" fillId="0" borderId="0" xfId="0" applyFont="1" applyAlignment="1">
      <alignment horizontal="left"/>
    </xf>
    <xf numFmtId="44" fontId="3" fillId="0" borderId="0" xfId="1" applyFont="1"/>
    <xf numFmtId="0" fontId="3" fillId="0" borderId="0" xfId="0" applyFont="1"/>
    <xf numFmtId="9" fontId="3" fillId="0" borderId="0" xfId="2" applyFont="1" applyAlignment="1">
      <alignment horizontal="left" vertical="top"/>
    </xf>
    <xf numFmtId="9" fontId="3" fillId="0" borderId="0" xfId="2" applyFont="1" applyAlignment="1">
      <alignment horizontal="right" vertical="top" wrapText="1"/>
    </xf>
    <xf numFmtId="9" fontId="0" fillId="0" borderId="0" xfId="2" applyFont="1"/>
    <xf numFmtId="0" fontId="4" fillId="0" borderId="0" xfId="0" applyFont="1"/>
    <xf numFmtId="44" fontId="0" fillId="2" borderId="0" xfId="1" applyFont="1" applyFill="1"/>
    <xf numFmtId="0" fontId="4" fillId="2" borderId="0" xfId="0" applyFont="1" applyFill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standardized!$A$18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standardized!$B$11:$K$11</c:f>
              <c:strCache>
                <c:ptCount val="10"/>
                <c:pt idx="0">
                  <c:v>12/28/2014</c:v>
                </c:pt>
                <c:pt idx="1">
                  <c:v>01/03/2016</c:v>
                </c:pt>
                <c:pt idx="2">
                  <c:v>01/01/2017</c:v>
                </c:pt>
                <c:pt idx="3">
                  <c:v>12/31/2017</c:v>
                </c:pt>
                <c:pt idx="4">
                  <c:v>12/30/2018</c:v>
                </c:pt>
                <c:pt idx="5">
                  <c:v>12/29/2019</c:v>
                </c:pt>
                <c:pt idx="6">
                  <c:v>01/03/2021</c:v>
                </c:pt>
                <c:pt idx="7">
                  <c:v>01/02/2022</c:v>
                </c:pt>
                <c:pt idx="8">
                  <c:v>01/01/2023</c:v>
                </c:pt>
                <c:pt idx="9">
                  <c:v>12/31/2023</c:v>
                </c:pt>
              </c:strCache>
            </c:strRef>
          </c:cat>
          <c:val>
            <c:numRef>
              <c:f>standardized!$B$18:$K$18</c:f>
              <c:numCache>
                <c:formatCode>_("$"* #,##0.00_);_("$"* \(#,##0.00\);_("$"* "-"??_);_(@_)</c:formatCode>
                <c:ptCount val="10"/>
                <c:pt idx="0">
                  <c:v>74331</c:v>
                </c:pt>
                <c:pt idx="1">
                  <c:v>70074</c:v>
                </c:pt>
                <c:pt idx="2">
                  <c:v>71890</c:v>
                </c:pt>
                <c:pt idx="3">
                  <c:v>76450</c:v>
                </c:pt>
                <c:pt idx="4">
                  <c:v>81581</c:v>
                </c:pt>
                <c:pt idx="5">
                  <c:v>82059</c:v>
                </c:pt>
                <c:pt idx="6">
                  <c:v>82584</c:v>
                </c:pt>
                <c:pt idx="7">
                  <c:v>93775</c:v>
                </c:pt>
                <c:pt idx="8">
                  <c:v>94943</c:v>
                </c:pt>
                <c:pt idx="9">
                  <c:v>85159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9-40B3-A56C-33AAA6BFF478}"/>
            </c:ext>
          </c:extLst>
        </c:ser>
        <c:ser>
          <c:idx val="1"/>
          <c:order val="1"/>
          <c:tx>
            <c:strRef>
              <c:f>standardized!$A$35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standardized!$B$11:$K$11</c:f>
              <c:strCache>
                <c:ptCount val="10"/>
                <c:pt idx="0">
                  <c:v>12/28/2014</c:v>
                </c:pt>
                <c:pt idx="1">
                  <c:v>01/03/2016</c:v>
                </c:pt>
                <c:pt idx="2">
                  <c:v>01/01/2017</c:v>
                </c:pt>
                <c:pt idx="3">
                  <c:v>12/31/2017</c:v>
                </c:pt>
                <c:pt idx="4">
                  <c:v>12/30/2018</c:v>
                </c:pt>
                <c:pt idx="5">
                  <c:v>12/29/2019</c:v>
                </c:pt>
                <c:pt idx="6">
                  <c:v>01/03/2021</c:v>
                </c:pt>
                <c:pt idx="7">
                  <c:v>01/02/2022</c:v>
                </c:pt>
                <c:pt idx="8">
                  <c:v>01/01/2023</c:v>
                </c:pt>
                <c:pt idx="9">
                  <c:v>12/31/2023</c:v>
                </c:pt>
              </c:strCache>
            </c:strRef>
          </c:cat>
          <c:val>
            <c:numRef>
              <c:f>standardized!$B$35:$K$35</c:f>
              <c:numCache>
                <c:formatCode>_("$"* #,##0.00_);_("$"* \(#,##0.00\);_("$"* "-"??_);_(@_)</c:formatCode>
                <c:ptCount val="10"/>
                <c:pt idx="0">
                  <c:v>16323</c:v>
                </c:pt>
                <c:pt idx="1">
                  <c:v>15409</c:v>
                </c:pt>
                <c:pt idx="2">
                  <c:v>16540</c:v>
                </c:pt>
                <c:pt idx="3">
                  <c:v>1300</c:v>
                </c:pt>
                <c:pt idx="4">
                  <c:v>15297</c:v>
                </c:pt>
                <c:pt idx="5">
                  <c:v>15119</c:v>
                </c:pt>
                <c:pt idx="6">
                  <c:v>14714</c:v>
                </c:pt>
                <c:pt idx="7">
                  <c:v>20878</c:v>
                </c:pt>
                <c:pt idx="8">
                  <c:v>17941</c:v>
                </c:pt>
                <c:pt idx="9">
                  <c:v>35153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9-40B3-A56C-33AAA6BF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174703"/>
        <c:axId val="1382202063"/>
      </c:barChart>
      <c:catAx>
        <c:axId val="138217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02063"/>
        <c:crosses val="autoZero"/>
        <c:auto val="1"/>
        <c:lblAlgn val="ctr"/>
        <c:lblOffset val="100"/>
        <c:noMultiLvlLbl val="0"/>
      </c:catAx>
      <c:valAx>
        <c:axId val="138220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7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Direct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Sheet1!$B$17:$K$17</c:f>
              <c:numCache>
                <c:formatCode>0%</c:formatCode>
                <c:ptCount val="10"/>
                <c:pt idx="0">
                  <c:v>0.30600960568268959</c:v>
                </c:pt>
                <c:pt idx="1">
                  <c:v>0.30733224876559068</c:v>
                </c:pt>
                <c:pt idx="2">
                  <c:v>0.30164139657810546</c:v>
                </c:pt>
                <c:pt idx="3">
                  <c:v>0.33164159581425767</c:v>
                </c:pt>
                <c:pt idx="4">
                  <c:v>0.33207487037422928</c:v>
                </c:pt>
                <c:pt idx="5">
                  <c:v>0.33580716313871728</c:v>
                </c:pt>
                <c:pt idx="6">
                  <c:v>0.34421921921921922</c:v>
                </c:pt>
                <c:pt idx="7">
                  <c:v>0.31836843508397761</c:v>
                </c:pt>
                <c:pt idx="8">
                  <c:v>0.32744910103957109</c:v>
                </c:pt>
                <c:pt idx="9">
                  <c:v>0.31180497657323358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6-4B94-A23E-E234E0131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707984"/>
        <c:axId val="1249701744"/>
      </c:barChart>
      <c:catAx>
        <c:axId val="124970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01744"/>
        <c:crosses val="autoZero"/>
        <c:auto val="1"/>
        <c:lblAlgn val="ctr"/>
        <c:lblOffset val="100"/>
        <c:noMultiLvlLbl val="0"/>
      </c:catAx>
      <c:valAx>
        <c:axId val="12497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0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>
    <xdr:from>
      <xdr:col>11</xdr:col>
      <xdr:colOff>346421</xdr:colOff>
      <xdr:row>28</xdr:row>
      <xdr:rowOff>31051</xdr:rowOff>
    </xdr:from>
    <xdr:to>
      <xdr:col>17</xdr:col>
      <xdr:colOff>704588</xdr:colOff>
      <xdr:row>54</xdr:row>
      <xdr:rowOff>137002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E2476E-02A5-B0B5-B78D-0E9EB4C47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954880</xdr:colOff>
      <xdr:row>34</xdr:row>
      <xdr:rowOff>4762</xdr:rowOff>
    </xdr:from>
    <xdr:to>
      <xdr:col>9</xdr:col>
      <xdr:colOff>854868</xdr:colOff>
      <xdr:row>50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9D220-787B-8E83-2F35-C53D3E2C1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48"/>
  <sheetViews>
    <sheetView topLeftCell="A12" zoomScaleNormal="100" workbookViewId="0">
      <selection activeCell="B18" sqref="B18"/>
    </sheetView>
  </sheetViews>
  <sheetFormatPr defaultRowHeight="12.75" x14ac:dyDescent="0.35"/>
  <cols>
    <col min="1" max="1" width="50" customWidth="1"/>
    <col min="2" max="191" width="12" customWidth="1"/>
  </cols>
  <sheetData>
    <row r="4" spans="1:12" x14ac:dyDescent="0.35">
      <c r="A4" s="1" t="s">
        <v>0</v>
      </c>
    </row>
    <row r="5" spans="1:12" ht="20.65" x14ac:dyDescent="0.6">
      <c r="A5" s="2" t="s">
        <v>1</v>
      </c>
    </row>
    <row r="7" spans="1:12" x14ac:dyDescent="0.35">
      <c r="A7" s="3" t="s">
        <v>2</v>
      </c>
    </row>
    <row r="10" spans="1:12" ht="13.15" x14ac:dyDescent="0.35">
      <c r="A10" s="4" t="s">
        <v>3</v>
      </c>
    </row>
    <row r="11" spans="1:12" ht="13.15" x14ac:dyDescent="0.35">
      <c r="A11" s="5" t="s">
        <v>4</v>
      </c>
      <c r="B11" s="6" t="s">
        <v>14</v>
      </c>
      <c r="C11" s="6" t="s">
        <v>13</v>
      </c>
      <c r="D11" s="6" t="s">
        <v>12</v>
      </c>
      <c r="E11" s="6" t="s">
        <v>11</v>
      </c>
      <c r="F11" s="6" t="s">
        <v>10</v>
      </c>
      <c r="G11" s="6" t="s">
        <v>9</v>
      </c>
      <c r="H11" s="6" t="s">
        <v>8</v>
      </c>
      <c r="I11" s="6" t="s">
        <v>7</v>
      </c>
      <c r="J11" s="6" t="s">
        <v>6</v>
      </c>
      <c r="K11" s="6" t="s">
        <v>5</v>
      </c>
      <c r="L11" s="5"/>
    </row>
    <row r="12" spans="1:12" ht="13.15" x14ac:dyDescent="0.35">
      <c r="A12" s="5" t="s">
        <v>15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6" t="s">
        <v>16</v>
      </c>
      <c r="L12" s="5"/>
    </row>
    <row r="13" spans="1:12" ht="26.25" x14ac:dyDescent="0.35">
      <c r="A13" s="5" t="s">
        <v>17</v>
      </c>
      <c r="B13" s="6" t="s">
        <v>18</v>
      </c>
      <c r="C13" s="6" t="s">
        <v>18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18</v>
      </c>
      <c r="L13" s="5"/>
    </row>
    <row r="14" spans="1:12" ht="13.15" x14ac:dyDescent="0.35">
      <c r="A14" s="5" t="s">
        <v>19</v>
      </c>
      <c r="B14" s="6" t="s">
        <v>20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  <c r="K14" s="6" t="s">
        <v>20</v>
      </c>
      <c r="L14" s="5"/>
    </row>
    <row r="15" spans="1:12" ht="13.15" x14ac:dyDescent="0.35">
      <c r="A15" s="5" t="s">
        <v>52</v>
      </c>
      <c r="B15" s="6"/>
      <c r="C15" s="14">
        <f>C18/B18-1</f>
        <v>-5.7270856035839701E-2</v>
      </c>
      <c r="D15" s="14">
        <f t="shared" ref="D15:K15" si="0">D18/C18-1</f>
        <v>2.5915460798584311E-2</v>
      </c>
      <c r="E15" s="14">
        <f t="shared" si="0"/>
        <v>6.3430240645430569E-2</v>
      </c>
      <c r="F15" s="14">
        <f t="shared" si="0"/>
        <v>6.7115761935905738E-2</v>
      </c>
      <c r="G15" s="14">
        <f t="shared" si="0"/>
        <v>5.8592074134908856E-3</v>
      </c>
      <c r="H15" s="14">
        <f t="shared" si="0"/>
        <v>6.3978357035792133E-3</v>
      </c>
      <c r="I15" s="14">
        <f t="shared" si="0"/>
        <v>0.13551051051051055</v>
      </c>
      <c r="J15" s="14">
        <f t="shared" si="0"/>
        <v>1.2455345241269011E-2</v>
      </c>
      <c r="K15" s="14">
        <f t="shared" si="0"/>
        <v>-0.1030513044668907</v>
      </c>
      <c r="L15" s="13">
        <f>AVERAGE(C15:K15)</f>
        <v>1.7373577971782208E-2</v>
      </c>
    </row>
    <row r="16" spans="1:12" ht="13.15" x14ac:dyDescent="0.35">
      <c r="A16" s="5" t="s">
        <v>21</v>
      </c>
      <c r="B16" s="6" t="s">
        <v>22</v>
      </c>
      <c r="C16" s="6" t="s">
        <v>22</v>
      </c>
      <c r="D16" s="6" t="s">
        <v>22</v>
      </c>
      <c r="E16" s="6" t="s">
        <v>22</v>
      </c>
      <c r="F16" s="6" t="s">
        <v>22</v>
      </c>
      <c r="G16" s="6" t="s">
        <v>22</v>
      </c>
      <c r="H16" s="6" t="s">
        <v>22</v>
      </c>
      <c r="I16" s="6" t="s">
        <v>22</v>
      </c>
      <c r="J16" s="6" t="s">
        <v>22</v>
      </c>
      <c r="K16" s="6" t="s">
        <v>22</v>
      </c>
      <c r="L16" s="5"/>
    </row>
    <row r="17" spans="1:12" x14ac:dyDescent="0.35">
      <c r="A17" s="18" t="s">
        <v>54</v>
      </c>
      <c r="B17" s="17">
        <v>74331</v>
      </c>
      <c r="C17" s="17">
        <v>70074</v>
      </c>
      <c r="D17" s="17">
        <v>71890</v>
      </c>
      <c r="E17" s="17">
        <v>76450</v>
      </c>
      <c r="F17" s="17">
        <v>81581</v>
      </c>
      <c r="G17" s="17">
        <v>82059</v>
      </c>
      <c r="H17" s="17">
        <v>82584</v>
      </c>
      <c r="I17" s="17">
        <v>93775</v>
      </c>
      <c r="J17" s="17">
        <v>94943</v>
      </c>
      <c r="K17" s="17">
        <v>85159</v>
      </c>
      <c r="L17" s="7"/>
    </row>
    <row r="18" spans="1:12" s="12" customFormat="1" ht="13.15" x14ac:dyDescent="0.4">
      <c r="A18" s="10" t="s">
        <v>24</v>
      </c>
      <c r="B18" s="11">
        <v>74331</v>
      </c>
      <c r="C18" s="11">
        <v>70074</v>
      </c>
      <c r="D18" s="11">
        <v>71890</v>
      </c>
      <c r="E18" s="11">
        <v>76450</v>
      </c>
      <c r="F18" s="11">
        <v>81581</v>
      </c>
      <c r="G18" s="11">
        <v>82059</v>
      </c>
      <c r="H18" s="11">
        <v>82584</v>
      </c>
      <c r="I18" s="11">
        <v>93775</v>
      </c>
      <c r="J18" s="11">
        <v>94943</v>
      </c>
      <c r="K18" s="11">
        <v>85159</v>
      </c>
      <c r="L18" s="10"/>
    </row>
    <row r="19" spans="1:12" s="12" customFormat="1" ht="13.15" x14ac:dyDescent="0.4">
      <c r="A19" s="10" t="s">
        <v>25</v>
      </c>
      <c r="B19" s="11">
        <v>22746</v>
      </c>
      <c r="C19" s="11">
        <v>21536</v>
      </c>
      <c r="D19" s="11">
        <v>21685</v>
      </c>
      <c r="E19" s="11">
        <v>25354</v>
      </c>
      <c r="F19" s="11">
        <v>27091</v>
      </c>
      <c r="G19" s="11">
        <v>27556</v>
      </c>
      <c r="H19" s="11">
        <v>28427</v>
      </c>
      <c r="I19" s="11">
        <v>29855</v>
      </c>
      <c r="J19" s="11">
        <v>31089</v>
      </c>
      <c r="K19" s="11">
        <v>26553</v>
      </c>
      <c r="L19" s="10"/>
    </row>
    <row r="20" spans="1:12" s="12" customFormat="1" ht="13.15" x14ac:dyDescent="0.4">
      <c r="A20" s="10" t="s">
        <v>26</v>
      </c>
      <c r="B20" s="11">
        <v>51585</v>
      </c>
      <c r="C20" s="11">
        <v>48538</v>
      </c>
      <c r="D20" s="11">
        <v>50205</v>
      </c>
      <c r="E20" s="11">
        <v>51096</v>
      </c>
      <c r="F20" s="11">
        <v>54490</v>
      </c>
      <c r="G20" s="11">
        <v>54503</v>
      </c>
      <c r="H20" s="11">
        <v>54157</v>
      </c>
      <c r="I20" s="11">
        <v>63920</v>
      </c>
      <c r="J20" s="11">
        <v>63854</v>
      </c>
      <c r="K20" s="11">
        <v>58606</v>
      </c>
      <c r="L20" s="10"/>
    </row>
    <row r="21" spans="1:12" x14ac:dyDescent="0.35">
      <c r="A21" s="7" t="s">
        <v>27</v>
      </c>
      <c r="B21" s="8">
        <v>21954</v>
      </c>
      <c r="C21" s="8">
        <v>21203</v>
      </c>
      <c r="D21" s="8">
        <v>19945</v>
      </c>
      <c r="E21" s="8">
        <v>21420</v>
      </c>
      <c r="F21" s="8">
        <v>22540</v>
      </c>
      <c r="G21" s="8">
        <v>22178</v>
      </c>
      <c r="H21" s="8">
        <v>22084</v>
      </c>
      <c r="I21" s="8">
        <v>24659</v>
      </c>
      <c r="J21" s="8">
        <v>24765</v>
      </c>
      <c r="K21" s="8">
        <v>21512</v>
      </c>
      <c r="L21" s="7"/>
    </row>
    <row r="22" spans="1:12" x14ac:dyDescent="0.35">
      <c r="A22" s="7" t="s">
        <v>28</v>
      </c>
      <c r="B22" s="8">
        <v>8672</v>
      </c>
      <c r="C22" s="8">
        <v>9270</v>
      </c>
      <c r="D22" s="8">
        <v>9124</v>
      </c>
      <c r="E22" s="8">
        <v>10962</v>
      </c>
      <c r="F22" s="8">
        <v>11901</v>
      </c>
      <c r="G22" s="8">
        <v>12245</v>
      </c>
      <c r="H22" s="8">
        <v>12340</v>
      </c>
      <c r="I22" s="8">
        <v>15614</v>
      </c>
      <c r="J22" s="8">
        <v>15386</v>
      </c>
      <c r="K22" s="8">
        <v>15398</v>
      </c>
      <c r="L22" s="7"/>
    </row>
    <row r="23" spans="1:12" x14ac:dyDescent="0.35">
      <c r="A23" s="7" t="s">
        <v>29</v>
      </c>
      <c r="B23" s="9" t="s">
        <v>30</v>
      </c>
      <c r="C23" s="8">
        <v>509</v>
      </c>
      <c r="D23" s="8">
        <v>491</v>
      </c>
      <c r="E23" s="8">
        <v>309</v>
      </c>
      <c r="F23" s="8">
        <v>251</v>
      </c>
      <c r="G23" s="8">
        <v>266</v>
      </c>
      <c r="H23" s="8">
        <v>247</v>
      </c>
      <c r="I23" s="8">
        <v>252</v>
      </c>
      <c r="J23" s="8">
        <v>321</v>
      </c>
      <c r="K23" s="8">
        <v>489</v>
      </c>
      <c r="L23" s="7"/>
    </row>
    <row r="24" spans="1:12" x14ac:dyDescent="0.35">
      <c r="A24" s="7" t="s">
        <v>31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6634</v>
      </c>
      <c r="L24" s="7"/>
    </row>
    <row r="25" spans="1:12" s="12" customFormat="1" ht="13.15" x14ac:dyDescent="0.4">
      <c r="A25" s="10" t="s">
        <v>32</v>
      </c>
      <c r="B25" s="11">
        <v>30626</v>
      </c>
      <c r="C25" s="11">
        <v>30982</v>
      </c>
      <c r="D25" s="11">
        <v>29560</v>
      </c>
      <c r="E25" s="11">
        <v>32691</v>
      </c>
      <c r="F25" s="11">
        <v>34692</v>
      </c>
      <c r="G25" s="11">
        <v>34689</v>
      </c>
      <c r="H25" s="11">
        <v>34671</v>
      </c>
      <c r="I25" s="11">
        <v>40525</v>
      </c>
      <c r="J25" s="11">
        <v>40472</v>
      </c>
      <c r="K25" s="11">
        <v>44033</v>
      </c>
      <c r="L25" s="10"/>
    </row>
    <row r="26" spans="1:12" s="12" customFormat="1" ht="13.15" x14ac:dyDescent="0.4">
      <c r="A26" s="10" t="s">
        <v>33</v>
      </c>
      <c r="B26" s="11">
        <v>20959</v>
      </c>
      <c r="C26" s="11">
        <v>17556</v>
      </c>
      <c r="D26" s="11">
        <v>20645</v>
      </c>
      <c r="E26" s="11">
        <v>18405</v>
      </c>
      <c r="F26" s="11">
        <v>19798</v>
      </c>
      <c r="G26" s="11">
        <v>19814</v>
      </c>
      <c r="H26" s="11">
        <v>19486</v>
      </c>
      <c r="I26" s="11">
        <v>23395</v>
      </c>
      <c r="J26" s="11">
        <v>23382</v>
      </c>
      <c r="K26" s="11">
        <v>14573</v>
      </c>
      <c r="L26" s="10"/>
    </row>
    <row r="27" spans="1:12" s="12" customFormat="1" ht="13.15" x14ac:dyDescent="0.4">
      <c r="A27" s="10" t="s">
        <v>34</v>
      </c>
      <c r="B27" s="11">
        <v>-466</v>
      </c>
      <c r="C27" s="11">
        <v>-424</v>
      </c>
      <c r="D27" s="11">
        <v>-358</v>
      </c>
      <c r="E27" s="11">
        <v>-549</v>
      </c>
      <c r="F27" s="11">
        <v>-394</v>
      </c>
      <c r="G27" s="11">
        <v>39</v>
      </c>
      <c r="H27" s="11">
        <v>-90</v>
      </c>
      <c r="I27" s="11">
        <v>-130</v>
      </c>
      <c r="J27" s="11">
        <v>214</v>
      </c>
      <c r="K27" s="11">
        <v>489</v>
      </c>
      <c r="L27" s="10"/>
    </row>
    <row r="28" spans="1:12" x14ac:dyDescent="0.35">
      <c r="A28" s="7" t="s">
        <v>35</v>
      </c>
      <c r="B28" s="8">
        <v>70</v>
      </c>
      <c r="C28" s="8">
        <v>2064</v>
      </c>
      <c r="D28" s="8">
        <v>-484</v>
      </c>
      <c r="E28" s="8">
        <v>-183</v>
      </c>
      <c r="F28" s="8">
        <v>-1405</v>
      </c>
      <c r="G28" s="8">
        <v>-2525</v>
      </c>
      <c r="H28" s="8">
        <v>-2899</v>
      </c>
      <c r="I28" s="8">
        <v>-489</v>
      </c>
      <c r="J28" s="8">
        <v>-1871</v>
      </c>
      <c r="K28" s="8">
        <v>0</v>
      </c>
      <c r="L28" s="7"/>
    </row>
    <row r="29" spans="1:12" x14ac:dyDescent="0.35">
      <c r="A29" s="7" t="s">
        <v>36</v>
      </c>
      <c r="B29" s="8">
        <v>-396</v>
      </c>
      <c r="C29" s="8">
        <v>1640</v>
      </c>
      <c r="D29" s="8">
        <v>-842</v>
      </c>
      <c r="E29" s="8">
        <v>-732</v>
      </c>
      <c r="F29" s="8">
        <v>-1799</v>
      </c>
      <c r="G29" s="8">
        <v>-2486</v>
      </c>
      <c r="H29" s="8">
        <v>-2989</v>
      </c>
      <c r="I29" s="8">
        <v>-619</v>
      </c>
      <c r="J29" s="8">
        <v>-1657</v>
      </c>
      <c r="K29" s="8">
        <v>489</v>
      </c>
      <c r="L29" s="7"/>
    </row>
    <row r="30" spans="1:12" s="12" customFormat="1" ht="13.15" x14ac:dyDescent="0.4">
      <c r="A30" s="10" t="s">
        <v>37</v>
      </c>
      <c r="B30" s="11">
        <v>20563</v>
      </c>
      <c r="C30" s="11">
        <v>19196</v>
      </c>
      <c r="D30" s="11">
        <v>19803</v>
      </c>
      <c r="E30" s="11">
        <v>17673</v>
      </c>
      <c r="F30" s="11">
        <v>17999</v>
      </c>
      <c r="G30" s="11">
        <v>17328</v>
      </c>
      <c r="H30" s="11">
        <v>16497</v>
      </c>
      <c r="I30" s="11">
        <v>22776</v>
      </c>
      <c r="J30" s="11">
        <v>21725</v>
      </c>
      <c r="K30" s="11">
        <v>15062</v>
      </c>
      <c r="L30" s="10"/>
    </row>
    <row r="31" spans="1:12" x14ac:dyDescent="0.35">
      <c r="A31" s="7" t="s">
        <v>38</v>
      </c>
      <c r="B31" s="8">
        <v>4240</v>
      </c>
      <c r="C31" s="8">
        <v>3787</v>
      </c>
      <c r="D31" s="8">
        <v>3263</v>
      </c>
      <c r="E31" s="8">
        <v>16373</v>
      </c>
      <c r="F31" s="8">
        <v>2702</v>
      </c>
      <c r="G31" s="8">
        <v>2209</v>
      </c>
      <c r="H31" s="8">
        <v>1783</v>
      </c>
      <c r="I31" s="8">
        <v>1898</v>
      </c>
      <c r="J31" s="8">
        <v>3784</v>
      </c>
      <c r="K31" s="8">
        <v>1736</v>
      </c>
      <c r="L31" s="7"/>
    </row>
    <row r="32" spans="1:12" x14ac:dyDescent="0.35">
      <c r="A32" s="7" t="s">
        <v>39</v>
      </c>
      <c r="B32" s="9" t="s">
        <v>30</v>
      </c>
      <c r="C32" s="9" t="s">
        <v>30</v>
      </c>
      <c r="D32" s="9" t="s">
        <v>30</v>
      </c>
      <c r="E32" s="9" t="s">
        <v>30</v>
      </c>
      <c r="F32" s="9" t="s">
        <v>30</v>
      </c>
      <c r="G32" s="9" t="s">
        <v>30</v>
      </c>
      <c r="H32" s="9" t="s">
        <v>30</v>
      </c>
      <c r="I32" s="9" t="s">
        <v>30</v>
      </c>
      <c r="J32" s="9" t="s">
        <v>30</v>
      </c>
      <c r="K32" s="8">
        <v>21827</v>
      </c>
      <c r="L32" s="7"/>
    </row>
    <row r="33" spans="1:12" x14ac:dyDescent="0.35">
      <c r="A33" s="7" t="s">
        <v>40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7"/>
    </row>
    <row r="34" spans="1:12" x14ac:dyDescent="0.35">
      <c r="A34" s="7" t="s">
        <v>41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7"/>
    </row>
    <row r="35" spans="1:12" s="12" customFormat="1" ht="13.15" x14ac:dyDescent="0.4">
      <c r="A35" s="10" t="s">
        <v>42</v>
      </c>
      <c r="B35" s="11">
        <v>16323</v>
      </c>
      <c r="C35" s="11">
        <v>15409</v>
      </c>
      <c r="D35" s="11">
        <v>16540</v>
      </c>
      <c r="E35" s="11">
        <v>1300</v>
      </c>
      <c r="F35" s="11">
        <v>15297</v>
      </c>
      <c r="G35" s="11">
        <v>15119</v>
      </c>
      <c r="H35" s="11">
        <v>14714</v>
      </c>
      <c r="I35" s="11">
        <v>20878</v>
      </c>
      <c r="J35" s="11">
        <v>17941</v>
      </c>
      <c r="K35" s="11">
        <v>35153</v>
      </c>
      <c r="L35" s="10"/>
    </row>
    <row r="36" spans="1:12" x14ac:dyDescent="0.35">
      <c r="A36" s="7" t="s">
        <v>43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7"/>
    </row>
    <row r="37" spans="1:12" x14ac:dyDescent="0.35">
      <c r="A37" s="7" t="s">
        <v>44</v>
      </c>
      <c r="B37" s="8">
        <v>16323</v>
      </c>
      <c r="C37" s="8">
        <v>15409</v>
      </c>
      <c r="D37" s="8">
        <v>16540</v>
      </c>
      <c r="E37" s="8">
        <v>1300</v>
      </c>
      <c r="F37" s="8">
        <v>15297</v>
      </c>
      <c r="G37" s="8">
        <v>15119</v>
      </c>
      <c r="H37" s="8">
        <v>14714</v>
      </c>
      <c r="I37" s="8">
        <v>20878</v>
      </c>
      <c r="J37" s="8">
        <v>17941</v>
      </c>
      <c r="K37" s="8">
        <v>35153</v>
      </c>
      <c r="L37" s="7"/>
    </row>
    <row r="38" spans="1:12" x14ac:dyDescent="0.35">
      <c r="A38" s="7" t="s">
        <v>45</v>
      </c>
      <c r="B38" s="8">
        <v>2815.2</v>
      </c>
      <c r="C38" s="8">
        <v>2771.8</v>
      </c>
      <c r="D38" s="8">
        <v>2737.3</v>
      </c>
      <c r="E38" s="8">
        <v>2692</v>
      </c>
      <c r="F38" s="8">
        <v>2681.5</v>
      </c>
      <c r="G38" s="8">
        <v>2645.1</v>
      </c>
      <c r="H38" s="8">
        <v>2632.8</v>
      </c>
      <c r="I38" s="8">
        <v>2632.1</v>
      </c>
      <c r="J38" s="8">
        <v>2625.2</v>
      </c>
      <c r="K38" s="8">
        <v>2533.5</v>
      </c>
      <c r="L38" s="7"/>
    </row>
    <row r="39" spans="1:12" x14ac:dyDescent="0.35">
      <c r="A39" s="7" t="s">
        <v>46</v>
      </c>
      <c r="B39" s="8">
        <v>5.8</v>
      </c>
      <c r="C39" s="8">
        <v>5.56</v>
      </c>
      <c r="D39" s="8">
        <v>6.04</v>
      </c>
      <c r="E39" s="8">
        <v>0.48</v>
      </c>
      <c r="F39" s="8">
        <v>5.7</v>
      </c>
      <c r="G39" s="8">
        <v>5.72</v>
      </c>
      <c r="H39" s="8">
        <v>5.59</v>
      </c>
      <c r="I39" s="8">
        <v>7.93</v>
      </c>
      <c r="J39" s="8">
        <v>6.83</v>
      </c>
      <c r="K39" s="8">
        <v>13.88</v>
      </c>
      <c r="L39" s="7"/>
    </row>
    <row r="40" spans="1:12" x14ac:dyDescent="0.35">
      <c r="A40" s="7" t="s">
        <v>47</v>
      </c>
      <c r="B40" s="8">
        <v>5.8</v>
      </c>
      <c r="C40" s="8">
        <v>5.56</v>
      </c>
      <c r="D40" s="8">
        <v>6.04</v>
      </c>
      <c r="E40" s="8">
        <v>0.48</v>
      </c>
      <c r="F40" s="8">
        <v>5.7</v>
      </c>
      <c r="G40" s="8">
        <v>5.72</v>
      </c>
      <c r="H40" s="8">
        <v>5.59</v>
      </c>
      <c r="I40" s="8">
        <v>7.93</v>
      </c>
      <c r="J40" s="8">
        <v>6.83</v>
      </c>
      <c r="K40" s="8">
        <v>5.26</v>
      </c>
      <c r="L40" s="7"/>
    </row>
    <row r="41" spans="1:12" x14ac:dyDescent="0.35">
      <c r="A41" s="7" t="s">
        <v>48</v>
      </c>
      <c r="B41" s="8">
        <v>2863.9</v>
      </c>
      <c r="C41" s="8">
        <v>2812.9</v>
      </c>
      <c r="D41" s="8">
        <v>2788.9</v>
      </c>
      <c r="E41" s="8">
        <v>2745.3</v>
      </c>
      <c r="F41" s="8">
        <v>2728.7</v>
      </c>
      <c r="G41" s="8">
        <v>2684.3</v>
      </c>
      <c r="H41" s="8">
        <v>2670.7</v>
      </c>
      <c r="I41" s="8">
        <v>2674</v>
      </c>
      <c r="J41" s="8">
        <v>2663.9</v>
      </c>
      <c r="K41" s="8">
        <v>2560.4</v>
      </c>
      <c r="L41" s="7"/>
    </row>
    <row r="42" spans="1:12" x14ac:dyDescent="0.35">
      <c r="A42" s="7" t="s">
        <v>49</v>
      </c>
      <c r="B42" s="8">
        <v>5.7</v>
      </c>
      <c r="C42" s="8">
        <v>5.48</v>
      </c>
      <c r="D42" s="8">
        <v>5.93</v>
      </c>
      <c r="E42" s="8">
        <v>0.47</v>
      </c>
      <c r="F42" s="8">
        <v>5.61</v>
      </c>
      <c r="G42" s="8">
        <v>5.63</v>
      </c>
      <c r="H42" s="8">
        <v>5.51</v>
      </c>
      <c r="I42" s="8">
        <v>7.81</v>
      </c>
      <c r="J42" s="8">
        <v>6.73</v>
      </c>
      <c r="K42" s="8">
        <v>13.72</v>
      </c>
      <c r="L42" s="7"/>
    </row>
    <row r="43" spans="1:12" x14ac:dyDescent="0.35">
      <c r="A43" s="7" t="s">
        <v>50</v>
      </c>
      <c r="B43" s="8">
        <v>5.7</v>
      </c>
      <c r="C43" s="8">
        <v>5.48</v>
      </c>
      <c r="D43" s="8">
        <v>5.93</v>
      </c>
      <c r="E43" s="8">
        <v>0.47</v>
      </c>
      <c r="F43" s="8">
        <v>5.61</v>
      </c>
      <c r="G43" s="8">
        <v>5.63</v>
      </c>
      <c r="H43" s="8">
        <v>5.51</v>
      </c>
      <c r="I43" s="8">
        <v>7.81</v>
      </c>
      <c r="J43" s="8">
        <v>6.73</v>
      </c>
      <c r="K43" s="8">
        <v>5.2</v>
      </c>
      <c r="L43" s="7"/>
    </row>
    <row r="44" spans="1:12" x14ac:dyDescent="0.35">
      <c r="A44" s="7" t="s">
        <v>51</v>
      </c>
      <c r="B44" s="8">
        <v>2783.223</v>
      </c>
      <c r="C44" s="8">
        <v>2755.1619999999998</v>
      </c>
      <c r="D44" s="8">
        <v>2706.511</v>
      </c>
      <c r="E44" s="8">
        <v>2682.5250000000001</v>
      </c>
      <c r="F44" s="8">
        <v>2662.3240000000001</v>
      </c>
      <c r="G44" s="8">
        <v>2632.5070000000001</v>
      </c>
      <c r="H44" s="8">
        <v>2632.5120000000002</v>
      </c>
      <c r="I44" s="8">
        <v>2628.9650000000001</v>
      </c>
      <c r="J44" s="8">
        <v>2613.5970000000002</v>
      </c>
      <c r="K44" s="8">
        <v>2407.078</v>
      </c>
      <c r="L44" s="7"/>
    </row>
    <row r="48" spans="1:12" x14ac:dyDescent="0.35">
      <c r="A48" s="16" t="s">
        <v>53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ref="B11:K44">
    <sortCondition ref="B11:K1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1BC3-9526-4397-AA2B-5163BE7A1873}">
  <dimension ref="A3:K42"/>
  <sheetViews>
    <sheetView topLeftCell="A18" workbookViewId="0">
      <selection activeCell="B28" sqref="B28"/>
    </sheetView>
  </sheetViews>
  <sheetFormatPr defaultRowHeight="12.75" x14ac:dyDescent="0.35"/>
  <cols>
    <col min="1" max="1" width="32.1328125" customWidth="1"/>
    <col min="2" max="2" width="18.53125" customWidth="1"/>
    <col min="3" max="3" width="16.9296875" customWidth="1"/>
    <col min="4" max="4" width="16.73046875" customWidth="1"/>
    <col min="5" max="5" width="13.3984375" customWidth="1"/>
    <col min="6" max="6" width="13.59765625" customWidth="1"/>
    <col min="7" max="7" width="13.9296875" customWidth="1"/>
    <col min="8" max="8" width="11.3984375" customWidth="1"/>
    <col min="9" max="9" width="13.06640625" customWidth="1"/>
    <col min="10" max="10" width="12.33203125" customWidth="1"/>
    <col min="11" max="11" width="10.3984375" customWidth="1"/>
  </cols>
  <sheetData>
    <row r="3" spans="1:11" ht="20.65" x14ac:dyDescent="0.6">
      <c r="A3" s="2" t="s">
        <v>1</v>
      </c>
    </row>
    <row r="5" spans="1:11" ht="25.5" x14ac:dyDescent="0.35">
      <c r="A5" s="3" t="s">
        <v>2</v>
      </c>
    </row>
    <row r="8" spans="1:11" ht="26.25" x14ac:dyDescent="0.35">
      <c r="A8" s="4" t="s">
        <v>3</v>
      </c>
    </row>
    <row r="9" spans="1:11" ht="13.15" x14ac:dyDescent="0.35">
      <c r="A9" s="5" t="s">
        <v>4</v>
      </c>
      <c r="B9" s="6" t="s">
        <v>14</v>
      </c>
      <c r="C9" s="6" t="s">
        <v>13</v>
      </c>
      <c r="D9" s="6" t="s">
        <v>12</v>
      </c>
      <c r="E9" s="6" t="s">
        <v>11</v>
      </c>
      <c r="F9" s="6" t="s">
        <v>10</v>
      </c>
      <c r="G9" s="6" t="s">
        <v>9</v>
      </c>
      <c r="H9" s="6" t="s">
        <v>8</v>
      </c>
      <c r="I9" s="6" t="s">
        <v>7</v>
      </c>
      <c r="J9" s="6" t="s">
        <v>6</v>
      </c>
      <c r="K9" s="6" t="s">
        <v>5</v>
      </c>
    </row>
    <row r="10" spans="1:11" ht="13.15" x14ac:dyDescent="0.35">
      <c r="A10" s="5" t="s">
        <v>15</v>
      </c>
    </row>
    <row r="11" spans="1:11" ht="13.15" x14ac:dyDescent="0.35">
      <c r="A11" s="5" t="s">
        <v>17</v>
      </c>
    </row>
    <row r="12" spans="1:11" ht="13.15" x14ac:dyDescent="0.35">
      <c r="A12" s="5" t="s">
        <v>19</v>
      </c>
    </row>
    <row r="13" spans="1:11" ht="13.15" x14ac:dyDescent="0.35">
      <c r="A13" s="5" t="s">
        <v>52</v>
      </c>
    </row>
    <row r="14" spans="1:11" ht="13.15" x14ac:dyDescent="0.35">
      <c r="A14" s="5" t="s">
        <v>21</v>
      </c>
    </row>
    <row r="15" spans="1:11" x14ac:dyDescent="0.35">
      <c r="A15" s="7" t="s">
        <v>23</v>
      </c>
    </row>
    <row r="16" spans="1:11" ht="13.15" x14ac:dyDescent="0.4">
      <c r="A16" s="10" t="s">
        <v>24</v>
      </c>
      <c r="B16" s="15">
        <f>standardized!B18/standardized!B$18</f>
        <v>1</v>
      </c>
      <c r="C16" s="15">
        <f>standardized!C18/standardized!C$18</f>
        <v>1</v>
      </c>
      <c r="D16" s="15">
        <f>standardized!D18/standardized!D$18</f>
        <v>1</v>
      </c>
      <c r="E16" s="15">
        <f>standardized!E18/standardized!E$18</f>
        <v>1</v>
      </c>
      <c r="F16" s="15">
        <f>standardized!F18/standardized!F$18</f>
        <v>1</v>
      </c>
      <c r="G16" s="15">
        <f>standardized!G18/standardized!G$18</f>
        <v>1</v>
      </c>
      <c r="H16" s="15">
        <f>standardized!H18/standardized!H$18</f>
        <v>1</v>
      </c>
      <c r="I16" s="15">
        <f>standardized!I18/standardized!I$18</f>
        <v>1</v>
      </c>
      <c r="J16" s="15">
        <f>standardized!J18/standardized!J$18</f>
        <v>1</v>
      </c>
      <c r="K16" s="15">
        <f>standardized!K18/standardized!K$18</f>
        <v>1</v>
      </c>
    </row>
    <row r="17" spans="1:11" ht="13.15" x14ac:dyDescent="0.4">
      <c r="A17" s="10" t="s">
        <v>25</v>
      </c>
      <c r="B17" s="15">
        <f>standardized!B19/standardized!B$18</f>
        <v>0.30600960568268959</v>
      </c>
      <c r="C17" s="15">
        <f>standardized!C19/standardized!C$18</f>
        <v>0.30733224876559068</v>
      </c>
      <c r="D17" s="15">
        <f>standardized!D19/standardized!D$18</f>
        <v>0.30164139657810546</v>
      </c>
      <c r="E17" s="15">
        <f>standardized!E19/standardized!E$18</f>
        <v>0.33164159581425767</v>
      </c>
      <c r="F17" s="15">
        <f>standardized!F19/standardized!F$18</f>
        <v>0.33207487037422928</v>
      </c>
      <c r="G17" s="15">
        <f>standardized!G19/standardized!G$18</f>
        <v>0.33580716313871728</v>
      </c>
      <c r="H17" s="15">
        <f>standardized!H19/standardized!H$18</f>
        <v>0.34421921921921922</v>
      </c>
      <c r="I17" s="15">
        <f>standardized!I19/standardized!I$18</f>
        <v>0.31836843508397761</v>
      </c>
      <c r="J17" s="15">
        <f>standardized!J19/standardized!J$18</f>
        <v>0.32744910103957109</v>
      </c>
      <c r="K17" s="15">
        <f>standardized!K19/standardized!K$18</f>
        <v>0.31180497657323358</v>
      </c>
    </row>
    <row r="18" spans="1:11" ht="13.15" x14ac:dyDescent="0.4">
      <c r="A18" s="10" t="s">
        <v>26</v>
      </c>
      <c r="B18" s="15">
        <f>standardized!B20/standardized!B$18</f>
        <v>0.69399039431731036</v>
      </c>
      <c r="C18" s="15">
        <f>standardized!C20/standardized!C$18</f>
        <v>0.69266775123440938</v>
      </c>
      <c r="D18" s="15">
        <f>standardized!D20/standardized!D$18</f>
        <v>0.6983586034218946</v>
      </c>
      <c r="E18" s="15">
        <f>standardized!E20/standardized!E$18</f>
        <v>0.66835840418574233</v>
      </c>
      <c r="F18" s="15">
        <f>standardized!F20/standardized!F$18</f>
        <v>0.66792512962577066</v>
      </c>
      <c r="G18" s="15">
        <f>standardized!G20/standardized!G$18</f>
        <v>0.66419283686128272</v>
      </c>
      <c r="H18" s="15">
        <f>standardized!H20/standardized!H$18</f>
        <v>0.65578078078078073</v>
      </c>
      <c r="I18" s="15">
        <f>standardized!I20/standardized!I$18</f>
        <v>0.68163156491602239</v>
      </c>
      <c r="J18" s="15">
        <f>standardized!J20/standardized!J$18</f>
        <v>0.67255089896042886</v>
      </c>
      <c r="K18" s="15">
        <f>standardized!K20/standardized!K$18</f>
        <v>0.68819502342676642</v>
      </c>
    </row>
    <row r="19" spans="1:11" x14ac:dyDescent="0.35">
      <c r="A19" s="7" t="s">
        <v>27</v>
      </c>
      <c r="B19" s="15">
        <f>standardized!B21/standardized!B$18</f>
        <v>0.29535456269927757</v>
      </c>
      <c r="C19" s="15">
        <f>standardized!C21/standardized!C$18</f>
        <v>0.30258012957730401</v>
      </c>
      <c r="D19" s="15">
        <f>standardized!D21/standardized!D$18</f>
        <v>0.2774377521212964</v>
      </c>
      <c r="E19" s="15">
        <f>standardized!E21/standardized!E$18</f>
        <v>0.28018312622629171</v>
      </c>
      <c r="F19" s="15">
        <f>standardized!F21/standardized!F$18</f>
        <v>0.27628982238511418</v>
      </c>
      <c r="G19" s="15">
        <f>standardized!G21/standardized!G$18</f>
        <v>0.27026895282662472</v>
      </c>
      <c r="H19" s="15">
        <f>standardized!H21/standardized!H$18</f>
        <v>0.26741257386418676</v>
      </c>
      <c r="I19" s="15">
        <f>standardized!I21/standardized!I$18</f>
        <v>0.26295921087709945</v>
      </c>
      <c r="J19" s="15">
        <f>standardized!J21/standardized!J$18</f>
        <v>0.26084071495528899</v>
      </c>
      <c r="K19" s="15">
        <f>standardized!K21/standardized!K$18</f>
        <v>0.25260982397632664</v>
      </c>
    </row>
    <row r="20" spans="1:11" x14ac:dyDescent="0.35">
      <c r="A20" s="7" t="s">
        <v>28</v>
      </c>
      <c r="B20" s="15">
        <f>standardized!B22/standardized!B$18</f>
        <v>0.11666733933352168</v>
      </c>
      <c r="C20" s="15">
        <f>standardized!C22/standardized!C$18</f>
        <v>0.13228872334960184</v>
      </c>
      <c r="D20" s="15">
        <f>standardized!D22/standardized!D$18</f>
        <v>0.12691612185283072</v>
      </c>
      <c r="E20" s="15">
        <f>standardized!E22/standardized!E$18</f>
        <v>0.14338783518639633</v>
      </c>
      <c r="F20" s="15">
        <f>standardized!F22/standardized!F$18</f>
        <v>0.14587955528860888</v>
      </c>
      <c r="G20" s="15">
        <f>standardized!G22/standardized!G$18</f>
        <v>0.14922190131490756</v>
      </c>
      <c r="H20" s="15">
        <f>standardized!H22/standardized!H$18</f>
        <v>0.14942361716555264</v>
      </c>
      <c r="I20" s="15">
        <f>standardized!I22/standardized!I$18</f>
        <v>0.16650493201812849</v>
      </c>
      <c r="J20" s="15">
        <f>standardized!J22/standardized!J$18</f>
        <v>0.16205512781353024</v>
      </c>
      <c r="K20" s="15">
        <f>standardized!K22/standardized!K$18</f>
        <v>0.18081471130473584</v>
      </c>
    </row>
    <row r="21" spans="1:11" x14ac:dyDescent="0.35">
      <c r="A21" s="7" t="s">
        <v>29</v>
      </c>
      <c r="B21" s="15" t="e">
        <f>standardized!B23/standardized!B$18</f>
        <v>#VALUE!</v>
      </c>
      <c r="C21" s="15">
        <f>standardized!C23/standardized!C$18</f>
        <v>7.2637497502640062E-3</v>
      </c>
      <c r="D21" s="15">
        <f>standardized!D23/standardized!D$18</f>
        <v>6.8298789817777157E-3</v>
      </c>
      <c r="E21" s="15">
        <f>standardized!E23/standardized!E$18</f>
        <v>4.0418574231523875E-3</v>
      </c>
      <c r="F21" s="15">
        <f>standardized!F23/standardized!F$18</f>
        <v>3.0766967798874739E-3</v>
      </c>
      <c r="G21" s="15">
        <f>standardized!G23/standardized!G$18</f>
        <v>3.2415700898134271E-3</v>
      </c>
      <c r="H21" s="15">
        <f>standardized!H23/standardized!H$18</f>
        <v>2.9908941199263779E-3</v>
      </c>
      <c r="I21" s="15">
        <f>standardized!I23/standardized!I$18</f>
        <v>2.6872833910957078E-3</v>
      </c>
      <c r="J21" s="15">
        <f>standardized!J23/standardized!J$18</f>
        <v>3.3809759539934485E-3</v>
      </c>
      <c r="K21" s="15">
        <f>standardized!K23/standardized!K$18</f>
        <v>5.7421998849211476E-3</v>
      </c>
    </row>
    <row r="22" spans="1:11" x14ac:dyDescent="0.35">
      <c r="A22" s="7" t="s">
        <v>31</v>
      </c>
      <c r="B22" s="15">
        <f>standardized!B24/standardized!B$18</f>
        <v>0</v>
      </c>
      <c r="C22" s="15">
        <f>standardized!C24/standardized!C$18</f>
        <v>0</v>
      </c>
      <c r="D22" s="15">
        <f>standardized!D24/standardized!D$18</f>
        <v>0</v>
      </c>
      <c r="E22" s="15">
        <f>standardized!E24/standardized!E$18</f>
        <v>0</v>
      </c>
      <c r="F22" s="15">
        <f>standardized!F24/standardized!F$18</f>
        <v>0</v>
      </c>
      <c r="G22" s="15">
        <f>standardized!G24/standardized!G$18</f>
        <v>0</v>
      </c>
      <c r="H22" s="15">
        <f>standardized!H24/standardized!H$18</f>
        <v>0</v>
      </c>
      <c r="I22" s="15">
        <f>standardized!I24/standardized!I$18</f>
        <v>0</v>
      </c>
      <c r="J22" s="15">
        <f>standardized!J24/standardized!J$18</f>
        <v>0</v>
      </c>
      <c r="K22" s="15">
        <f>standardized!K24/standardized!K$18</f>
        <v>7.7901337498091805E-2</v>
      </c>
    </row>
    <row r="23" spans="1:11" ht="13.15" x14ac:dyDescent="0.4">
      <c r="A23" s="10" t="s">
        <v>32</v>
      </c>
      <c r="B23" s="15">
        <f>standardized!B25/standardized!B$18</f>
        <v>0.41202190203279926</v>
      </c>
      <c r="C23" s="15">
        <f>standardized!C25/standardized!C$18</f>
        <v>0.44213260267716986</v>
      </c>
      <c r="D23" s="15">
        <f>standardized!D25/standardized!D$18</f>
        <v>0.41118375295590487</v>
      </c>
      <c r="E23" s="15">
        <f>standardized!E25/standardized!E$18</f>
        <v>0.4276128188358404</v>
      </c>
      <c r="F23" s="15">
        <f>standardized!F25/standardized!F$18</f>
        <v>0.42524607445361051</v>
      </c>
      <c r="G23" s="15">
        <f>standardized!G25/standardized!G$18</f>
        <v>0.42273242423134572</v>
      </c>
      <c r="H23" s="15">
        <f>standardized!H25/standardized!H$18</f>
        <v>0.41982708514966577</v>
      </c>
      <c r="I23" s="15">
        <f>standardized!I25/standardized!I$18</f>
        <v>0.43215142628632364</v>
      </c>
      <c r="J23" s="15">
        <f>standardized!J25/standardized!J$18</f>
        <v>0.42627681872281264</v>
      </c>
      <c r="K23" s="15">
        <f>standardized!K25/standardized!K$18</f>
        <v>0.5170680726640754</v>
      </c>
    </row>
    <row r="24" spans="1:11" ht="13.15" x14ac:dyDescent="0.4">
      <c r="A24" s="10" t="s">
        <v>33</v>
      </c>
      <c r="B24" s="15">
        <f>standardized!B26/standardized!B$18</f>
        <v>0.28196849228451115</v>
      </c>
      <c r="C24" s="15">
        <f>standardized!C26/standardized!C$18</f>
        <v>0.25053514855723946</v>
      </c>
      <c r="D24" s="15">
        <f>standardized!D26/standardized!D$18</f>
        <v>0.28717485046598973</v>
      </c>
      <c r="E24" s="15">
        <f>standardized!E26/standardized!E$18</f>
        <v>0.2407455853499019</v>
      </c>
      <c r="F24" s="15">
        <f>standardized!F26/standardized!F$18</f>
        <v>0.24267905517216018</v>
      </c>
      <c r="G24" s="15">
        <f>standardized!G26/standardized!G$18</f>
        <v>0.241460412629937</v>
      </c>
      <c r="H24" s="15">
        <f>standardized!H26/standardized!H$18</f>
        <v>0.23595369563111498</v>
      </c>
      <c r="I24" s="15">
        <f>standardized!I26/standardized!I$18</f>
        <v>0.24948013862969876</v>
      </c>
      <c r="J24" s="15">
        <f>standardized!J26/standardized!J$18</f>
        <v>0.24627408023761627</v>
      </c>
      <c r="K24" s="15">
        <f>standardized!K26/standardized!K$18</f>
        <v>0.17112695076269097</v>
      </c>
    </row>
    <row r="25" spans="1:11" ht="13.15" x14ac:dyDescent="0.4">
      <c r="A25" s="10" t="s">
        <v>34</v>
      </c>
      <c r="B25" s="15">
        <f>standardized!B27/standardized!B$18</f>
        <v>-6.2692550887247581E-3</v>
      </c>
      <c r="C25" s="15">
        <f>standardized!C27/standardized!C$18</f>
        <v>-6.050746353854497E-3</v>
      </c>
      <c r="D25" s="15">
        <f>standardized!D27/standardized!D$18</f>
        <v>-4.9798302962859925E-3</v>
      </c>
      <c r="E25" s="15">
        <f>standardized!E27/standardized!E$18</f>
        <v>-7.1811641595814256E-3</v>
      </c>
      <c r="F25" s="15">
        <f>standardized!F27/standardized!F$18</f>
        <v>-4.8295559014966717E-3</v>
      </c>
      <c r="G25" s="15">
        <f>standardized!G27/standardized!G$18</f>
        <v>4.7526779512302122E-4</v>
      </c>
      <c r="H25" s="15">
        <f>standardized!H27/standardized!H$18</f>
        <v>-1.089799476896251E-3</v>
      </c>
      <c r="I25" s="15">
        <f>standardized!I27/standardized!I$18</f>
        <v>-1.3862969874700081E-3</v>
      </c>
      <c r="J25" s="15">
        <f>standardized!J27/standardized!J$18</f>
        <v>2.2539839693289658E-3</v>
      </c>
      <c r="K25" s="15">
        <f>standardized!K27/standardized!K$18</f>
        <v>5.7421998849211476E-3</v>
      </c>
    </row>
    <row r="26" spans="1:11" x14ac:dyDescent="0.35">
      <c r="A26" s="7" t="s">
        <v>35</v>
      </c>
      <c r="B26" s="15">
        <f>standardized!B28/standardized!B$18</f>
        <v>9.4173359701874048E-4</v>
      </c>
      <c r="C26" s="15">
        <f>standardized!C28/standardized!C$18</f>
        <v>2.9454576590461513E-2</v>
      </c>
      <c r="D26" s="15">
        <f>standardized!D28/standardized!D$18</f>
        <v>-6.732507998330783E-3</v>
      </c>
      <c r="E26" s="15">
        <f>standardized!E28/standardized!E$18</f>
        <v>-2.393721386527142E-3</v>
      </c>
      <c r="F26" s="15">
        <f>standardized!F28/standardized!F$18</f>
        <v>-1.722214731371275E-2</v>
      </c>
      <c r="G26" s="15">
        <f>standardized!G28/standardized!G$18</f>
        <v>-3.077054314578535E-2</v>
      </c>
      <c r="H26" s="15">
        <f>standardized!H28/standardized!H$18</f>
        <v>-3.5103652039135909E-2</v>
      </c>
      <c r="I26" s="15">
        <f>standardized!I28/standardized!I$18</f>
        <v>-5.214609437483338E-3</v>
      </c>
      <c r="J26" s="15">
        <f>standardized!J28/standardized!J$18</f>
        <v>-1.9706560778572406E-2</v>
      </c>
      <c r="K26" s="15">
        <f>standardized!K28/standardized!K$18</f>
        <v>0</v>
      </c>
    </row>
    <row r="27" spans="1:11" x14ac:dyDescent="0.35">
      <c r="A27" s="7" t="s">
        <v>36</v>
      </c>
      <c r="B27" s="15">
        <f>standardized!B29/standardized!B$18</f>
        <v>-5.3275214917060179E-3</v>
      </c>
      <c r="C27" s="15">
        <f>standardized!C29/standardized!C$18</f>
        <v>2.3403830236607016E-2</v>
      </c>
      <c r="D27" s="15">
        <f>standardized!D29/standardized!D$18</f>
        <v>-1.1712338294616776E-2</v>
      </c>
      <c r="E27" s="15">
        <f>standardized!E29/standardized!E$18</f>
        <v>-9.5748855461085681E-3</v>
      </c>
      <c r="F27" s="15">
        <f>standardized!F29/standardized!F$18</f>
        <v>-2.2051703215209422E-2</v>
      </c>
      <c r="G27" s="15">
        <f>standardized!G29/standardized!G$18</f>
        <v>-3.0295275350662329E-2</v>
      </c>
      <c r="H27" s="15">
        <f>standardized!H29/standardized!H$18</f>
        <v>-3.6193451516032163E-2</v>
      </c>
      <c r="I27" s="15">
        <f>standardized!I29/standardized!I$18</f>
        <v>-6.6009064249533461E-3</v>
      </c>
      <c r="J27" s="15">
        <f>standardized!J29/standardized!J$18</f>
        <v>-1.7452576809243441E-2</v>
      </c>
      <c r="K27" s="15">
        <f>standardized!K29/standardized!K$18</f>
        <v>5.7421998849211476E-3</v>
      </c>
    </row>
    <row r="28" spans="1:11" ht="13.15" x14ac:dyDescent="0.4">
      <c r="A28" s="10" t="s">
        <v>37</v>
      </c>
      <c r="B28" s="15">
        <f>standardized!B30/standardized!B$18</f>
        <v>0.27664097079280514</v>
      </c>
      <c r="C28" s="15">
        <f>standardized!C30/standardized!C$18</f>
        <v>0.27393897879384649</v>
      </c>
      <c r="D28" s="15">
        <f>standardized!D30/standardized!D$18</f>
        <v>0.27546251217137291</v>
      </c>
      <c r="E28" s="15">
        <f>standardized!E30/standardized!E$18</f>
        <v>0.23117069980379332</v>
      </c>
      <c r="F28" s="15">
        <f>standardized!F30/standardized!F$18</f>
        <v>0.22062735195695077</v>
      </c>
      <c r="G28" s="15">
        <f>standardized!G30/standardized!G$18</f>
        <v>0.21116513727927466</v>
      </c>
      <c r="H28" s="15">
        <f>standardized!H30/standardized!H$18</f>
        <v>0.19976024411508284</v>
      </c>
      <c r="I28" s="15">
        <f>standardized!I30/standardized!I$18</f>
        <v>0.24287923220474539</v>
      </c>
      <c r="J28" s="15">
        <f>standardized!J30/standardized!J$18</f>
        <v>0.22882150342837282</v>
      </c>
      <c r="K28" s="15">
        <f>standardized!K30/standardized!K$18</f>
        <v>0.17686915064761211</v>
      </c>
    </row>
    <row r="29" spans="1:11" x14ac:dyDescent="0.35">
      <c r="A29" s="7" t="s">
        <v>38</v>
      </c>
      <c r="B29" s="15">
        <f>standardized!B31/standardized!B$18</f>
        <v>5.704214930513514E-2</v>
      </c>
      <c r="C29" s="15">
        <f>standardized!C31/standardized!C$18</f>
        <v>5.4042868967091928E-2</v>
      </c>
      <c r="D29" s="15">
        <f>standardized!D31/standardized!D$18</f>
        <v>4.538878842676311E-2</v>
      </c>
      <c r="E29" s="15">
        <f>standardized!E31/standardized!E$18</f>
        <v>0.21416612164813603</v>
      </c>
      <c r="F29" s="15">
        <f>standardized!F31/standardized!F$18</f>
        <v>3.3120456969147227E-2</v>
      </c>
      <c r="G29" s="15">
        <f>standardized!G31/standardized!G$18</f>
        <v>2.6919655369916768E-2</v>
      </c>
      <c r="H29" s="15">
        <f>standardized!H31/standardized!H$18</f>
        <v>2.1590138525622398E-2</v>
      </c>
      <c r="I29" s="15">
        <f>standardized!I31/standardized!I$18</f>
        <v>2.0239936017062116E-2</v>
      </c>
      <c r="J29" s="15">
        <f>standardized!J31/standardized!J$18</f>
        <v>3.985549224271405E-2</v>
      </c>
      <c r="K29" s="15">
        <f>standardized!K31/standardized!K$18</f>
        <v>2.0385396728472623E-2</v>
      </c>
    </row>
    <row r="30" spans="1:11" x14ac:dyDescent="0.35">
      <c r="A30" s="7" t="s">
        <v>39</v>
      </c>
      <c r="B30" s="15" t="e">
        <f>standardized!B32/standardized!B$18</f>
        <v>#VALUE!</v>
      </c>
      <c r="C30" s="15" t="e">
        <f>standardized!C32/standardized!C$18</f>
        <v>#VALUE!</v>
      </c>
      <c r="D30" s="15" t="e">
        <f>standardized!D32/standardized!D$18</f>
        <v>#VALUE!</v>
      </c>
      <c r="E30" s="15" t="e">
        <f>standardized!E32/standardized!E$18</f>
        <v>#VALUE!</v>
      </c>
      <c r="F30" s="15" t="e">
        <f>standardized!F32/standardized!F$18</f>
        <v>#VALUE!</v>
      </c>
      <c r="G30" s="15" t="e">
        <f>standardized!G32/standardized!G$18</f>
        <v>#VALUE!</v>
      </c>
      <c r="H30" s="15" t="e">
        <f>standardized!H32/standardized!H$18</f>
        <v>#VALUE!</v>
      </c>
      <c r="I30" s="15" t="e">
        <f>standardized!I32/standardized!I$18</f>
        <v>#VALUE!</v>
      </c>
      <c r="J30" s="15" t="e">
        <f>standardized!J32/standardized!J$18</f>
        <v>#VALUE!</v>
      </c>
      <c r="K30" s="15">
        <f>standardized!K32/standardized!K$18</f>
        <v>0.25630878709238014</v>
      </c>
    </row>
    <row r="31" spans="1:11" x14ac:dyDescent="0.35">
      <c r="A31" s="7" t="s">
        <v>40</v>
      </c>
      <c r="B31" s="15">
        <f>standardized!B33/standardized!B$18</f>
        <v>0</v>
      </c>
      <c r="C31" s="15">
        <f>standardized!C33/standardized!C$18</f>
        <v>0</v>
      </c>
      <c r="D31" s="15">
        <f>standardized!D33/standardized!D$18</f>
        <v>0</v>
      </c>
      <c r="E31" s="15">
        <f>standardized!E33/standardized!E$18</f>
        <v>0</v>
      </c>
      <c r="F31" s="15">
        <f>standardized!F33/standardized!F$18</f>
        <v>0</v>
      </c>
      <c r="G31" s="15">
        <f>standardized!G33/standardized!G$18</f>
        <v>0</v>
      </c>
      <c r="H31" s="15">
        <f>standardized!H33/standardized!H$18</f>
        <v>0</v>
      </c>
      <c r="I31" s="15">
        <f>standardized!I33/standardized!I$18</f>
        <v>0</v>
      </c>
      <c r="J31" s="15">
        <f>standardized!J33/standardized!J$18</f>
        <v>0</v>
      </c>
      <c r="K31" s="15">
        <f>standardized!K33/standardized!K$18</f>
        <v>0</v>
      </c>
    </row>
    <row r="32" spans="1:11" x14ac:dyDescent="0.35">
      <c r="A32" s="7" t="s">
        <v>41</v>
      </c>
      <c r="B32" s="15">
        <f>standardized!B34/standardized!B$18</f>
        <v>0</v>
      </c>
      <c r="C32" s="15">
        <f>standardized!C34/standardized!C$18</f>
        <v>0</v>
      </c>
      <c r="D32" s="15">
        <f>standardized!D34/standardized!D$18</f>
        <v>0</v>
      </c>
      <c r="E32" s="15">
        <f>standardized!E34/standardized!E$18</f>
        <v>0</v>
      </c>
      <c r="F32" s="15">
        <f>standardized!F34/standardized!F$18</f>
        <v>0</v>
      </c>
      <c r="G32" s="15">
        <f>standardized!G34/standardized!G$18</f>
        <v>0</v>
      </c>
      <c r="H32" s="15">
        <f>standardized!H34/standardized!H$18</f>
        <v>0</v>
      </c>
      <c r="I32" s="15">
        <f>standardized!I34/standardized!I$18</f>
        <v>0</v>
      </c>
      <c r="J32" s="15">
        <f>standardized!J34/standardized!J$18</f>
        <v>0</v>
      </c>
      <c r="K32" s="15">
        <f>standardized!K34/standardized!K$18</f>
        <v>0</v>
      </c>
    </row>
    <row r="33" spans="1:11" ht="13.15" x14ac:dyDescent="0.4">
      <c r="A33" s="10" t="s">
        <v>42</v>
      </c>
      <c r="B33" s="15">
        <f>standardized!B35/standardized!B$18</f>
        <v>0.21959882148767002</v>
      </c>
      <c r="C33" s="15">
        <f>standardized!C35/standardized!C$18</f>
        <v>0.21989610982675456</v>
      </c>
      <c r="D33" s="15">
        <f>standardized!D35/standardized!D$18</f>
        <v>0.23007372374460983</v>
      </c>
      <c r="E33" s="15">
        <f>standardized!E35/standardized!E$18</f>
        <v>1.7004578155657292E-2</v>
      </c>
      <c r="F33" s="15">
        <f>standardized!F35/standardized!F$18</f>
        <v>0.18750689498780354</v>
      </c>
      <c r="G33" s="15">
        <f>standardized!G35/standardized!G$18</f>
        <v>0.18424548190935791</v>
      </c>
      <c r="H33" s="15">
        <f>standardized!H35/standardized!H$18</f>
        <v>0.17817010558946042</v>
      </c>
      <c r="I33" s="15">
        <f>standardized!I35/standardized!I$18</f>
        <v>0.22263929618768327</v>
      </c>
      <c r="J33" s="15">
        <f>standardized!J35/standardized!J$18</f>
        <v>0.18896601118565876</v>
      </c>
      <c r="K33" s="15">
        <f>standardized!K35/standardized!K$18</f>
        <v>0.41279254101151963</v>
      </c>
    </row>
    <row r="34" spans="1:11" x14ac:dyDescent="0.35">
      <c r="A34" s="7" t="s">
        <v>43</v>
      </c>
    </row>
    <row r="35" spans="1:11" x14ac:dyDescent="0.35">
      <c r="A35" s="7" t="s">
        <v>44</v>
      </c>
    </row>
    <row r="36" spans="1:11" x14ac:dyDescent="0.35">
      <c r="A36" s="7" t="s">
        <v>45</v>
      </c>
    </row>
    <row r="37" spans="1:11" x14ac:dyDescent="0.35">
      <c r="A37" s="7" t="s">
        <v>46</v>
      </c>
    </row>
    <row r="38" spans="1:11" x14ac:dyDescent="0.35">
      <c r="A38" s="7" t="s">
        <v>47</v>
      </c>
    </row>
    <row r="39" spans="1:11" x14ac:dyDescent="0.35">
      <c r="A39" s="7" t="s">
        <v>48</v>
      </c>
    </row>
    <row r="40" spans="1:11" x14ac:dyDescent="0.35">
      <c r="A40" s="7" t="s">
        <v>49</v>
      </c>
    </row>
    <row r="41" spans="1:11" x14ac:dyDescent="0.35">
      <c r="A41" s="7" t="s">
        <v>50</v>
      </c>
    </row>
    <row r="42" spans="1:11" x14ac:dyDescent="0.35">
      <c r="A42" s="7" t="s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58EE-C731-4EBF-870D-45945EC09404}">
  <dimension ref="A1:K47"/>
  <sheetViews>
    <sheetView topLeftCell="A9" workbookViewId="0">
      <selection activeCell="B27" sqref="B27"/>
    </sheetView>
  </sheetViews>
  <sheetFormatPr defaultRowHeight="12.75" x14ac:dyDescent="0.35"/>
  <cols>
    <col min="1" max="1" width="19.9296875" customWidth="1"/>
    <col min="2" max="2" width="22.9296875" customWidth="1"/>
    <col min="3" max="3" width="19.53125" customWidth="1"/>
    <col min="4" max="4" width="15.46484375" customWidth="1"/>
    <col min="5" max="5" width="16.33203125" customWidth="1"/>
    <col min="6" max="6" width="14.6640625" customWidth="1"/>
    <col min="7" max="7" width="14.59765625" customWidth="1"/>
    <col min="8" max="8" width="12.59765625" customWidth="1"/>
    <col min="9" max="9" width="12" customWidth="1"/>
    <col min="10" max="10" width="12.265625" customWidth="1"/>
    <col min="11" max="11" width="14.46484375" customWidth="1"/>
  </cols>
  <sheetData>
    <row r="1" spans="1:11" ht="20.65" x14ac:dyDescent="0.6">
      <c r="A1" s="2" t="s">
        <v>1</v>
      </c>
    </row>
    <row r="3" spans="1:11" ht="38.25" x14ac:dyDescent="0.35">
      <c r="A3" s="3" t="s">
        <v>2</v>
      </c>
    </row>
    <row r="6" spans="1:11" ht="26.25" x14ac:dyDescent="0.35">
      <c r="A6" s="4" t="s">
        <v>55</v>
      </c>
    </row>
    <row r="7" spans="1:11" ht="13.15" x14ac:dyDescent="0.35">
      <c r="A7" s="5" t="s">
        <v>4</v>
      </c>
      <c r="B7" s="6" t="s">
        <v>14</v>
      </c>
      <c r="C7" s="6" t="s">
        <v>13</v>
      </c>
      <c r="D7" s="6" t="s">
        <v>12</v>
      </c>
      <c r="E7" s="6" t="s">
        <v>11</v>
      </c>
      <c r="F7" s="6" t="s">
        <v>10</v>
      </c>
      <c r="G7" s="6" t="s">
        <v>9</v>
      </c>
      <c r="H7" s="6" t="s">
        <v>8</v>
      </c>
      <c r="I7" s="6" t="s">
        <v>7</v>
      </c>
      <c r="J7" s="6" t="s">
        <v>6</v>
      </c>
      <c r="K7" s="6" t="s">
        <v>5</v>
      </c>
    </row>
    <row r="8" spans="1:11" ht="13.15" x14ac:dyDescent="0.35">
      <c r="A8" s="5" t="s">
        <v>15</v>
      </c>
      <c r="B8" s="6" t="s">
        <v>16</v>
      </c>
      <c r="C8" s="6" t="s">
        <v>16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</row>
    <row r="9" spans="1:11" ht="26.25" x14ac:dyDescent="0.35">
      <c r="A9" s="5" t="s">
        <v>17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  <c r="I9" s="6" t="s">
        <v>18</v>
      </c>
      <c r="J9" s="6" t="s">
        <v>18</v>
      </c>
      <c r="K9" s="6" t="s">
        <v>18</v>
      </c>
    </row>
    <row r="10" spans="1:11" ht="13.15" x14ac:dyDescent="0.35">
      <c r="A10" s="5" t="s">
        <v>19</v>
      </c>
      <c r="B10" s="6" t="s">
        <v>20</v>
      </c>
      <c r="C10" s="6" t="s">
        <v>20</v>
      </c>
      <c r="D10" s="6" t="s">
        <v>20</v>
      </c>
      <c r="E10" s="6" t="s">
        <v>20</v>
      </c>
      <c r="F10" s="6" t="s">
        <v>20</v>
      </c>
      <c r="G10" s="6" t="s">
        <v>20</v>
      </c>
      <c r="H10" s="6" t="s">
        <v>20</v>
      </c>
      <c r="I10" s="6" t="s">
        <v>20</v>
      </c>
      <c r="J10" s="6" t="s">
        <v>20</v>
      </c>
      <c r="K10" s="6" t="s">
        <v>20</v>
      </c>
    </row>
    <row r="11" spans="1:11" ht="13.15" x14ac:dyDescent="0.35">
      <c r="A11" s="5" t="s">
        <v>21</v>
      </c>
      <c r="B11" s="6" t="s">
        <v>22</v>
      </c>
      <c r="C11" s="6" t="s">
        <v>22</v>
      </c>
      <c r="D11" s="6" t="s">
        <v>22</v>
      </c>
      <c r="E11" s="6" t="s">
        <v>22</v>
      </c>
      <c r="F11" s="6" t="s">
        <v>22</v>
      </c>
      <c r="G11" s="6" t="s">
        <v>22</v>
      </c>
      <c r="H11" s="6" t="s">
        <v>22</v>
      </c>
      <c r="I11" s="6" t="s">
        <v>22</v>
      </c>
      <c r="J11" s="6" t="s">
        <v>22</v>
      </c>
      <c r="K11" s="6" t="s">
        <v>22</v>
      </c>
    </row>
    <row r="12" spans="1:11" x14ac:dyDescent="0.35">
      <c r="A12" s="7" t="s">
        <v>56</v>
      </c>
      <c r="B12" s="8">
        <v>14523</v>
      </c>
      <c r="C12" s="8">
        <v>13732</v>
      </c>
      <c r="D12" s="8">
        <v>18972</v>
      </c>
      <c r="E12" s="8">
        <v>17824</v>
      </c>
      <c r="F12" s="8">
        <v>18107</v>
      </c>
      <c r="G12" s="8">
        <v>17305</v>
      </c>
      <c r="H12" s="8">
        <v>13985</v>
      </c>
      <c r="I12" s="8">
        <v>14487</v>
      </c>
      <c r="J12" s="8">
        <v>14127</v>
      </c>
      <c r="K12" s="8">
        <v>21859</v>
      </c>
    </row>
    <row r="13" spans="1:11" x14ac:dyDescent="0.35">
      <c r="A13" s="7" t="s">
        <v>57</v>
      </c>
      <c r="B13" s="8">
        <v>18566</v>
      </c>
      <c r="C13" s="8">
        <v>24644</v>
      </c>
      <c r="D13" s="8">
        <v>22935</v>
      </c>
      <c r="E13" s="8">
        <v>472</v>
      </c>
      <c r="F13" s="8">
        <v>1580</v>
      </c>
      <c r="G13" s="8">
        <v>1982</v>
      </c>
      <c r="H13" s="8">
        <v>11200</v>
      </c>
      <c r="I13" s="8">
        <v>17121</v>
      </c>
      <c r="J13" s="8">
        <v>9392</v>
      </c>
      <c r="K13" s="8">
        <v>1068</v>
      </c>
    </row>
    <row r="14" spans="1:11" x14ac:dyDescent="0.35">
      <c r="A14" s="7" t="s">
        <v>58</v>
      </c>
      <c r="B14" s="8">
        <v>33089</v>
      </c>
      <c r="C14" s="8">
        <v>38376</v>
      </c>
      <c r="D14" s="8">
        <v>41907</v>
      </c>
      <c r="E14" s="8">
        <v>18296</v>
      </c>
      <c r="F14" s="8">
        <v>19687</v>
      </c>
      <c r="G14" s="8">
        <v>19287</v>
      </c>
      <c r="H14" s="8">
        <v>25185</v>
      </c>
      <c r="I14" s="8">
        <v>31608</v>
      </c>
      <c r="J14" s="8">
        <v>23519</v>
      </c>
      <c r="K14" s="8">
        <v>22927</v>
      </c>
    </row>
    <row r="15" spans="1:11" x14ac:dyDescent="0.35">
      <c r="A15" s="7" t="s">
        <v>59</v>
      </c>
      <c r="B15" s="8">
        <v>10985</v>
      </c>
      <c r="C15" s="8">
        <v>10734</v>
      </c>
      <c r="D15" s="8">
        <v>11699</v>
      </c>
      <c r="E15" s="8">
        <v>13490</v>
      </c>
      <c r="F15" s="8">
        <v>14098</v>
      </c>
      <c r="G15" s="8">
        <v>14481</v>
      </c>
      <c r="H15" s="8">
        <v>13576</v>
      </c>
      <c r="I15" s="8">
        <v>15283</v>
      </c>
      <c r="J15" s="8">
        <v>16160</v>
      </c>
      <c r="K15" s="8">
        <v>14873</v>
      </c>
    </row>
    <row r="16" spans="1:11" x14ac:dyDescent="0.35">
      <c r="A16" s="7" t="s">
        <v>60</v>
      </c>
      <c r="B16" s="8">
        <v>8184</v>
      </c>
      <c r="C16" s="8">
        <v>8053</v>
      </c>
      <c r="D16" s="8">
        <v>8144</v>
      </c>
      <c r="E16" s="8">
        <v>8765</v>
      </c>
      <c r="F16" s="8">
        <v>8599</v>
      </c>
      <c r="G16" s="8">
        <v>9020</v>
      </c>
      <c r="H16" s="8">
        <v>9344</v>
      </c>
      <c r="I16" s="8">
        <v>10387</v>
      </c>
      <c r="J16" s="8">
        <v>12483</v>
      </c>
      <c r="K16" s="8">
        <v>11181</v>
      </c>
    </row>
    <row r="17" spans="1:11" x14ac:dyDescent="0.35">
      <c r="A17" s="7" t="s">
        <v>61</v>
      </c>
      <c r="B17" s="8">
        <v>3567</v>
      </c>
      <c r="C17" s="9" t="s">
        <v>30</v>
      </c>
      <c r="D17" s="9" t="s">
        <v>30</v>
      </c>
      <c r="E17" s="9" t="s">
        <v>30</v>
      </c>
      <c r="F17" s="9" t="s">
        <v>30</v>
      </c>
      <c r="G17" s="9" t="s">
        <v>30</v>
      </c>
      <c r="H17" s="9" t="s">
        <v>30</v>
      </c>
      <c r="I17" s="9" t="s">
        <v>30</v>
      </c>
      <c r="J17" s="9" t="s">
        <v>30</v>
      </c>
      <c r="K17" s="9" t="s">
        <v>30</v>
      </c>
    </row>
    <row r="18" spans="1:11" x14ac:dyDescent="0.35">
      <c r="A18" s="7" t="s">
        <v>62</v>
      </c>
      <c r="B18" s="9" t="s">
        <v>30</v>
      </c>
      <c r="C18" s="9" t="s">
        <v>30</v>
      </c>
      <c r="D18" s="9" t="s">
        <v>30</v>
      </c>
      <c r="E18" s="9" t="s">
        <v>30</v>
      </c>
      <c r="F18" s="8">
        <v>950</v>
      </c>
      <c r="G18" s="8">
        <v>94</v>
      </c>
      <c r="H18" s="9" t="s">
        <v>30</v>
      </c>
      <c r="I18" s="9" t="s">
        <v>30</v>
      </c>
      <c r="J18" s="9" t="s">
        <v>30</v>
      </c>
      <c r="K18" s="9" t="s">
        <v>30</v>
      </c>
    </row>
    <row r="19" spans="1:11" x14ac:dyDescent="0.35">
      <c r="A19" s="7" t="s">
        <v>63</v>
      </c>
      <c r="B19" s="8">
        <v>3486</v>
      </c>
      <c r="C19" s="8">
        <v>3047</v>
      </c>
      <c r="D19" s="8">
        <v>3282</v>
      </c>
      <c r="E19" s="8">
        <v>2537</v>
      </c>
      <c r="F19" s="8">
        <v>2699</v>
      </c>
      <c r="G19" s="8">
        <v>2392</v>
      </c>
      <c r="H19" s="8">
        <v>3132</v>
      </c>
      <c r="I19" s="8">
        <v>3701</v>
      </c>
      <c r="J19" s="8">
        <v>3132</v>
      </c>
      <c r="K19" s="8">
        <v>4514</v>
      </c>
    </row>
    <row r="20" spans="1:11" x14ac:dyDescent="0.35">
      <c r="A20" s="7" t="s">
        <v>64</v>
      </c>
      <c r="B20" s="8">
        <v>59311</v>
      </c>
      <c r="C20" s="8">
        <v>60210</v>
      </c>
      <c r="D20" s="8">
        <v>65032</v>
      </c>
      <c r="E20" s="8">
        <v>43088</v>
      </c>
      <c r="F20" s="8">
        <v>46033</v>
      </c>
      <c r="G20" s="8">
        <v>45274</v>
      </c>
      <c r="H20" s="8">
        <v>51237</v>
      </c>
      <c r="I20" s="8">
        <v>60979</v>
      </c>
      <c r="J20" s="8">
        <v>55294</v>
      </c>
      <c r="K20" s="8">
        <v>53495</v>
      </c>
    </row>
    <row r="21" spans="1:11" x14ac:dyDescent="0.35">
      <c r="A21" s="7" t="s">
        <v>65</v>
      </c>
      <c r="B21" s="8">
        <v>36685</v>
      </c>
      <c r="C21" s="8">
        <v>36648</v>
      </c>
      <c r="D21" s="8">
        <v>37773</v>
      </c>
      <c r="E21" s="8">
        <v>41466</v>
      </c>
      <c r="F21" s="8">
        <v>41851</v>
      </c>
      <c r="G21" s="8">
        <v>43332</v>
      </c>
      <c r="H21" s="8">
        <v>46804</v>
      </c>
      <c r="I21" s="8">
        <v>47679</v>
      </c>
      <c r="J21" s="8">
        <v>49253</v>
      </c>
      <c r="K21" s="8">
        <v>47776</v>
      </c>
    </row>
    <row r="22" spans="1:11" x14ac:dyDescent="0.35">
      <c r="A22" s="7" t="s">
        <v>66</v>
      </c>
      <c r="B22" s="8">
        <v>20559</v>
      </c>
      <c r="C22" s="8">
        <v>20743</v>
      </c>
      <c r="D22" s="8">
        <v>21861</v>
      </c>
      <c r="E22" s="8">
        <v>24461</v>
      </c>
      <c r="F22" s="8">
        <v>24816</v>
      </c>
      <c r="G22" s="8">
        <v>25674</v>
      </c>
      <c r="H22" s="8">
        <v>28038</v>
      </c>
      <c r="I22" s="8">
        <v>28717</v>
      </c>
      <c r="J22" s="8">
        <v>29450</v>
      </c>
      <c r="K22" s="8">
        <v>27878</v>
      </c>
    </row>
    <row r="23" spans="1:11" x14ac:dyDescent="0.35">
      <c r="A23" s="7" t="s">
        <v>67</v>
      </c>
      <c r="B23" s="8">
        <v>16126</v>
      </c>
      <c r="C23" s="8">
        <v>15905</v>
      </c>
      <c r="D23" s="8">
        <v>15912</v>
      </c>
      <c r="E23" s="8">
        <v>17005</v>
      </c>
      <c r="F23" s="8">
        <v>17035</v>
      </c>
      <c r="G23" s="8">
        <v>17658</v>
      </c>
      <c r="H23" s="8">
        <v>18766</v>
      </c>
      <c r="I23" s="8">
        <v>18962</v>
      </c>
      <c r="J23" s="8">
        <v>19803</v>
      </c>
      <c r="K23" s="8">
        <v>19898</v>
      </c>
    </row>
    <row r="24" spans="1:11" x14ac:dyDescent="0.35">
      <c r="A24" s="7" t="s">
        <v>68</v>
      </c>
      <c r="B24" s="8">
        <v>49054</v>
      </c>
      <c r="C24" s="8">
        <v>47393</v>
      </c>
      <c r="D24" s="8">
        <v>49681</v>
      </c>
      <c r="E24" s="8">
        <v>85134</v>
      </c>
      <c r="F24" s="8">
        <v>78064</v>
      </c>
      <c r="G24" s="8">
        <v>81282</v>
      </c>
      <c r="H24" s="8">
        <v>89795</v>
      </c>
      <c r="I24" s="8">
        <v>81638</v>
      </c>
      <c r="J24" s="8">
        <v>93556</v>
      </c>
      <c r="K24" s="8">
        <v>70733</v>
      </c>
    </row>
    <row r="25" spans="1:11" x14ac:dyDescent="0.35">
      <c r="A25" s="7" t="s">
        <v>69</v>
      </c>
      <c r="B25" s="8">
        <v>3396</v>
      </c>
      <c r="C25" s="8">
        <v>5490</v>
      </c>
      <c r="D25" s="8">
        <v>6148</v>
      </c>
      <c r="E25" s="8">
        <v>7105</v>
      </c>
      <c r="F25" s="8">
        <v>7640</v>
      </c>
      <c r="G25" s="8">
        <v>7819</v>
      </c>
      <c r="H25" s="8">
        <v>8534</v>
      </c>
      <c r="I25" s="8">
        <v>10223</v>
      </c>
      <c r="J25" s="8">
        <v>9123</v>
      </c>
      <c r="K25" s="8">
        <v>9279</v>
      </c>
    </row>
    <row r="26" spans="1:11" x14ac:dyDescent="0.35">
      <c r="A26" s="7" t="s">
        <v>70</v>
      </c>
      <c r="B26" s="8">
        <v>3232</v>
      </c>
      <c r="C26" s="8">
        <v>4413</v>
      </c>
      <c r="D26" s="8">
        <v>4435</v>
      </c>
      <c r="E26" s="8">
        <v>4971</v>
      </c>
      <c r="F26" s="8">
        <v>4182</v>
      </c>
      <c r="G26" s="8">
        <v>5695</v>
      </c>
      <c r="H26" s="8">
        <v>6562</v>
      </c>
      <c r="I26" s="8">
        <v>10216</v>
      </c>
      <c r="J26" s="8">
        <v>9602</v>
      </c>
      <c r="K26" s="8">
        <v>14153</v>
      </c>
    </row>
    <row r="27" spans="1:11" x14ac:dyDescent="0.35">
      <c r="A27" s="7" t="s">
        <v>71</v>
      </c>
      <c r="B27" s="8">
        <v>131119</v>
      </c>
      <c r="C27" s="8">
        <v>133411</v>
      </c>
      <c r="D27" s="8">
        <v>141208</v>
      </c>
      <c r="E27" s="8">
        <v>157303</v>
      </c>
      <c r="F27" s="8">
        <v>152954</v>
      </c>
      <c r="G27" s="8">
        <v>157728</v>
      </c>
      <c r="H27" s="8">
        <v>174894</v>
      </c>
      <c r="I27" s="8">
        <v>182018</v>
      </c>
      <c r="J27" s="8">
        <v>187378</v>
      </c>
      <c r="K27" s="8">
        <v>167558</v>
      </c>
    </row>
    <row r="28" spans="1:11" x14ac:dyDescent="0.35">
      <c r="A28" s="7" t="s">
        <v>72</v>
      </c>
      <c r="B28" s="8">
        <v>21447</v>
      </c>
      <c r="C28" s="8">
        <v>20743</v>
      </c>
      <c r="D28" s="8">
        <v>21603</v>
      </c>
      <c r="E28" s="8">
        <v>26631</v>
      </c>
      <c r="F28" s="8">
        <v>28434</v>
      </c>
      <c r="G28" s="8">
        <v>34762</v>
      </c>
      <c r="H28" s="8">
        <v>39862</v>
      </c>
      <c r="I28" s="8">
        <v>41460</v>
      </c>
      <c r="J28" s="8">
        <v>43031</v>
      </c>
      <c r="K28" s="8">
        <v>42831</v>
      </c>
    </row>
    <row r="29" spans="1:11" x14ac:dyDescent="0.35">
      <c r="A29" s="7" t="s">
        <v>73</v>
      </c>
      <c r="B29" s="8">
        <v>7633</v>
      </c>
      <c r="C29" s="8">
        <v>6668</v>
      </c>
      <c r="D29" s="8">
        <v>6918</v>
      </c>
      <c r="E29" s="8">
        <v>7310</v>
      </c>
      <c r="F29" s="8">
        <v>7537</v>
      </c>
      <c r="G29" s="8">
        <v>8544</v>
      </c>
      <c r="H29" s="8">
        <v>9505</v>
      </c>
      <c r="I29" s="8">
        <v>11055</v>
      </c>
      <c r="J29" s="8">
        <v>11703</v>
      </c>
      <c r="K29" s="8">
        <v>9632</v>
      </c>
    </row>
    <row r="30" spans="1:11" x14ac:dyDescent="0.35">
      <c r="A30" s="7" t="s">
        <v>74</v>
      </c>
      <c r="B30" s="8">
        <v>13814</v>
      </c>
      <c r="C30" s="8">
        <v>14075</v>
      </c>
      <c r="D30" s="8">
        <v>14685</v>
      </c>
      <c r="E30" s="8">
        <v>19321</v>
      </c>
      <c r="F30" s="8">
        <v>20897</v>
      </c>
      <c r="G30" s="8">
        <v>26218</v>
      </c>
      <c r="H30" s="8">
        <v>30357</v>
      </c>
      <c r="I30" s="8">
        <v>30405</v>
      </c>
      <c r="J30" s="8">
        <v>31328</v>
      </c>
      <c r="K30" s="8">
        <v>33199</v>
      </c>
    </row>
    <row r="31" spans="1:11" x14ac:dyDescent="0.35">
      <c r="A31" s="7" t="s">
        <v>75</v>
      </c>
      <c r="B31" s="8">
        <v>3638</v>
      </c>
      <c r="C31" s="8">
        <v>7004</v>
      </c>
      <c r="D31" s="8">
        <v>4684</v>
      </c>
      <c r="E31" s="8">
        <v>3906</v>
      </c>
      <c r="F31" s="8">
        <v>2796</v>
      </c>
      <c r="G31" s="8">
        <v>1202</v>
      </c>
      <c r="H31" s="8">
        <v>2631</v>
      </c>
      <c r="I31" s="8">
        <v>3766</v>
      </c>
      <c r="J31" s="8">
        <v>12771</v>
      </c>
      <c r="K31" s="8">
        <v>3451</v>
      </c>
    </row>
    <row r="32" spans="1:11" x14ac:dyDescent="0.35">
      <c r="A32" s="7" t="s">
        <v>76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</row>
    <row r="33" spans="1:11" x14ac:dyDescent="0.35">
      <c r="A33" s="7" t="s">
        <v>77</v>
      </c>
      <c r="B33" s="8">
        <v>25085</v>
      </c>
      <c r="C33" s="8">
        <v>27747</v>
      </c>
      <c r="D33" s="8">
        <v>26287</v>
      </c>
      <c r="E33" s="8">
        <v>30537</v>
      </c>
      <c r="F33" s="8">
        <v>31230</v>
      </c>
      <c r="G33" s="8">
        <v>35964</v>
      </c>
      <c r="H33" s="8">
        <v>42493</v>
      </c>
      <c r="I33" s="8">
        <v>45226</v>
      </c>
      <c r="J33" s="8">
        <v>55802</v>
      </c>
      <c r="K33" s="8">
        <v>46282</v>
      </c>
    </row>
    <row r="34" spans="1:11" x14ac:dyDescent="0.35">
      <c r="A34" s="7" t="s">
        <v>78</v>
      </c>
      <c r="B34" s="8">
        <v>15122</v>
      </c>
      <c r="C34" s="8">
        <v>12857</v>
      </c>
      <c r="D34" s="8">
        <v>22442</v>
      </c>
      <c r="E34" s="8">
        <v>30675</v>
      </c>
      <c r="F34" s="8">
        <v>27684</v>
      </c>
      <c r="G34" s="8">
        <v>26494</v>
      </c>
      <c r="H34" s="8">
        <v>32635</v>
      </c>
      <c r="I34" s="8">
        <v>29985</v>
      </c>
      <c r="J34" s="8">
        <v>26888</v>
      </c>
      <c r="K34" s="8">
        <v>25881</v>
      </c>
    </row>
    <row r="35" spans="1:11" x14ac:dyDescent="0.35">
      <c r="A35" s="7" t="s">
        <v>79</v>
      </c>
      <c r="B35" s="8">
        <v>7708</v>
      </c>
      <c r="C35" s="8">
        <v>6595</v>
      </c>
      <c r="D35" s="8">
        <v>7443</v>
      </c>
      <c r="E35" s="8">
        <v>7674</v>
      </c>
      <c r="F35" s="8">
        <v>7610</v>
      </c>
      <c r="G35" s="8">
        <v>7835</v>
      </c>
      <c r="H35" s="8">
        <v>7990</v>
      </c>
      <c r="I35" s="8">
        <v>6157</v>
      </c>
      <c r="J35" s="8">
        <v>4432</v>
      </c>
      <c r="K35" s="8">
        <v>7149</v>
      </c>
    </row>
    <row r="36" spans="1:11" x14ac:dyDescent="0.35">
      <c r="A36" s="7" t="s">
        <v>80</v>
      </c>
      <c r="B36" s="8">
        <v>3154</v>
      </c>
      <c r="C36" s="8">
        <v>2562</v>
      </c>
      <c r="D36" s="8">
        <v>2910</v>
      </c>
      <c r="E36" s="8">
        <v>8368</v>
      </c>
      <c r="F36" s="8">
        <v>7506</v>
      </c>
      <c r="G36" s="8">
        <v>5958</v>
      </c>
      <c r="H36" s="8">
        <v>7214</v>
      </c>
      <c r="I36" s="8">
        <v>7487</v>
      </c>
      <c r="J36" s="8">
        <v>6374</v>
      </c>
      <c r="K36" s="8">
        <v>3193</v>
      </c>
    </row>
    <row r="37" spans="1:11" x14ac:dyDescent="0.35">
      <c r="A37" s="7" t="s">
        <v>81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</row>
    <row r="38" spans="1:11" x14ac:dyDescent="0.35">
      <c r="A38" s="7" t="s">
        <v>82</v>
      </c>
      <c r="B38" s="8">
        <v>10298</v>
      </c>
      <c r="C38" s="8">
        <v>12500</v>
      </c>
      <c r="D38" s="8">
        <v>11708</v>
      </c>
      <c r="E38" s="8">
        <v>19889</v>
      </c>
      <c r="F38" s="8">
        <v>19172</v>
      </c>
      <c r="G38" s="8">
        <v>22006</v>
      </c>
      <c r="H38" s="8">
        <v>21284</v>
      </c>
      <c r="I38" s="8">
        <v>19140</v>
      </c>
      <c r="J38" s="8">
        <v>17078</v>
      </c>
      <c r="K38" s="8">
        <v>16279</v>
      </c>
    </row>
    <row r="39" spans="1:11" x14ac:dyDescent="0.35">
      <c r="A39" s="7" t="s">
        <v>83</v>
      </c>
      <c r="B39" s="8">
        <v>61367</v>
      </c>
      <c r="C39" s="8">
        <v>62261</v>
      </c>
      <c r="D39" s="8">
        <v>70790</v>
      </c>
      <c r="E39" s="8">
        <v>97143</v>
      </c>
      <c r="F39" s="8">
        <v>93202</v>
      </c>
      <c r="G39" s="8">
        <v>98257</v>
      </c>
      <c r="H39" s="8">
        <v>111616</v>
      </c>
      <c r="I39" s="8">
        <v>107995</v>
      </c>
      <c r="J39" s="8">
        <v>110574</v>
      </c>
      <c r="K39" s="8">
        <v>98784</v>
      </c>
    </row>
    <row r="40" spans="1:11" x14ac:dyDescent="0.35">
      <c r="A40" s="7" t="s">
        <v>84</v>
      </c>
      <c r="B40" s="8">
        <v>3120</v>
      </c>
      <c r="C40" s="8">
        <v>3120</v>
      </c>
      <c r="D40" s="8">
        <v>3120</v>
      </c>
      <c r="E40" s="8">
        <v>3120</v>
      </c>
      <c r="F40" s="8">
        <v>3120</v>
      </c>
      <c r="G40" s="8">
        <v>3120</v>
      </c>
      <c r="H40" s="8">
        <v>3120</v>
      </c>
      <c r="I40" s="8">
        <v>3120</v>
      </c>
      <c r="J40" s="8">
        <v>3120</v>
      </c>
      <c r="K40" s="8">
        <v>3120</v>
      </c>
    </row>
    <row r="41" spans="1:11" x14ac:dyDescent="0.35">
      <c r="A41" s="7" t="s">
        <v>85</v>
      </c>
      <c r="B41" s="8">
        <v>97245</v>
      </c>
      <c r="C41" s="8">
        <v>103879</v>
      </c>
      <c r="D41" s="8">
        <v>110551</v>
      </c>
      <c r="E41" s="8">
        <v>101793</v>
      </c>
      <c r="F41" s="8">
        <v>106216</v>
      </c>
      <c r="G41" s="8">
        <v>110659</v>
      </c>
      <c r="H41" s="8">
        <v>113890</v>
      </c>
      <c r="I41" s="8">
        <v>123060</v>
      </c>
      <c r="J41" s="8">
        <v>128345</v>
      </c>
      <c r="K41" s="8">
        <v>153843</v>
      </c>
    </row>
    <row r="42" spans="1:11" x14ac:dyDescent="0.35">
      <c r="A42" s="7" t="s">
        <v>86</v>
      </c>
      <c r="B42" s="8">
        <v>-10722</v>
      </c>
      <c r="C42" s="8">
        <v>-13165</v>
      </c>
      <c r="D42" s="8">
        <v>-14901</v>
      </c>
      <c r="E42" s="8">
        <v>-13199</v>
      </c>
      <c r="F42" s="8">
        <v>-15222</v>
      </c>
      <c r="G42" s="8">
        <v>-15891</v>
      </c>
      <c r="H42" s="8">
        <v>-15242</v>
      </c>
      <c r="I42" s="8">
        <v>-13058</v>
      </c>
      <c r="J42" s="8">
        <v>-12967</v>
      </c>
      <c r="K42" s="8">
        <v>-12527</v>
      </c>
    </row>
    <row r="43" spans="1:11" x14ac:dyDescent="0.35">
      <c r="A43" s="7" t="s">
        <v>87</v>
      </c>
      <c r="B43" s="8">
        <v>19891</v>
      </c>
      <c r="C43" s="8">
        <v>22684</v>
      </c>
      <c r="D43" s="8">
        <v>28352</v>
      </c>
      <c r="E43" s="8">
        <v>31554</v>
      </c>
      <c r="F43" s="8">
        <v>34362</v>
      </c>
      <c r="G43" s="8">
        <v>38417</v>
      </c>
      <c r="H43" s="8">
        <v>38490</v>
      </c>
      <c r="I43" s="8">
        <v>39099</v>
      </c>
      <c r="J43" s="8">
        <v>41694</v>
      </c>
      <c r="K43" s="8">
        <v>75662</v>
      </c>
    </row>
    <row r="44" spans="1:11" x14ac:dyDescent="0.35">
      <c r="A44" s="7" t="s">
        <v>88</v>
      </c>
      <c r="B44" s="8">
        <v>-4803</v>
      </c>
      <c r="C44" s="8">
        <v>-8435</v>
      </c>
      <c r="D44" s="8">
        <v>-9047</v>
      </c>
      <c r="E44" s="8">
        <v>-7351</v>
      </c>
      <c r="F44" s="8">
        <v>-8869</v>
      </c>
      <c r="G44" s="8">
        <v>-8705</v>
      </c>
      <c r="H44" s="8">
        <v>-8938</v>
      </c>
      <c r="I44" s="8">
        <v>-10017</v>
      </c>
      <c r="J44" s="8">
        <v>-11813</v>
      </c>
      <c r="K44" s="8">
        <v>-10149</v>
      </c>
    </row>
    <row r="45" spans="1:11" x14ac:dyDescent="0.35">
      <c r="A45" s="7" t="s">
        <v>89</v>
      </c>
      <c r="B45" s="8">
        <v>4803</v>
      </c>
      <c r="C45" s="8">
        <v>8435</v>
      </c>
      <c r="D45" s="8">
        <v>9047</v>
      </c>
      <c r="E45" s="8">
        <v>7351</v>
      </c>
      <c r="F45" s="8">
        <v>8869</v>
      </c>
      <c r="G45" s="8">
        <v>8705</v>
      </c>
      <c r="H45" s="8">
        <v>8938</v>
      </c>
      <c r="I45" s="8">
        <v>10017</v>
      </c>
      <c r="J45" s="8">
        <v>11813</v>
      </c>
      <c r="K45" s="8">
        <v>10149</v>
      </c>
    </row>
    <row r="46" spans="1:11" x14ac:dyDescent="0.35">
      <c r="A46" s="7" t="s">
        <v>90</v>
      </c>
      <c r="B46" s="8">
        <v>69752</v>
      </c>
      <c r="C46" s="8">
        <v>71150</v>
      </c>
      <c r="D46" s="8">
        <v>70418</v>
      </c>
      <c r="E46" s="8">
        <v>60160</v>
      </c>
      <c r="F46" s="8">
        <v>59752</v>
      </c>
      <c r="G46" s="8">
        <v>59471</v>
      </c>
      <c r="H46" s="8">
        <v>63278</v>
      </c>
      <c r="I46" s="8">
        <v>74023</v>
      </c>
      <c r="J46" s="8">
        <v>76804</v>
      </c>
      <c r="K46" s="8">
        <v>68774</v>
      </c>
    </row>
    <row r="47" spans="1:11" x14ac:dyDescent="0.35">
      <c r="A47" s="7" t="s">
        <v>91</v>
      </c>
      <c r="B47" s="8">
        <v>131119</v>
      </c>
      <c r="C47" s="8">
        <v>133411</v>
      </c>
      <c r="D47" s="8">
        <v>141208</v>
      </c>
      <c r="E47" s="8">
        <v>157303</v>
      </c>
      <c r="F47" s="8">
        <v>152954</v>
      </c>
      <c r="G47" s="8">
        <v>157728</v>
      </c>
      <c r="H47" s="8">
        <v>174894</v>
      </c>
      <c r="I47" s="8">
        <v>182018</v>
      </c>
      <c r="J47" s="8">
        <v>187378</v>
      </c>
      <c r="K47" s="8">
        <v>167558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0F03-3436-4927-A76B-B986F3347441}">
  <dimension ref="A3:M44"/>
  <sheetViews>
    <sheetView topLeftCell="A5" workbookViewId="0">
      <selection activeCell="D49" sqref="D49"/>
    </sheetView>
  </sheetViews>
  <sheetFormatPr defaultRowHeight="12.75" x14ac:dyDescent="0.35"/>
  <cols>
    <col min="1" max="1" width="28.33203125" customWidth="1"/>
    <col min="2" max="2" width="23.53125" customWidth="1"/>
    <col min="3" max="3" width="18.6640625" customWidth="1"/>
    <col min="4" max="4" width="14.19921875" customWidth="1"/>
    <col min="5" max="5" width="13.53125" customWidth="1"/>
    <col min="6" max="6" width="14.86328125" customWidth="1"/>
    <col min="7" max="7" width="13.19921875" customWidth="1"/>
    <col min="8" max="8" width="12.1328125" customWidth="1"/>
    <col min="9" max="9" width="13" customWidth="1"/>
    <col min="10" max="10" width="11.6640625" customWidth="1"/>
    <col min="11" max="11" width="11.33203125" customWidth="1"/>
    <col min="12" max="12" width="12.796875" customWidth="1"/>
    <col min="13" max="13" width="11.73046875" customWidth="1"/>
  </cols>
  <sheetData>
    <row r="3" spans="1:13" ht="26.25" x14ac:dyDescent="0.35">
      <c r="A3" s="4" t="s">
        <v>55</v>
      </c>
    </row>
    <row r="4" spans="1:13" ht="13.15" x14ac:dyDescent="0.35">
      <c r="A4" s="5" t="s">
        <v>4</v>
      </c>
      <c r="D4" s="6" t="s">
        <v>14</v>
      </c>
      <c r="E4" s="6" t="s">
        <v>13</v>
      </c>
      <c r="F4" s="6" t="s">
        <v>12</v>
      </c>
      <c r="G4" s="6" t="s">
        <v>11</v>
      </c>
      <c r="H4" s="6" t="s">
        <v>10</v>
      </c>
      <c r="I4" s="6" t="s">
        <v>9</v>
      </c>
      <c r="J4" s="6" t="s">
        <v>8</v>
      </c>
      <c r="K4" s="6" t="s">
        <v>7</v>
      </c>
      <c r="L4" s="6" t="s">
        <v>6</v>
      </c>
      <c r="M4" s="6" t="s">
        <v>5</v>
      </c>
    </row>
    <row r="5" spans="1:13" ht="13.15" x14ac:dyDescent="0.35">
      <c r="A5" s="5" t="s">
        <v>15</v>
      </c>
    </row>
    <row r="6" spans="1:13" ht="13.15" x14ac:dyDescent="0.35">
      <c r="A6" s="5" t="s">
        <v>17</v>
      </c>
    </row>
    <row r="7" spans="1:13" ht="13.15" x14ac:dyDescent="0.35">
      <c r="A7" s="5" t="s">
        <v>19</v>
      </c>
    </row>
    <row r="8" spans="1:13" ht="13.15" x14ac:dyDescent="0.35">
      <c r="A8" s="5" t="s">
        <v>21</v>
      </c>
    </row>
    <row r="9" spans="1:13" x14ac:dyDescent="0.35">
      <c r="A9" s="7" t="s">
        <v>56</v>
      </c>
      <c r="D9" s="15">
        <f>balancesheet!B12/balancesheet!B$27</f>
        <v>0.11076197957580518</v>
      </c>
      <c r="E9" s="15">
        <f>balancesheet!C12/balancesheet!C$27</f>
        <v>0.10293004324980699</v>
      </c>
      <c r="F9" s="15">
        <f>balancesheet!D12/balancesheet!D$27</f>
        <v>0.13435499405132853</v>
      </c>
      <c r="G9" s="15">
        <f>balancesheet!E12/balancesheet!E$27</f>
        <v>0.11330998137352752</v>
      </c>
      <c r="H9" s="15">
        <f>balancesheet!F12/balancesheet!F$27</f>
        <v>0.11838199720177309</v>
      </c>
      <c r="I9" s="15">
        <f>balancesheet!G12/balancesheet!G$27</f>
        <v>0.10971419151957801</v>
      </c>
      <c r="J9" s="15">
        <f>balancesheet!H12/balancesheet!H$27</f>
        <v>7.9962720276281637E-2</v>
      </c>
      <c r="K9" s="15">
        <f>balancesheet!I12/balancesheet!I$27</f>
        <v>7.9591029458624965E-2</v>
      </c>
    </row>
    <row r="10" spans="1:13" x14ac:dyDescent="0.35">
      <c r="A10" s="7" t="s">
        <v>57</v>
      </c>
      <c r="D10" s="15">
        <f>balancesheet!B13/balancesheet!B$27</f>
        <v>0.14159656495244777</v>
      </c>
      <c r="E10" s="15">
        <f>balancesheet!C13/balancesheet!C$27</f>
        <v>0.18472239920246455</v>
      </c>
      <c r="F10" s="15">
        <f>balancesheet!D13/balancesheet!D$27</f>
        <v>0.16241997620531415</v>
      </c>
      <c r="G10" s="15">
        <f>balancesheet!E13/balancesheet!E$27</f>
        <v>3.0005785013636102E-3</v>
      </c>
      <c r="H10" s="15">
        <f>balancesheet!F13/balancesheet!F$27</f>
        <v>1.0329903108124011E-2</v>
      </c>
      <c r="I10" s="15">
        <f>balancesheet!G13/balancesheet!G$27</f>
        <v>1.2565936295394603E-2</v>
      </c>
      <c r="J10" s="15">
        <f>balancesheet!H13/balancesheet!H$27</f>
        <v>6.4038789209464014E-2</v>
      </c>
      <c r="K10" s="15">
        <f>balancesheet!I13/balancesheet!I$27</f>
        <v>9.4062125723829507E-2</v>
      </c>
    </row>
    <row r="11" spans="1:13" x14ac:dyDescent="0.35">
      <c r="A11" s="7" t="s">
        <v>58</v>
      </c>
      <c r="D11" s="15">
        <f>balancesheet!B14/balancesheet!B$27</f>
        <v>0.25235854452825296</v>
      </c>
      <c r="E11" s="15">
        <f>balancesheet!C14/balancesheet!C$27</f>
        <v>0.28765244245227156</v>
      </c>
      <c r="F11" s="15">
        <f>balancesheet!D14/balancesheet!D$27</f>
        <v>0.29677497025664268</v>
      </c>
      <c r="G11" s="15">
        <f>balancesheet!E14/balancesheet!E$27</f>
        <v>0.11631055987489114</v>
      </c>
      <c r="H11" s="15">
        <f>balancesheet!F14/balancesheet!F$27</f>
        <v>0.1287119003098971</v>
      </c>
      <c r="I11" s="15">
        <f>balancesheet!G14/balancesheet!G$27</f>
        <v>0.12228012781497261</v>
      </c>
      <c r="J11" s="15">
        <f>balancesheet!H14/balancesheet!H$27</f>
        <v>0.14400150948574564</v>
      </c>
      <c r="K11" s="15">
        <f>balancesheet!I14/balancesheet!I$27</f>
        <v>0.17365315518245447</v>
      </c>
    </row>
    <row r="12" spans="1:13" x14ac:dyDescent="0.35">
      <c r="A12" s="7" t="s">
        <v>59</v>
      </c>
      <c r="D12" s="15">
        <f>balancesheet!B15/balancesheet!B$27</f>
        <v>8.3778857373835974E-2</v>
      </c>
      <c r="E12" s="15">
        <f>balancesheet!C15/balancesheet!C$27</f>
        <v>8.0458133137447443E-2</v>
      </c>
      <c r="F12" s="15">
        <f>balancesheet!D15/balancesheet!D$27</f>
        <v>8.2849413630955757E-2</v>
      </c>
      <c r="G12" s="15">
        <f>balancesheet!E15/balancesheet!E$27</f>
        <v>8.5758059286854038E-2</v>
      </c>
      <c r="H12" s="15">
        <f>balancesheet!F15/balancesheet!F$27</f>
        <v>9.2171502543248296E-2</v>
      </c>
      <c r="I12" s="15">
        <f>balancesheet!G15/balancesheet!G$27</f>
        <v>9.1809951308581869E-2</v>
      </c>
      <c r="J12" s="15">
        <f>balancesheet!H15/balancesheet!H$27</f>
        <v>7.762416092032888E-2</v>
      </c>
      <c r="K12" s="15">
        <f>balancesheet!I15/balancesheet!I$27</f>
        <v>8.3964223318572895E-2</v>
      </c>
    </row>
    <row r="13" spans="1:13" x14ac:dyDescent="0.35">
      <c r="A13" s="7" t="s">
        <v>60</v>
      </c>
      <c r="D13" s="15">
        <f>balancesheet!B16/balancesheet!B$27</f>
        <v>6.2416583408964374E-2</v>
      </c>
      <c r="E13" s="15">
        <f>balancesheet!C16/balancesheet!C$27</f>
        <v>6.0362338937568864E-2</v>
      </c>
      <c r="F13" s="15">
        <f>balancesheet!D16/balancesheet!D$27</f>
        <v>5.7673786187751402E-2</v>
      </c>
      <c r="G13" s="15">
        <f>balancesheet!E16/balancesheet!E$27</f>
        <v>5.5720488484008568E-2</v>
      </c>
      <c r="H13" s="15">
        <f>balancesheet!F16/balancesheet!F$27</f>
        <v>5.6219516978960993E-2</v>
      </c>
      <c r="I13" s="15">
        <f>balancesheet!G16/balancesheet!G$27</f>
        <v>5.7187056198011767E-2</v>
      </c>
      <c r="J13" s="15">
        <f>balancesheet!H16/balancesheet!H$27</f>
        <v>5.3426646997609982E-2</v>
      </c>
      <c r="K13" s="15">
        <f>balancesheet!I16/balancesheet!I$27</f>
        <v>5.7065784702611831E-2</v>
      </c>
    </row>
    <row r="14" spans="1:13" x14ac:dyDescent="0.35">
      <c r="A14" s="7" t="s">
        <v>61</v>
      </c>
      <c r="D14" s="15">
        <f>balancesheet!B17/balancesheet!B$27</f>
        <v>2.7204295334772231E-2</v>
      </c>
      <c r="E14" s="15" t="e">
        <f>balancesheet!C17/balancesheet!C$27</f>
        <v>#VALUE!</v>
      </c>
      <c r="F14" s="15" t="e">
        <f>balancesheet!D17/balancesheet!D$27</f>
        <v>#VALUE!</v>
      </c>
      <c r="G14" s="15" t="e">
        <f>balancesheet!E17/balancesheet!E$27</f>
        <v>#VALUE!</v>
      </c>
      <c r="H14" s="15" t="e">
        <f>balancesheet!F17/balancesheet!F$27</f>
        <v>#VALUE!</v>
      </c>
      <c r="I14" s="15" t="e">
        <f>balancesheet!G17/balancesheet!G$27</f>
        <v>#VALUE!</v>
      </c>
      <c r="J14" s="15" t="e">
        <f>balancesheet!H17/balancesheet!H$27</f>
        <v>#VALUE!</v>
      </c>
      <c r="K14" s="15" t="e">
        <f>balancesheet!I17/balancesheet!I$27</f>
        <v>#VALUE!</v>
      </c>
    </row>
    <row r="15" spans="1:13" x14ac:dyDescent="0.35">
      <c r="A15" s="7" t="s">
        <v>62</v>
      </c>
      <c r="D15" s="15" t="e">
        <f>balancesheet!B18/balancesheet!B$27</f>
        <v>#VALUE!</v>
      </c>
      <c r="E15" s="15" t="e">
        <f>balancesheet!C18/balancesheet!C$27</f>
        <v>#VALUE!</v>
      </c>
      <c r="F15" s="15" t="e">
        <f>balancesheet!D18/balancesheet!D$27</f>
        <v>#VALUE!</v>
      </c>
      <c r="G15" s="15" t="e">
        <f>balancesheet!E18/balancesheet!E$27</f>
        <v>#VALUE!</v>
      </c>
      <c r="H15" s="15">
        <f>balancesheet!F18/balancesheet!F$27</f>
        <v>6.2110176915935508E-3</v>
      </c>
      <c r="I15" s="15">
        <f>balancesheet!G18/balancesheet!G$27</f>
        <v>5.9596266991276123E-4</v>
      </c>
      <c r="J15" s="15" t="e">
        <f>balancesheet!H18/balancesheet!H$27</f>
        <v>#VALUE!</v>
      </c>
      <c r="K15" s="15" t="e">
        <f>balancesheet!I18/balancesheet!I$27</f>
        <v>#VALUE!</v>
      </c>
    </row>
    <row r="16" spans="1:13" x14ac:dyDescent="0.35">
      <c r="A16" s="7" t="s">
        <v>63</v>
      </c>
      <c r="D16" s="15">
        <f>balancesheet!B19/balancesheet!B$27</f>
        <v>2.6586535894874121E-2</v>
      </c>
      <c r="E16" s="15">
        <f>balancesheet!C19/balancesheet!C$27</f>
        <v>2.2839196168232004E-2</v>
      </c>
      <c r="F16" s="15">
        <f>balancesheet!D19/balancesheet!D$27</f>
        <v>2.3242309217608066E-2</v>
      </c>
      <c r="G16" s="15">
        <f>balancesheet!E19/balancesheet!E$27</f>
        <v>1.6128109444829404E-2</v>
      </c>
      <c r="H16" s="15">
        <f>balancesheet!F19/balancesheet!F$27</f>
        <v>1.7645828157485256E-2</v>
      </c>
      <c r="I16" s="15">
        <f>balancesheet!G19/balancesheet!G$27</f>
        <v>1.5165347940758774E-2</v>
      </c>
      <c r="J16" s="15">
        <f>balancesheet!H19/balancesheet!H$27</f>
        <v>1.7907989982503689E-2</v>
      </c>
      <c r="K16" s="15">
        <f>balancesheet!I19/balancesheet!I$27</f>
        <v>2.033315386390357E-2</v>
      </c>
    </row>
    <row r="17" spans="1:11" x14ac:dyDescent="0.35">
      <c r="A17" s="7" t="s">
        <v>64</v>
      </c>
      <c r="D17" s="15">
        <f>balancesheet!B20/balancesheet!B$27</f>
        <v>0.45234481654069969</v>
      </c>
      <c r="E17" s="15">
        <f>balancesheet!C20/balancesheet!C$27</f>
        <v>0.45131211069551985</v>
      </c>
      <c r="F17" s="15">
        <f>balancesheet!D20/balancesheet!D$27</f>
        <v>0.46054047929295788</v>
      </c>
      <c r="G17" s="15">
        <f>balancesheet!E20/balancesheet!E$27</f>
        <v>0.27391721709058314</v>
      </c>
      <c r="H17" s="15">
        <f>balancesheet!F20/balancesheet!F$27</f>
        <v>0.30095976568118521</v>
      </c>
      <c r="I17" s="15">
        <f>balancesheet!G20/balancesheet!G$27</f>
        <v>0.28703844593223776</v>
      </c>
      <c r="J17" s="15">
        <f>balancesheet!H20/balancesheet!H$27</f>
        <v>0.29296030738618822</v>
      </c>
      <c r="K17" s="15">
        <f>balancesheet!I20/balancesheet!I$27</f>
        <v>0.33501631706754276</v>
      </c>
    </row>
    <row r="18" spans="1:11" x14ac:dyDescent="0.35">
      <c r="A18" s="7" t="s">
        <v>65</v>
      </c>
      <c r="D18" s="15">
        <f>balancesheet!B21/balancesheet!B$27</f>
        <v>0.27978401299582822</v>
      </c>
      <c r="E18" s="15">
        <f>balancesheet!C21/balancesheet!C$27</f>
        <v>0.27469998725742256</v>
      </c>
      <c r="F18" s="15">
        <f>balancesheet!D21/balancesheet!D$27</f>
        <v>0.26749900855475611</v>
      </c>
      <c r="G18" s="15">
        <f>balancesheet!E21/balancesheet!E$27</f>
        <v>0.26360590707106668</v>
      </c>
      <c r="H18" s="15">
        <f>balancesheet!F21/balancesheet!F$27</f>
        <v>0.27361821201145442</v>
      </c>
      <c r="I18" s="15">
        <f>balancesheet!G21/balancesheet!G$27</f>
        <v>0.27472611077297626</v>
      </c>
      <c r="J18" s="15">
        <f>balancesheet!H21/balancesheet!H$27</f>
        <v>0.2676135259071209</v>
      </c>
      <c r="K18" s="15">
        <f>balancesheet!I21/balancesheet!I$27</f>
        <v>0.26194662066389041</v>
      </c>
    </row>
    <row r="19" spans="1:11" x14ac:dyDescent="0.35">
      <c r="A19" s="7" t="s">
        <v>66</v>
      </c>
      <c r="D19" s="15">
        <f>balancesheet!B22/balancesheet!B$27</f>
        <v>0.15679649783784197</v>
      </c>
      <c r="E19" s="15">
        <f>balancesheet!C22/balancesheet!C$27</f>
        <v>0.15548193177474121</v>
      </c>
      <c r="F19" s="15">
        <f>balancesheet!D22/balancesheet!D$27</f>
        <v>0.154814174834287</v>
      </c>
      <c r="G19" s="15">
        <f>balancesheet!E22/balancesheet!E$27</f>
        <v>0.15550243797003235</v>
      </c>
      <c r="H19" s="15">
        <f>balancesheet!F22/balancesheet!F$27</f>
        <v>0.16224485793114268</v>
      </c>
      <c r="I19" s="15">
        <f>balancesheet!G22/balancesheet!G$27</f>
        <v>0.16277388922702374</v>
      </c>
      <c r="J19" s="15">
        <f>balancesheet!H22/balancesheet!H$27</f>
        <v>0.16031424748704931</v>
      </c>
      <c r="K19" s="15">
        <f>balancesheet!I22/balancesheet!I$27</f>
        <v>0.15777011064839741</v>
      </c>
    </row>
    <row r="20" spans="1:11" x14ac:dyDescent="0.35">
      <c r="A20" s="7" t="s">
        <v>67</v>
      </c>
      <c r="D20" s="15">
        <f>balancesheet!B23/balancesheet!B$27</f>
        <v>0.12298751515798625</v>
      </c>
      <c r="E20" s="15">
        <f>balancesheet!C23/balancesheet!C$27</f>
        <v>0.11921805548268134</v>
      </c>
      <c r="F20" s="15">
        <f>balancesheet!D23/balancesheet!D$27</f>
        <v>0.1126848337204691</v>
      </c>
      <c r="G20" s="15">
        <f>balancesheet!E23/balancesheet!E$27</f>
        <v>0.10810346910103431</v>
      </c>
      <c r="H20" s="15">
        <f>balancesheet!F23/balancesheet!F$27</f>
        <v>0.11137335408031172</v>
      </c>
      <c r="I20" s="15">
        <f>balancesheet!G23/balancesheet!G$27</f>
        <v>0.11195222154595252</v>
      </c>
      <c r="J20" s="15">
        <f>balancesheet!H23/balancesheet!H$27</f>
        <v>0.10729927842007159</v>
      </c>
      <c r="K20" s="15">
        <f>balancesheet!I23/balancesheet!I$27</f>
        <v>0.10417651001549297</v>
      </c>
    </row>
    <row r="21" spans="1:11" x14ac:dyDescent="0.35">
      <c r="A21" s="7" t="s">
        <v>68</v>
      </c>
      <c r="D21" s="15">
        <f>balancesheet!B24/balancesheet!B$27</f>
        <v>0.37411816746619481</v>
      </c>
      <c r="E21" s="15">
        <f>balancesheet!C24/balancesheet!C$27</f>
        <v>0.35524057236659645</v>
      </c>
      <c r="F21" s="15">
        <f>balancesheet!D24/balancesheet!D$27</f>
        <v>0.35182850829981305</v>
      </c>
      <c r="G21" s="15">
        <f>balancesheet!E24/balancesheet!E$27</f>
        <v>0.54121027570993563</v>
      </c>
      <c r="H21" s="15">
        <f>balancesheet!F24/balancesheet!F$27</f>
        <v>0.51037566850164107</v>
      </c>
      <c r="I21" s="15">
        <f>balancesheet!G24/balancesheet!G$27</f>
        <v>0.51533018867924529</v>
      </c>
      <c r="J21" s="15">
        <f>balancesheet!H24/balancesheet!H$27</f>
        <v>0.51342527473784116</v>
      </c>
      <c r="K21" s="15">
        <f>balancesheet!I24/balancesheet!I$27</f>
        <v>0.44851608082717093</v>
      </c>
    </row>
    <row r="22" spans="1:11" x14ac:dyDescent="0.35">
      <c r="A22" s="7" t="s">
        <v>69</v>
      </c>
      <c r="D22" s="15">
        <f>balancesheet!B25/balancesheet!B$27</f>
        <v>2.5900136517209557E-2</v>
      </c>
      <c r="E22" s="15">
        <f>balancesheet!C25/balancesheet!C$27</f>
        <v>4.1151029525301509E-2</v>
      </c>
      <c r="F22" s="15">
        <f>balancesheet!D25/balancesheet!D$27</f>
        <v>4.3538609710497986E-2</v>
      </c>
      <c r="G22" s="15">
        <f>balancesheet!E25/balancesheet!E$27</f>
        <v>4.5167606466500955E-2</v>
      </c>
      <c r="H22" s="15">
        <f>balancesheet!F25/balancesheet!F$27</f>
        <v>4.9949658067131295E-2</v>
      </c>
      <c r="I22" s="15">
        <f>balancesheet!G25/balancesheet!G$27</f>
        <v>4.9572682085615744E-2</v>
      </c>
      <c r="J22" s="15">
        <f>balancesheet!H25/balancesheet!H$27</f>
        <v>4.879527027799696E-2</v>
      </c>
      <c r="K22" s="15">
        <f>balancesheet!I25/balancesheet!I$27</f>
        <v>5.6164774912371304E-2</v>
      </c>
    </row>
    <row r="23" spans="1:11" x14ac:dyDescent="0.35">
      <c r="A23" s="7" t="s">
        <v>70</v>
      </c>
      <c r="D23" s="15">
        <f>balancesheet!B26/balancesheet!B$27</f>
        <v>2.4649364317909685E-2</v>
      </c>
      <c r="E23" s="15">
        <f>balancesheet!C26/balancesheet!C$27</f>
        <v>3.307823192990083E-2</v>
      </c>
      <c r="F23" s="15">
        <f>balancesheet!D26/balancesheet!D$27</f>
        <v>3.1407568976261971E-2</v>
      </c>
      <c r="G23" s="15">
        <f>balancesheet!E26/balancesheet!E$27</f>
        <v>3.1601431631945988E-2</v>
      </c>
      <c r="H23" s="15">
        <f>balancesheet!F26/balancesheet!F$27</f>
        <v>2.7341553669730768E-2</v>
      </c>
      <c r="I23" s="15">
        <f>balancesheet!G26/balancesheet!G$27</f>
        <v>3.610646175694867E-2</v>
      </c>
      <c r="J23" s="15">
        <f>balancesheet!H26/balancesheet!H$27</f>
        <v>3.7519869177902045E-2</v>
      </c>
      <c r="K23" s="15">
        <f>balancesheet!I26/balancesheet!I$27</f>
        <v>5.6126317177422017E-2</v>
      </c>
    </row>
    <row r="24" spans="1:11" x14ac:dyDescent="0.35">
      <c r="A24" s="7" t="s">
        <v>71</v>
      </c>
      <c r="D24" s="15">
        <f>balancesheet!B27/balancesheet!B$27</f>
        <v>1</v>
      </c>
      <c r="E24" s="15">
        <f>balancesheet!C27/balancesheet!C$27</f>
        <v>1</v>
      </c>
      <c r="F24" s="15">
        <f>balancesheet!D27/balancesheet!D$27</f>
        <v>1</v>
      </c>
      <c r="G24" s="15">
        <f>balancesheet!E27/balancesheet!E$27</f>
        <v>1</v>
      </c>
      <c r="H24" s="15">
        <f>balancesheet!F27/balancesheet!F$27</f>
        <v>1</v>
      </c>
      <c r="I24" s="15">
        <f>balancesheet!G27/balancesheet!G$27</f>
        <v>1</v>
      </c>
      <c r="J24" s="15">
        <f>balancesheet!H27/balancesheet!H$27</f>
        <v>1</v>
      </c>
      <c r="K24" s="15">
        <f>balancesheet!I27/balancesheet!I$27</f>
        <v>1</v>
      </c>
    </row>
    <row r="25" spans="1:11" x14ac:dyDescent="0.35">
      <c r="A25" s="7" t="s">
        <v>72</v>
      </c>
      <c r="D25" s="15">
        <f>balancesheet!B28/balancesheet!B$27</f>
        <v>0.16356897169746565</v>
      </c>
      <c r="E25" s="15">
        <f>balancesheet!C28/balancesheet!C$27</f>
        <v>0.15548193177474121</v>
      </c>
      <c r="F25" s="15">
        <f>balancesheet!D28/balancesheet!D$27</f>
        <v>0.15298708288482238</v>
      </c>
      <c r="G25" s="15">
        <f>balancesheet!E28/balancesheet!E$27</f>
        <v>0.16929747048689472</v>
      </c>
      <c r="H25" s="15">
        <f>balancesheet!F28/balancesheet!F$27</f>
        <v>0.18589902846607476</v>
      </c>
      <c r="I25" s="15">
        <f>balancesheet!G28/balancesheet!G$27</f>
        <v>0.22039206735646175</v>
      </c>
      <c r="J25" s="15">
        <f>balancesheet!H28/balancesheet!H$27</f>
        <v>0.22792091209532631</v>
      </c>
      <c r="K25" s="15">
        <f>balancesheet!I28/balancesheet!I$27</f>
        <v>0.22777967014251338</v>
      </c>
    </row>
    <row r="26" spans="1:11" x14ac:dyDescent="0.35">
      <c r="A26" s="7" t="s">
        <v>73</v>
      </c>
      <c r="D26" s="15">
        <f>balancesheet!B29/balancesheet!B$27</f>
        <v>5.8214293885706876E-2</v>
      </c>
      <c r="E26" s="15">
        <f>balancesheet!C29/balancesheet!C$27</f>
        <v>4.9980886133827049E-2</v>
      </c>
      <c r="F26" s="15">
        <f>balancesheet!D29/balancesheet!D$27</f>
        <v>4.89915585519234E-2</v>
      </c>
      <c r="G26" s="15">
        <f>balancesheet!E29/balancesheet!E$27</f>
        <v>4.6470823824084725E-2</v>
      </c>
      <c r="H26" s="15">
        <f>balancesheet!F29/balancesheet!F$27</f>
        <v>4.9276252991095365E-2</v>
      </c>
      <c r="I26" s="15">
        <f>balancesheet!G29/balancesheet!G$27</f>
        <v>5.4169202678027994E-2</v>
      </c>
      <c r="J26" s="15">
        <f>balancesheet!H29/balancesheet!H$27</f>
        <v>5.4347204592496028E-2</v>
      </c>
      <c r="K26" s="15">
        <f>balancesheet!I29/balancesheet!I$27</f>
        <v>6.0735751409201288E-2</v>
      </c>
    </row>
    <row r="27" spans="1:11" x14ac:dyDescent="0.35">
      <c r="A27" s="7" t="s">
        <v>74</v>
      </c>
      <c r="D27" s="15">
        <f>balancesheet!B30/balancesheet!B$27</f>
        <v>0.10535467781175878</v>
      </c>
      <c r="E27" s="15">
        <f>balancesheet!C30/balancesheet!C$27</f>
        <v>0.10550104564091417</v>
      </c>
      <c r="F27" s="15">
        <f>balancesheet!D30/balancesheet!D$27</f>
        <v>0.10399552433289899</v>
      </c>
      <c r="G27" s="15">
        <f>balancesheet!E30/balancesheet!E$27</f>
        <v>0.12282664666280999</v>
      </c>
      <c r="H27" s="15">
        <f>balancesheet!F30/balancesheet!F$27</f>
        <v>0.13662277547497942</v>
      </c>
      <c r="I27" s="15">
        <f>balancesheet!G30/balancesheet!G$27</f>
        <v>0.16622286467843375</v>
      </c>
      <c r="J27" s="15">
        <f>balancesheet!H30/balancesheet!H$27</f>
        <v>0.1735737075028303</v>
      </c>
      <c r="K27" s="15">
        <f>balancesheet!I30/balancesheet!I$27</f>
        <v>0.16704391873331209</v>
      </c>
    </row>
    <row r="28" spans="1:11" x14ac:dyDescent="0.35">
      <c r="A28" s="7" t="s">
        <v>75</v>
      </c>
      <c r="D28" s="15">
        <f>balancesheet!B31/balancesheet!B$27</f>
        <v>2.7745788177152054E-2</v>
      </c>
      <c r="E28" s="15">
        <f>balancesheet!C31/balancesheet!C$27</f>
        <v>5.2499419088381016E-2</v>
      </c>
      <c r="F28" s="15">
        <f>balancesheet!D31/balancesheet!D$27</f>
        <v>3.317092516004759E-2</v>
      </c>
      <c r="G28" s="15">
        <f>balancesheet!E31/balancesheet!E$27</f>
        <v>2.4831058530352251E-2</v>
      </c>
      <c r="H28" s="15">
        <f>balancesheet!F31/balancesheet!F$27</f>
        <v>1.8280005753363755E-2</v>
      </c>
      <c r="I28" s="15">
        <f>balancesheet!G31/balancesheet!G$27</f>
        <v>7.6207141407993511E-3</v>
      </c>
      <c r="J28" s="15">
        <f>balancesheet!H31/balancesheet!H$27</f>
        <v>1.5043397715187486E-2</v>
      </c>
      <c r="K28" s="15">
        <f>balancesheet!I31/balancesheet!I$27</f>
        <v>2.0690261402718412E-2</v>
      </c>
    </row>
    <row r="29" spans="1:11" x14ac:dyDescent="0.35">
      <c r="A29" s="7" t="s">
        <v>76</v>
      </c>
      <c r="D29" s="15">
        <f>balancesheet!B32/balancesheet!B$27</f>
        <v>0</v>
      </c>
      <c r="E29" s="15">
        <f>balancesheet!C32/balancesheet!C$27</f>
        <v>0</v>
      </c>
      <c r="F29" s="15">
        <f>balancesheet!D32/balancesheet!D$27</f>
        <v>0</v>
      </c>
      <c r="G29" s="15">
        <f>balancesheet!E32/balancesheet!E$27</f>
        <v>0</v>
      </c>
      <c r="H29" s="15">
        <f>balancesheet!F32/balancesheet!F$27</f>
        <v>0</v>
      </c>
      <c r="I29" s="15">
        <f>balancesheet!G32/balancesheet!G$27</f>
        <v>0</v>
      </c>
      <c r="J29" s="15">
        <f>balancesheet!H32/balancesheet!H$27</f>
        <v>0</v>
      </c>
      <c r="K29" s="15">
        <f>balancesheet!I32/balancesheet!I$27</f>
        <v>0</v>
      </c>
    </row>
    <row r="30" spans="1:11" x14ac:dyDescent="0.35">
      <c r="A30" s="7" t="s">
        <v>77</v>
      </c>
      <c r="D30" s="15">
        <f>balancesheet!B33/balancesheet!B$27</f>
        <v>0.19131475987461771</v>
      </c>
      <c r="E30" s="15">
        <f>balancesheet!C33/balancesheet!C$27</f>
        <v>0.20798135086312222</v>
      </c>
      <c r="F30" s="15">
        <f>balancesheet!D33/balancesheet!D$27</f>
        <v>0.18615800804486998</v>
      </c>
      <c r="G30" s="15">
        <f>balancesheet!E33/balancesheet!E$27</f>
        <v>0.19412852901724698</v>
      </c>
      <c r="H30" s="15">
        <f>balancesheet!F33/balancesheet!F$27</f>
        <v>0.20417903421943853</v>
      </c>
      <c r="I30" s="15">
        <f>balancesheet!G33/balancesheet!G$27</f>
        <v>0.22801278149726112</v>
      </c>
      <c r="J30" s="15">
        <f>balancesheet!H33/balancesheet!H$27</f>
        <v>0.24296430981051378</v>
      </c>
      <c r="K30" s="15">
        <f>balancesheet!I33/balancesheet!I$27</f>
        <v>0.24846993154523178</v>
      </c>
    </row>
    <row r="31" spans="1:11" x14ac:dyDescent="0.35">
      <c r="A31" s="7" t="s">
        <v>78</v>
      </c>
      <c r="D31" s="15">
        <f>balancesheet!B34/balancesheet!B$27</f>
        <v>0.11533034876715045</v>
      </c>
      <c r="E31" s="15">
        <f>balancesheet!C34/balancesheet!C$27</f>
        <v>9.6371363680656019E-2</v>
      </c>
      <c r="F31" s="15">
        <f>balancesheet!D34/balancesheet!D$27</f>
        <v>0.15892867259645346</v>
      </c>
      <c r="G31" s="15">
        <f>balancesheet!E34/balancesheet!E$27</f>
        <v>0.1950058167994253</v>
      </c>
      <c r="H31" s="15">
        <f>balancesheet!F34/balancesheet!F$27</f>
        <v>0.18099559344639565</v>
      </c>
      <c r="I31" s="15">
        <f>balancesheet!G34/balancesheet!G$27</f>
        <v>0.16797271251775209</v>
      </c>
      <c r="J31" s="15">
        <f>balancesheet!H34/balancesheet!H$27</f>
        <v>0.18659873980811234</v>
      </c>
      <c r="K31" s="15">
        <f>balancesheet!I34/balancesheet!I$27</f>
        <v>0.16473645463635464</v>
      </c>
    </row>
    <row r="32" spans="1:11" x14ac:dyDescent="0.35">
      <c r="A32" s="7" t="s">
        <v>79</v>
      </c>
      <c r="D32" s="15">
        <f>balancesheet!B35/balancesheet!B$27</f>
        <v>5.8786293367094011E-2</v>
      </c>
      <c r="E32" s="15">
        <f>balancesheet!C35/balancesheet!C$27</f>
        <v>4.9433704866915021E-2</v>
      </c>
      <c r="F32" s="15">
        <f>balancesheet!D35/balancesheet!D$27</f>
        <v>5.2709478216531644E-2</v>
      </c>
      <c r="G32" s="15">
        <f>balancesheet!E35/balancesheet!E$27</f>
        <v>4.8784829278526155E-2</v>
      </c>
      <c r="H32" s="15">
        <f>balancesheet!F35/balancesheet!F$27</f>
        <v>4.9753520666344128E-2</v>
      </c>
      <c r="I32" s="15">
        <f>balancesheet!G35/balancesheet!G$27</f>
        <v>4.9674122540068977E-2</v>
      </c>
      <c r="J32" s="15">
        <f>balancesheet!H35/balancesheet!H$27</f>
        <v>4.5684814802108703E-2</v>
      </c>
      <c r="K32" s="15">
        <f>balancesheet!I35/balancesheet!I$27</f>
        <v>3.3826324868969006E-2</v>
      </c>
    </row>
    <row r="33" spans="1:11" x14ac:dyDescent="0.35">
      <c r="A33" s="7" t="s">
        <v>80</v>
      </c>
      <c r="D33" s="15">
        <f>balancesheet!B36/balancesheet!B$27</f>
        <v>2.4054484857267064E-2</v>
      </c>
      <c r="E33" s="15">
        <f>balancesheet!C36/balancesheet!C$27</f>
        <v>1.9203813778474039E-2</v>
      </c>
      <c r="F33" s="15">
        <f>balancesheet!D36/balancesheet!D$27</f>
        <v>2.0607897569542802E-2</v>
      </c>
      <c r="G33" s="15">
        <f>balancesheet!E36/balancesheet!E$27</f>
        <v>5.3196696820785365E-2</v>
      </c>
      <c r="H33" s="15">
        <f>balancesheet!F36/balancesheet!F$27</f>
        <v>4.9073577676948622E-2</v>
      </c>
      <c r="I33" s="15">
        <f>balancesheet!G36/balancesheet!G$27</f>
        <v>3.7773889227023738E-2</v>
      </c>
      <c r="J33" s="15">
        <f>balancesheet!H36/balancesheet!H$27</f>
        <v>4.1247841549738699E-2</v>
      </c>
      <c r="K33" s="15">
        <f>balancesheet!I36/balancesheet!I$27</f>
        <v>4.1133294509334242E-2</v>
      </c>
    </row>
    <row r="34" spans="1:11" x14ac:dyDescent="0.35">
      <c r="A34" s="7" t="s">
        <v>81</v>
      </c>
      <c r="D34" s="15">
        <f>balancesheet!B37/balancesheet!B$27</f>
        <v>0</v>
      </c>
      <c r="E34" s="15">
        <f>balancesheet!C37/balancesheet!C$27</f>
        <v>0</v>
      </c>
      <c r="F34" s="15">
        <f>balancesheet!D37/balancesheet!D$27</f>
        <v>0</v>
      </c>
      <c r="G34" s="15">
        <f>balancesheet!E37/balancesheet!E$27</f>
        <v>0</v>
      </c>
      <c r="H34" s="15">
        <f>balancesheet!F37/balancesheet!F$27</f>
        <v>0</v>
      </c>
      <c r="I34" s="15">
        <f>balancesheet!G37/balancesheet!G$27</f>
        <v>0</v>
      </c>
      <c r="J34" s="15">
        <f>balancesheet!H37/balancesheet!H$27</f>
        <v>0</v>
      </c>
      <c r="K34" s="15">
        <f>balancesheet!I37/balancesheet!I$27</f>
        <v>0</v>
      </c>
    </row>
    <row r="35" spans="1:11" x14ac:dyDescent="0.35">
      <c r="A35" s="7" t="s">
        <v>82</v>
      </c>
      <c r="D35" s="15">
        <f>balancesheet!B38/balancesheet!B$27</f>
        <v>7.8539342124329808E-2</v>
      </c>
      <c r="E35" s="15">
        <f>balancesheet!C38/balancesheet!C$27</f>
        <v>9.3695422416442423E-2</v>
      </c>
      <c r="F35" s="15">
        <f>balancesheet!D38/balancesheet!D$27</f>
        <v>8.2913149396634758E-2</v>
      </c>
      <c r="G35" s="15">
        <f>balancesheet!E38/balancesheet!E$27</f>
        <v>0.12643751231699332</v>
      </c>
      <c r="H35" s="15">
        <f>balancesheet!F38/balancesheet!F$27</f>
        <v>0.12534487492971744</v>
      </c>
      <c r="I35" s="15">
        <f>balancesheet!G38/balancesheet!G$27</f>
        <v>0.1395186650436194</v>
      </c>
      <c r="J35" s="15">
        <f>balancesheet!H38/balancesheet!H$27</f>
        <v>0.12169657049412787</v>
      </c>
      <c r="K35" s="15">
        <f>balancesheet!I38/balancesheet!I$27</f>
        <v>0.10515443527563208</v>
      </c>
    </row>
    <row r="36" spans="1:11" x14ac:dyDescent="0.35">
      <c r="A36" s="7" t="s">
        <v>83</v>
      </c>
      <c r="D36" s="15">
        <f>balancesheet!B39/balancesheet!B$27</f>
        <v>0.46802522899045906</v>
      </c>
      <c r="E36" s="15">
        <f>balancesheet!C39/balancesheet!C$27</f>
        <v>0.46668565560560971</v>
      </c>
      <c r="F36" s="15">
        <f>balancesheet!D39/balancesheet!D$27</f>
        <v>0.50131720582403261</v>
      </c>
      <c r="G36" s="15">
        <f>balancesheet!E39/balancesheet!E$27</f>
        <v>0.61755338423297712</v>
      </c>
      <c r="H36" s="15">
        <f>balancesheet!F39/balancesheet!F$27</f>
        <v>0.60934660093884441</v>
      </c>
      <c r="I36" s="15">
        <f>balancesheet!G39/balancesheet!G$27</f>
        <v>0.62295217082572529</v>
      </c>
      <c r="J36" s="15">
        <f>balancesheet!H39/balancesheet!H$27</f>
        <v>0.63819227646460142</v>
      </c>
      <c r="K36" s="15">
        <f>balancesheet!I39/balancesheet!I$27</f>
        <v>0.59332044083552171</v>
      </c>
    </row>
    <row r="37" spans="1:11" x14ac:dyDescent="0.35">
      <c r="A37" s="7" t="s">
        <v>84</v>
      </c>
      <c r="D37" s="15">
        <f>balancesheet!B40/balancesheet!B$27</f>
        <v>2.3795178425704895E-2</v>
      </c>
      <c r="E37" s="15">
        <f>balancesheet!C40/balancesheet!C$27</f>
        <v>2.3386377435144028E-2</v>
      </c>
      <c r="F37" s="15">
        <f>balancesheet!D40/balancesheet!D$27</f>
        <v>2.2095065435386096E-2</v>
      </c>
      <c r="G37" s="15">
        <f>balancesheet!E40/balancesheet!E$27</f>
        <v>1.9834332466640816E-2</v>
      </c>
      <c r="H37" s="15">
        <f>balancesheet!F40/balancesheet!F$27</f>
        <v>2.0398289681865137E-2</v>
      </c>
      <c r="I37" s="15">
        <f>balancesheet!G40/balancesheet!G$27</f>
        <v>1.978088861838101E-2</v>
      </c>
      <c r="J37" s="15">
        <f>balancesheet!H40/balancesheet!H$27</f>
        <v>1.7839376994064977E-2</v>
      </c>
      <c r="K37" s="15">
        <f>balancesheet!I40/balancesheet!I$27</f>
        <v>1.7141161863112441E-2</v>
      </c>
    </row>
    <row r="38" spans="1:11" x14ac:dyDescent="0.35">
      <c r="A38" s="7" t="s">
        <v>85</v>
      </c>
      <c r="D38" s="15">
        <f>balancesheet!B41/balancesheet!B$27</f>
        <v>0.74165452756656169</v>
      </c>
      <c r="E38" s="15">
        <f>balancesheet!C41/balancesheet!C$27</f>
        <v>0.77863894281580981</v>
      </c>
      <c r="F38" s="15">
        <f>balancesheet!D41/balancesheet!D$27</f>
        <v>0.78289473684210531</v>
      </c>
      <c r="G38" s="15">
        <f>balancesheet!E41/balancesheet!E$27</f>
        <v>0.64711416819768219</v>
      </c>
      <c r="H38" s="15">
        <f>balancesheet!F41/balancesheet!F$27</f>
        <v>0.69443100540031644</v>
      </c>
      <c r="I38" s="15">
        <f>balancesheet!G41/balancesheet!G$27</f>
        <v>0.7015812030837898</v>
      </c>
      <c r="J38" s="15">
        <f>balancesheet!H41/balancesheet!H$27</f>
        <v>0.6511944377737372</v>
      </c>
      <c r="K38" s="15">
        <f>balancesheet!I41/balancesheet!I$27</f>
        <v>0.67608698040853099</v>
      </c>
    </row>
    <row r="39" spans="1:11" x14ac:dyDescent="0.35">
      <c r="A39" s="7" t="s">
        <v>86</v>
      </c>
      <c r="D39" s="15">
        <f>balancesheet!B42/balancesheet!B$27</f>
        <v>-8.1773045859105081E-2</v>
      </c>
      <c r="E39" s="15">
        <f>balancesheet!C42/balancesheet!C$27</f>
        <v>-9.8680018888997162E-2</v>
      </c>
      <c r="F39" s="15">
        <f>balancesheet!D42/balancesheet!D$27</f>
        <v>-0.10552518270919495</v>
      </c>
      <c r="G39" s="15">
        <f>balancesheet!E42/balancesheet!E$27</f>
        <v>-8.3908126354869259E-2</v>
      </c>
      <c r="H39" s="15">
        <f>balancesheet!F42/balancesheet!F$27</f>
        <v>-9.9520117159407409E-2</v>
      </c>
      <c r="I39" s="15">
        <f>balancesheet!G42/balancesheet!G$27</f>
        <v>-0.10074939135727327</v>
      </c>
      <c r="J39" s="15">
        <f>balancesheet!H42/balancesheet!H$27</f>
        <v>-8.7149930815236656E-2</v>
      </c>
      <c r="K39" s="15">
        <f>balancesheet!I42/balancesheet!I$27</f>
        <v>-7.1740157566834051E-2</v>
      </c>
    </row>
    <row r="40" spans="1:11" x14ac:dyDescent="0.35">
      <c r="A40" s="7" t="s">
        <v>87</v>
      </c>
      <c r="D40" s="15">
        <f>balancesheet!B43/balancesheet!B$27</f>
        <v>0.15170188912362054</v>
      </c>
      <c r="E40" s="15">
        <f>balancesheet!C43/balancesheet!C$27</f>
        <v>0.1700309569675664</v>
      </c>
      <c r="F40" s="15">
        <f>balancesheet!D43/balancesheet!D$27</f>
        <v>0.20078182539232906</v>
      </c>
      <c r="G40" s="15">
        <f>balancesheet!E43/balancesheet!E$27</f>
        <v>0.20059375854243086</v>
      </c>
      <c r="H40" s="15">
        <f>balancesheet!F43/balancesheet!F$27</f>
        <v>0.22465577886161853</v>
      </c>
      <c r="I40" s="15">
        <f>balancesheet!G43/balancesheet!G$27</f>
        <v>0.24356487117062284</v>
      </c>
      <c r="J40" s="15">
        <f>balancesheet!H43/balancesheet!H$27</f>
        <v>0.22007616041716696</v>
      </c>
      <c r="K40" s="15">
        <f>balancesheet!I43/balancesheet!I$27</f>
        <v>0.21480842554033117</v>
      </c>
    </row>
    <row r="41" spans="1:11" x14ac:dyDescent="0.35">
      <c r="A41" s="7" t="s">
        <v>88</v>
      </c>
      <c r="D41" s="15">
        <f>balancesheet!B44/balancesheet!B$27</f>
        <v>-3.6630846788032245E-2</v>
      </c>
      <c r="E41" s="15">
        <f>balancesheet!C44/balancesheet!C$27</f>
        <v>-6.3225671046615348E-2</v>
      </c>
      <c r="F41" s="15">
        <f>balancesheet!D44/balancesheet!D$27</f>
        <v>-6.4068608010877576E-2</v>
      </c>
      <c r="G41" s="15">
        <f>balancesheet!E44/balancesheet!E$27</f>
        <v>-4.673146729560148E-2</v>
      </c>
      <c r="H41" s="15">
        <f>balancesheet!F44/balancesheet!F$27</f>
        <v>-5.7984753586045476E-2</v>
      </c>
      <c r="I41" s="15">
        <f>balancesheet!G44/balancesheet!G$27</f>
        <v>-5.5189947250963683E-2</v>
      </c>
      <c r="J41" s="15">
        <f>balancesheet!H44/balancesheet!H$27</f>
        <v>-5.110524088876691E-2</v>
      </c>
      <c r="K41" s="15">
        <f>balancesheet!I44/balancesheet!I$27</f>
        <v>-5.5033018712435031E-2</v>
      </c>
    </row>
    <row r="42" spans="1:11" x14ac:dyDescent="0.35">
      <c r="A42" s="7" t="s">
        <v>89</v>
      </c>
      <c r="D42" s="15">
        <f>balancesheet!B45/balancesheet!B$27</f>
        <v>3.6630846788032245E-2</v>
      </c>
      <c r="E42" s="15">
        <f>balancesheet!C45/balancesheet!C$27</f>
        <v>6.3225671046615348E-2</v>
      </c>
      <c r="F42" s="15">
        <f>balancesheet!D45/balancesheet!D$27</f>
        <v>6.4068608010877576E-2</v>
      </c>
      <c r="G42" s="15">
        <f>balancesheet!E45/balancesheet!E$27</f>
        <v>4.673146729560148E-2</v>
      </c>
      <c r="H42" s="15">
        <f>balancesheet!F45/balancesheet!F$27</f>
        <v>5.7984753586045476E-2</v>
      </c>
      <c r="I42" s="15">
        <f>balancesheet!G45/balancesheet!G$27</f>
        <v>5.5189947250963683E-2</v>
      </c>
      <c r="J42" s="15">
        <f>balancesheet!H45/balancesheet!H$27</f>
        <v>5.110524088876691E-2</v>
      </c>
      <c r="K42" s="15">
        <f>balancesheet!I45/balancesheet!I$27</f>
        <v>5.5033018712435031E-2</v>
      </c>
    </row>
    <row r="43" spans="1:11" x14ac:dyDescent="0.35">
      <c r="A43" s="7" t="s">
        <v>90</v>
      </c>
      <c r="D43" s="15">
        <f>balancesheet!B46/balancesheet!B$27</f>
        <v>0.53197477100954094</v>
      </c>
      <c r="E43" s="15">
        <f>balancesheet!C46/balancesheet!C$27</f>
        <v>0.53331434439439029</v>
      </c>
      <c r="F43" s="15">
        <f>balancesheet!D46/balancesheet!D$27</f>
        <v>0.49868279417596739</v>
      </c>
      <c r="G43" s="15">
        <f>balancesheet!E46/balancesheet!E$27</f>
        <v>0.38244661576702288</v>
      </c>
      <c r="H43" s="15">
        <f>balancesheet!F46/balancesheet!F$27</f>
        <v>0.39065339906115565</v>
      </c>
      <c r="I43" s="15">
        <f>balancesheet!G46/balancesheet!G$27</f>
        <v>0.37704782917427471</v>
      </c>
      <c r="J43" s="15">
        <f>balancesheet!H46/balancesheet!H$27</f>
        <v>0.36180772353539858</v>
      </c>
      <c r="K43" s="15">
        <f>balancesheet!I46/balancesheet!I$27</f>
        <v>0.40667955916447823</v>
      </c>
    </row>
    <row r="44" spans="1:11" x14ac:dyDescent="0.35">
      <c r="A44" s="7" t="s">
        <v>91</v>
      </c>
      <c r="D44" s="15">
        <f>balancesheet!B47/balancesheet!B$27</f>
        <v>1</v>
      </c>
      <c r="E44" s="15">
        <f>balancesheet!C47/balancesheet!C$27</f>
        <v>1</v>
      </c>
      <c r="F44" s="15">
        <f>balancesheet!D47/balancesheet!D$27</f>
        <v>1</v>
      </c>
      <c r="G44" s="15">
        <f>balancesheet!E47/balancesheet!E$27</f>
        <v>1</v>
      </c>
      <c r="H44" s="15">
        <f>balancesheet!F47/balancesheet!F$27</f>
        <v>1</v>
      </c>
      <c r="I44" s="15">
        <f>balancesheet!G47/balancesheet!G$27</f>
        <v>1</v>
      </c>
      <c r="J44" s="15">
        <f>balancesheet!H47/balancesheet!H$27</f>
        <v>1</v>
      </c>
      <c r="K44" s="15">
        <f>balancesheet!I47/balancesheet!I$27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5F1D-60E9-452D-A246-086BC376C09E}">
  <dimension ref="A3:L44"/>
  <sheetViews>
    <sheetView tabSelected="1" topLeftCell="A3" workbookViewId="0">
      <selection activeCell="E11" sqref="E11"/>
    </sheetView>
  </sheetViews>
  <sheetFormatPr defaultRowHeight="12.75" x14ac:dyDescent="0.35"/>
  <cols>
    <col min="1" max="1" width="34.86328125" customWidth="1"/>
    <col min="3" max="3" width="13.3984375" customWidth="1"/>
    <col min="4" max="4" width="14.86328125" customWidth="1"/>
    <col min="5" max="5" width="15.53125" customWidth="1"/>
    <col min="6" max="6" width="16.53125" customWidth="1"/>
    <col min="7" max="7" width="12.86328125" customWidth="1"/>
    <col min="8" max="8" width="11.73046875" customWidth="1"/>
    <col min="9" max="9" width="11.86328125" customWidth="1"/>
    <col min="10" max="10" width="14.06640625" customWidth="1"/>
    <col min="11" max="11" width="11.73046875" customWidth="1"/>
    <col min="12" max="12" width="12.1328125" customWidth="1"/>
  </cols>
  <sheetData>
    <row r="3" spans="1:12" ht="13.15" x14ac:dyDescent="0.35">
      <c r="A3" s="4" t="s">
        <v>55</v>
      </c>
    </row>
    <row r="4" spans="1:12" ht="13.15" x14ac:dyDescent="0.35">
      <c r="A4" s="5" t="s">
        <v>4</v>
      </c>
      <c r="C4" s="6" t="s">
        <v>14</v>
      </c>
      <c r="D4" s="6" t="s">
        <v>13</v>
      </c>
      <c r="E4" s="6" t="s">
        <v>12</v>
      </c>
      <c r="F4" s="6" t="s">
        <v>11</v>
      </c>
      <c r="G4" s="6" t="s">
        <v>10</v>
      </c>
      <c r="H4" s="6" t="s">
        <v>9</v>
      </c>
      <c r="I4" s="6" t="s">
        <v>8</v>
      </c>
      <c r="J4" s="6" t="s">
        <v>7</v>
      </c>
      <c r="K4" s="6" t="s">
        <v>6</v>
      </c>
      <c r="L4" s="6" t="s">
        <v>5</v>
      </c>
    </row>
    <row r="5" spans="1:12" ht="13.15" x14ac:dyDescent="0.35">
      <c r="A5" s="5" t="s">
        <v>15</v>
      </c>
      <c r="C5" s="15"/>
      <c r="D5" s="15"/>
    </row>
    <row r="6" spans="1:12" ht="13.15" x14ac:dyDescent="0.35">
      <c r="A6" s="5" t="s">
        <v>17</v>
      </c>
      <c r="C6" s="15"/>
      <c r="D6" s="15"/>
    </row>
    <row r="7" spans="1:12" ht="13.15" x14ac:dyDescent="0.35">
      <c r="A7" s="5" t="s">
        <v>19</v>
      </c>
      <c r="C7" s="15"/>
      <c r="D7" s="15"/>
    </row>
    <row r="8" spans="1:12" ht="13.15" x14ac:dyDescent="0.35">
      <c r="A8" s="5" t="s">
        <v>21</v>
      </c>
      <c r="C8" s="15"/>
      <c r="D8" s="15"/>
    </row>
    <row r="9" spans="1:12" x14ac:dyDescent="0.35">
      <c r="A9" s="7" t="s">
        <v>56</v>
      </c>
      <c r="C9" s="15">
        <f>balancesheet!B12/standardized!B$18</f>
        <v>0.19538281470718813</v>
      </c>
      <c r="D9" s="15">
        <f>balancesheet!C12/standardized!B$18</f>
        <v>0.18474122506087634</v>
      </c>
      <c r="E9" s="15">
        <f>balancesheet!D12/standardized!B$18</f>
        <v>0.25523671146627919</v>
      </c>
      <c r="F9" s="15">
        <f>balancesheet!E12/standardized!B$18</f>
        <v>0.23979228047517187</v>
      </c>
      <c r="G9" s="15">
        <f>balancesheet!F12/standardized!B$18</f>
        <v>0.24359957487454764</v>
      </c>
      <c r="H9" s="15">
        <f>balancesheet!G12/standardized!B$18</f>
        <v>0.23280999852013293</v>
      </c>
      <c r="I9" s="15">
        <f>balancesheet!H12/standardized!B$18</f>
        <v>0.18814491934724409</v>
      </c>
      <c r="J9" s="15">
        <f>balancesheet!I12/standardized!B$18</f>
        <v>0.19489849457157848</v>
      </c>
      <c r="K9" s="15">
        <f>balancesheet!J12/standardized!B$18</f>
        <v>0.19005529321548209</v>
      </c>
      <c r="L9" s="15">
        <f>balancesheet!K12/standardized!B$18</f>
        <v>0.29407649567475214</v>
      </c>
    </row>
    <row r="10" spans="1:12" x14ac:dyDescent="0.35">
      <c r="A10" s="7" t="s">
        <v>57</v>
      </c>
      <c r="C10" s="15">
        <f>balancesheet!B13/standardized!B$18</f>
        <v>0.24977465660357051</v>
      </c>
      <c r="D10" s="15">
        <f>balancesheet!C13/standardized!B$18</f>
        <v>0.33154403949899774</v>
      </c>
      <c r="E10" s="15">
        <f>balancesheet!D13/standardized!B$18</f>
        <v>0.30855228639464016</v>
      </c>
      <c r="F10" s="15">
        <f>balancesheet!E13/standardized!B$18</f>
        <v>6.3499751113263647E-3</v>
      </c>
      <c r="G10" s="15">
        <f>balancesheet!F13/standardized!B$18</f>
        <v>2.1256272618423E-2</v>
      </c>
      <c r="H10" s="15">
        <f>balancesheet!G13/standardized!B$18</f>
        <v>2.6664514132730625E-2</v>
      </c>
      <c r="I10" s="15">
        <f>balancesheet!H13/standardized!B$18</f>
        <v>0.15067737552299848</v>
      </c>
      <c r="J10" s="15">
        <f>balancesheet!I13/standardized!B$18</f>
        <v>0.23033458449368366</v>
      </c>
      <c r="K10" s="15">
        <f>balancesheet!J13/standardized!B$18</f>
        <v>0.12635374204571445</v>
      </c>
      <c r="L10" s="15">
        <f>balancesheet!K13/standardized!B$18</f>
        <v>1.4368164023085927E-2</v>
      </c>
    </row>
    <row r="11" spans="1:12" x14ac:dyDescent="0.35">
      <c r="A11" s="7" t="s">
        <v>58</v>
      </c>
      <c r="C11" s="15">
        <f>balancesheet!B14/standardized!B$18</f>
        <v>0.44515747131075861</v>
      </c>
      <c r="D11" s="15">
        <f>balancesheet!C14/standardized!B$18</f>
        <v>0.51628526455987411</v>
      </c>
      <c r="E11" s="15">
        <f>balancesheet!D14/standardized!B$18</f>
        <v>0.56378899786091941</v>
      </c>
      <c r="F11" s="15">
        <f>balancesheet!E14/standardized!B$18</f>
        <v>0.24614225558649824</v>
      </c>
      <c r="G11" s="15">
        <f>balancesheet!F14/standardized!B$18</f>
        <v>0.26485584749297064</v>
      </c>
      <c r="H11" s="15">
        <f>balancesheet!G14/standardized!B$18</f>
        <v>0.25947451265286353</v>
      </c>
      <c r="I11" s="15">
        <f>balancesheet!H14/standardized!B$18</f>
        <v>0.33882229487024257</v>
      </c>
      <c r="J11" s="15">
        <f>balancesheet!I14/standardized!B$18</f>
        <v>0.42523307906526214</v>
      </c>
      <c r="K11" s="15">
        <f>balancesheet!J14/standardized!B$18</f>
        <v>0.31640903526119651</v>
      </c>
      <c r="L11" s="15">
        <f>balancesheet!K14/standardized!B$18</f>
        <v>0.30844465969783808</v>
      </c>
    </row>
    <row r="12" spans="1:12" x14ac:dyDescent="0.35">
      <c r="A12" s="7" t="s">
        <v>59</v>
      </c>
      <c r="C12" s="15">
        <f>balancesheet!B15/standardized!B$18</f>
        <v>0.14778490804644093</v>
      </c>
      <c r="D12" s="15">
        <f>balancesheet!C15/standardized!B$18</f>
        <v>0.14440812043427373</v>
      </c>
      <c r="E12" s="15">
        <f>balancesheet!D15/standardized!B$18</f>
        <v>0.15739059073603207</v>
      </c>
      <c r="F12" s="15">
        <f>balancesheet!E15/standardized!B$18</f>
        <v>0.18148551748261157</v>
      </c>
      <c r="G12" s="15">
        <f>balancesheet!F15/standardized!B$18</f>
        <v>0.18966514643957433</v>
      </c>
      <c r="H12" s="15">
        <f>balancesheet!G15/standardized!B$18</f>
        <v>0.19481777454897686</v>
      </c>
      <c r="I12" s="15">
        <f>balancesheet!H15/standardized!B$18</f>
        <v>0.18264250447323457</v>
      </c>
      <c r="J12" s="15">
        <f>balancesheet!I15/standardized!B$18</f>
        <v>0.20560735090339158</v>
      </c>
      <c r="K12" s="15">
        <f>balancesheet!J15/standardized!B$18</f>
        <v>0.21740592754032637</v>
      </c>
      <c r="L12" s="15">
        <f>balancesheet!K15/standardized!B$18</f>
        <v>0.20009148269228183</v>
      </c>
    </row>
    <row r="13" spans="1:12" x14ac:dyDescent="0.35">
      <c r="A13" s="7" t="s">
        <v>60</v>
      </c>
      <c r="C13" s="15">
        <f>balancesheet!B16/standardized!B$18</f>
        <v>0.11010211082859103</v>
      </c>
      <c r="D13" s="15">
        <f>balancesheet!C16/standardized!B$18</f>
        <v>0.10833972366845596</v>
      </c>
      <c r="E13" s="15">
        <f>balancesheet!D16/standardized!B$18</f>
        <v>0.10956397734458033</v>
      </c>
      <c r="F13" s="15">
        <f>balancesheet!E16/standardized!B$18</f>
        <v>0.11791849968384657</v>
      </c>
      <c r="G13" s="15">
        <f>balancesheet!F16/standardized!B$18</f>
        <v>0.11568524572520214</v>
      </c>
      <c r="H13" s="15">
        <f>balancesheet!G16/standardized!B$18</f>
        <v>0.12134910064441484</v>
      </c>
      <c r="I13" s="15">
        <f>balancesheet!H16/standardized!B$18</f>
        <v>0.12570798186490159</v>
      </c>
      <c r="J13" s="15">
        <f>balancesheet!I16/standardized!B$18</f>
        <v>0.13973981246048081</v>
      </c>
      <c r="K13" s="15">
        <f>balancesheet!J16/standardized!B$18</f>
        <v>0.16793800702264197</v>
      </c>
      <c r="L13" s="15">
        <f>balancesheet!K16/standardized!B$18</f>
        <v>0.15042176211809338</v>
      </c>
    </row>
    <row r="14" spans="1:12" x14ac:dyDescent="0.35">
      <c r="A14" s="7" t="s">
        <v>61</v>
      </c>
      <c r="C14" s="15">
        <f>balancesheet!B17/standardized!B$18</f>
        <v>4.7988053436654965E-2</v>
      </c>
      <c r="D14" s="15" t="e">
        <f>balancesheet!C17/standardized!B$18</f>
        <v>#VALUE!</v>
      </c>
      <c r="E14" s="15" t="e">
        <f>balancesheet!D17/standardized!B$18</f>
        <v>#VALUE!</v>
      </c>
      <c r="F14" s="15" t="e">
        <f>balancesheet!E17/standardized!B$18</f>
        <v>#VALUE!</v>
      </c>
      <c r="G14" s="15" t="e">
        <f>balancesheet!F17/standardized!B$18</f>
        <v>#VALUE!</v>
      </c>
      <c r="H14" s="15" t="e">
        <f>balancesheet!G17/standardized!B$18</f>
        <v>#VALUE!</v>
      </c>
      <c r="I14" s="15" t="e">
        <f>balancesheet!H17/standardized!B$18</f>
        <v>#VALUE!</v>
      </c>
      <c r="J14" s="15" t="e">
        <f>balancesheet!I17/standardized!B$18</f>
        <v>#VALUE!</v>
      </c>
      <c r="K14" s="15" t="e">
        <f>balancesheet!J17/standardized!B$18</f>
        <v>#VALUE!</v>
      </c>
      <c r="L14" s="15" t="e">
        <f>balancesheet!K17/standardized!B$18</f>
        <v>#VALUE!</v>
      </c>
    </row>
    <row r="15" spans="1:12" x14ac:dyDescent="0.35">
      <c r="A15" s="7" t="s">
        <v>62</v>
      </c>
      <c r="C15" s="15" t="e">
        <f>balancesheet!B18/standardized!B$18</f>
        <v>#VALUE!</v>
      </c>
      <c r="D15" s="15" t="e">
        <f>balancesheet!C18/standardized!B$18</f>
        <v>#VALUE!</v>
      </c>
      <c r="E15" s="15" t="e">
        <f>balancesheet!D18/standardized!B$18</f>
        <v>#VALUE!</v>
      </c>
      <c r="F15" s="15" t="e">
        <f>balancesheet!E18/standardized!B$18</f>
        <v>#VALUE!</v>
      </c>
      <c r="G15" s="15">
        <f>balancesheet!F18/standardized!B$18</f>
        <v>1.2780670245254335E-2</v>
      </c>
      <c r="H15" s="15">
        <f>balancesheet!G18/standardized!B$18</f>
        <v>1.2646136874251658E-3</v>
      </c>
      <c r="I15" s="15" t="e">
        <f>balancesheet!H18/standardized!B$18</f>
        <v>#VALUE!</v>
      </c>
      <c r="J15" s="15" t="e">
        <f>balancesheet!I18/standardized!B$18</f>
        <v>#VALUE!</v>
      </c>
      <c r="K15" s="15" t="e">
        <f>balancesheet!J18/standardized!B$18</f>
        <v>#VALUE!</v>
      </c>
      <c r="L15" s="15" t="e">
        <f>balancesheet!K18/standardized!B$18</f>
        <v>#VALUE!</v>
      </c>
    </row>
    <row r="16" spans="1:12" x14ac:dyDescent="0.35">
      <c r="A16" s="7" t="s">
        <v>63</v>
      </c>
      <c r="C16" s="15">
        <f>balancesheet!B19/standardized!B$18</f>
        <v>4.6898333131533278E-2</v>
      </c>
      <c r="D16" s="15">
        <f>balancesheet!C19/standardized!B$18</f>
        <v>4.0992318144515746E-2</v>
      </c>
      <c r="E16" s="15">
        <f>balancesheet!D19/standardized!B$18</f>
        <v>4.4153852363078665E-2</v>
      </c>
      <c r="F16" s="15">
        <f>balancesheet!E19/standardized!B$18</f>
        <v>3.4131116223379207E-2</v>
      </c>
      <c r="G16" s="15">
        <f>balancesheet!F19/standardized!B$18</f>
        <v>3.6310556833622581E-2</v>
      </c>
      <c r="H16" s="15">
        <f>balancesheet!G19/standardized!B$18</f>
        <v>3.2180382343840387E-2</v>
      </c>
      <c r="I16" s="15">
        <f>balancesheet!H19/standardized!B$18</f>
        <v>4.2135851798038505E-2</v>
      </c>
      <c r="J16" s="15">
        <f>balancesheet!I19/standardized!B$18</f>
        <v>4.9790800608090838E-2</v>
      </c>
      <c r="K16" s="15">
        <f>balancesheet!J19/standardized!B$18</f>
        <v>4.2135851798038505E-2</v>
      </c>
      <c r="L16" s="15">
        <f>balancesheet!K19/standardized!B$18</f>
        <v>6.0728363670608493E-2</v>
      </c>
    </row>
    <row r="17" spans="1:12" x14ac:dyDescent="0.35">
      <c r="A17" s="7" t="s">
        <v>64</v>
      </c>
      <c r="C17" s="15">
        <f>balancesheet!B20/standardized!B$18</f>
        <v>0.79793087675397878</v>
      </c>
      <c r="D17" s="15">
        <f>balancesheet!C20/standardized!B$18</f>
        <v>0.81002542680711953</v>
      </c>
      <c r="E17" s="15">
        <f>balancesheet!D20/standardized!B$18</f>
        <v>0.87489741830461043</v>
      </c>
      <c r="F17" s="15">
        <f>balancesheet!E20/standardized!B$18</f>
        <v>0.57967738897633558</v>
      </c>
      <c r="G17" s="15">
        <f>balancesheet!F20/standardized!B$18</f>
        <v>0.619297466736624</v>
      </c>
      <c r="H17" s="15">
        <f>balancesheet!G20/standardized!B$18</f>
        <v>0.60908638387752079</v>
      </c>
      <c r="I17" s="15">
        <f>balancesheet!H20/standardized!B$18</f>
        <v>0.6893086330064172</v>
      </c>
      <c r="J17" s="15">
        <f>balancesheet!I20/standardized!B$18</f>
        <v>0.82037104303722541</v>
      </c>
      <c r="K17" s="15">
        <f>balancesheet!J20/standardized!B$18</f>
        <v>0.74388882162220338</v>
      </c>
      <c r="L17" s="15">
        <f>balancesheet!K20/standardized!B$18</f>
        <v>0.71968626817882175</v>
      </c>
    </row>
    <row r="18" spans="1:12" x14ac:dyDescent="0.35">
      <c r="A18" s="7" t="s">
        <v>65</v>
      </c>
      <c r="C18" s="15">
        <f>balancesheet!B21/standardized!B$18</f>
        <v>0.49353567152332134</v>
      </c>
      <c r="D18" s="15">
        <f>balancesheet!C21/standardized!B$18</f>
        <v>0.49303789805061143</v>
      </c>
      <c r="E18" s="15">
        <f>balancesheet!D21/standardized!B$18</f>
        <v>0.50817290228841261</v>
      </c>
      <c r="F18" s="15">
        <f>balancesheet!E21/standardized!B$18</f>
        <v>0.55785607619970135</v>
      </c>
      <c r="G18" s="15">
        <f>balancesheet!F21/standardized!B$18</f>
        <v>0.56303561098330446</v>
      </c>
      <c r="H18" s="15">
        <f>balancesheet!G21/standardized!B$18</f>
        <v>0.58296000322880093</v>
      </c>
      <c r="I18" s="15">
        <f>balancesheet!H21/standardized!B$18</f>
        <v>0.62966998964093046</v>
      </c>
      <c r="J18" s="15">
        <f>balancesheet!I21/standardized!B$18</f>
        <v>0.64144165960366473</v>
      </c>
      <c r="K18" s="15">
        <f>balancesheet!J21/standardized!B$18</f>
        <v>0.66261721219948611</v>
      </c>
      <c r="L18" s="15">
        <f>balancesheet!K21/standardized!B$18</f>
        <v>0.64274663330239068</v>
      </c>
    </row>
    <row r="19" spans="1:12" x14ac:dyDescent="0.35">
      <c r="A19" s="7" t="s">
        <v>66</v>
      </c>
      <c r="C19" s="15">
        <f>balancesheet!B22/standardized!B$18</f>
        <v>0.2765871574444041</v>
      </c>
      <c r="D19" s="15">
        <f>balancesheet!C22/standardized!B$18</f>
        <v>0.27906257147085334</v>
      </c>
      <c r="E19" s="15">
        <f>balancesheet!D22/standardized!B$18</f>
        <v>0.29410340234895266</v>
      </c>
      <c r="F19" s="15">
        <f>balancesheet!E22/standardized!B$18</f>
        <v>0.32908207880964874</v>
      </c>
      <c r="G19" s="15">
        <f>balancesheet!F22/standardized!B$18</f>
        <v>0.3338580134802438</v>
      </c>
      <c r="H19" s="15">
        <f>balancesheet!G22/standardized!B$18</f>
        <v>0.34540097671227349</v>
      </c>
      <c r="I19" s="15">
        <f>balancesheet!H22/standardized!B$18</f>
        <v>0.37720466561730637</v>
      </c>
      <c r="J19" s="15">
        <f>balancesheet!I22/standardized!B$18</f>
        <v>0.38633948150838815</v>
      </c>
      <c r="K19" s="15">
        <f>balancesheet!J22/standardized!B$18</f>
        <v>0.39620077760288441</v>
      </c>
      <c r="L19" s="15">
        <f>balancesheet!K22/standardized!B$18</f>
        <v>0.37505213168126356</v>
      </c>
    </row>
    <row r="20" spans="1:12" x14ac:dyDescent="0.35">
      <c r="A20" s="7" t="s">
        <v>67</v>
      </c>
      <c r="C20" s="15">
        <f>balancesheet!B23/standardized!B$18</f>
        <v>0.21694851407891727</v>
      </c>
      <c r="D20" s="15">
        <f>balancesheet!C23/standardized!B$18</f>
        <v>0.2139753265797581</v>
      </c>
      <c r="E20" s="15">
        <f>balancesheet!D23/standardized!B$18</f>
        <v>0.21406949993945998</v>
      </c>
      <c r="F20" s="15">
        <f>balancesheet!E23/standardized!B$18</f>
        <v>0.22877399739005261</v>
      </c>
      <c r="G20" s="15">
        <f>balancesheet!F23/standardized!B$18</f>
        <v>0.22917759750306063</v>
      </c>
      <c r="H20" s="15">
        <f>balancesheet!G23/standardized!B$18</f>
        <v>0.23755902651652744</v>
      </c>
      <c r="I20" s="15">
        <f>balancesheet!H23/standardized!B$18</f>
        <v>0.25246532402362404</v>
      </c>
      <c r="J20" s="15">
        <f>balancesheet!I23/standardized!B$18</f>
        <v>0.25510217809527652</v>
      </c>
      <c r="K20" s="15">
        <f>balancesheet!J23/standardized!B$18</f>
        <v>0.26641643459660169</v>
      </c>
      <c r="L20" s="15">
        <f>balancesheet!K23/standardized!B$18</f>
        <v>0.26769450162112712</v>
      </c>
    </row>
    <row r="21" spans="1:12" x14ac:dyDescent="0.35">
      <c r="A21" s="7" t="s">
        <v>68</v>
      </c>
      <c r="C21" s="15">
        <f>balancesheet!B24/standardized!B$18</f>
        <v>0.65993999811653281</v>
      </c>
      <c r="D21" s="15">
        <f>balancesheet!C24/standardized!B$18</f>
        <v>0.63759400519298814</v>
      </c>
      <c r="E21" s="15">
        <f>balancesheet!D24/standardized!B$18</f>
        <v>0.66837524047840069</v>
      </c>
      <c r="F21" s="15">
        <f>balancesheet!E24/standardized!B$18</f>
        <v>1.1453364006941922</v>
      </c>
      <c r="G21" s="15">
        <f>balancesheet!F24/standardized!B$18</f>
        <v>1.0502213073952995</v>
      </c>
      <c r="H21" s="15">
        <f>balancesheet!G24/standardized!B$18</f>
        <v>1.093514146183961</v>
      </c>
      <c r="I21" s="15">
        <f>balancesheet!H24/standardized!B$18</f>
        <v>1.2080424049185401</v>
      </c>
      <c r="J21" s="15">
        <f>balancesheet!I24/standardized!B$18</f>
        <v>1.0983035341916563</v>
      </c>
      <c r="K21" s="15">
        <f>balancesheet!J24/standardized!B$18</f>
        <v>1.258640405752647</v>
      </c>
      <c r="L21" s="15">
        <f>balancesheet!K24/standardized!B$18</f>
        <v>0.95159489311323675</v>
      </c>
    </row>
    <row r="22" spans="1:12" x14ac:dyDescent="0.35">
      <c r="A22" s="7" t="s">
        <v>69</v>
      </c>
      <c r="C22" s="15">
        <f>balancesheet!B25/standardized!B$18</f>
        <v>4.5687532792509179E-2</v>
      </c>
      <c r="D22" s="15">
        <f>balancesheet!C25/standardized!B$18</f>
        <v>7.3858820680469797E-2</v>
      </c>
      <c r="E22" s="15">
        <f>balancesheet!D25/standardized!B$18</f>
        <v>8.2711116492445946E-2</v>
      </c>
      <c r="F22" s="15">
        <f>balancesheet!E25/standardized!B$18</f>
        <v>9.5585960097402167E-2</v>
      </c>
      <c r="G22" s="15">
        <f>balancesheet!F25/standardized!B$18</f>
        <v>0.1027834954460454</v>
      </c>
      <c r="H22" s="15">
        <f>balancesheet!G25/standardized!B$18</f>
        <v>0.10519164278699332</v>
      </c>
      <c r="I22" s="15">
        <f>balancesheet!H25/standardized!B$18</f>
        <v>0.11481077881368473</v>
      </c>
      <c r="J22" s="15">
        <f>balancesheet!I25/standardized!B$18</f>
        <v>0.13753346517603693</v>
      </c>
      <c r="K22" s="15">
        <f>balancesheet!J25/standardized!B$18</f>
        <v>0.12273479436574242</v>
      </c>
      <c r="L22" s="15">
        <f>balancesheet!K25/standardized!B$18</f>
        <v>0.12483351495338418</v>
      </c>
    </row>
    <row r="23" spans="1:12" x14ac:dyDescent="0.35">
      <c r="A23" s="7" t="s">
        <v>70</v>
      </c>
      <c r="C23" s="15">
        <f>balancesheet!B26/standardized!B$18</f>
        <v>4.3481185508065276E-2</v>
      </c>
      <c r="D23" s="15">
        <f>balancesheet!C26/standardized!B$18</f>
        <v>5.9369576623481454E-2</v>
      </c>
      <c r="E23" s="15">
        <f>balancesheet!D26/standardized!B$18</f>
        <v>5.9665550039687341E-2</v>
      </c>
      <c r="F23" s="15">
        <f>balancesheet!E26/standardized!B$18</f>
        <v>6.687653872543084E-2</v>
      </c>
      <c r="G23" s="15">
        <f>balancesheet!F26/standardized!B$18</f>
        <v>5.6261855753319608E-2</v>
      </c>
      <c r="H23" s="15">
        <f>balancesheet!G26/standardized!B$18</f>
        <v>7.6616754786024671E-2</v>
      </c>
      <c r="I23" s="15">
        <f>balancesheet!H26/standardized!B$18</f>
        <v>8.8280798051956794E-2</v>
      </c>
      <c r="J23" s="15">
        <f>balancesheet!I26/standardized!B$18</f>
        <v>0.13743929181633505</v>
      </c>
      <c r="K23" s="15">
        <f>balancesheet!J26/standardized!B$18</f>
        <v>0.12917894283677067</v>
      </c>
      <c r="L23" s="15">
        <f>balancesheet!K26/standardized!B$18</f>
        <v>0.19040507998008907</v>
      </c>
    </row>
    <row r="24" spans="1:12" x14ac:dyDescent="0.35">
      <c r="A24" s="7" t="s">
        <v>71</v>
      </c>
      <c r="C24" s="15">
        <f>balancesheet!B27/standardized!B$18</f>
        <v>1.7639881072500034</v>
      </c>
      <c r="D24" s="15">
        <f>balancesheet!C27/standardized!B$18</f>
        <v>1.794823155883817</v>
      </c>
      <c r="E24" s="15">
        <f>balancesheet!D27/standardized!B$18</f>
        <v>1.8997188252546044</v>
      </c>
      <c r="F24" s="15">
        <f>balancesheet!E27/standardized!B$18</f>
        <v>2.1162502858834134</v>
      </c>
      <c r="G24" s="15">
        <f>balancesheet!F27/standardized!B$18</f>
        <v>2.0577417228343489</v>
      </c>
      <c r="H24" s="15">
        <f>balancesheet!G27/standardized!B$18</f>
        <v>2.1219679541510272</v>
      </c>
      <c r="I24" s="15">
        <f>balancesheet!H27/standardized!B$18</f>
        <v>2.3529079388142229</v>
      </c>
      <c r="J24" s="15">
        <f>balancesheet!I27/standardized!B$18</f>
        <v>2.4487495123165299</v>
      </c>
      <c r="K24" s="15">
        <f>balancesheet!J27/standardized!B$18</f>
        <v>2.5208593991739652</v>
      </c>
      <c r="L24" s="15">
        <f>balancesheet!K27/standardized!B$18</f>
        <v>2.2542142578466589</v>
      </c>
    </row>
    <row r="25" spans="1:12" x14ac:dyDescent="0.35">
      <c r="A25" s="7" t="s">
        <v>72</v>
      </c>
      <c r="C25" s="15">
        <f>balancesheet!B28/standardized!B$18</f>
        <v>0.28853372078944184</v>
      </c>
      <c r="D25" s="15">
        <f>balancesheet!C28/standardized!B$18</f>
        <v>0.27906257147085334</v>
      </c>
      <c r="E25" s="15">
        <f>balancesheet!D28/standardized!B$18</f>
        <v>0.29063244137708361</v>
      </c>
      <c r="F25" s="15">
        <f>balancesheet!E28/standardized!B$18</f>
        <v>0.35827582031722971</v>
      </c>
      <c r="G25" s="15">
        <f>balancesheet!F28/standardized!B$18</f>
        <v>0.38253218710901238</v>
      </c>
      <c r="H25" s="15">
        <f>balancesheet!G28/standardized!B$18</f>
        <v>0.46766490427950652</v>
      </c>
      <c r="I25" s="15">
        <f>balancesheet!H28/standardized!B$18</f>
        <v>0.53627692349087186</v>
      </c>
      <c r="J25" s="15">
        <f>balancesheet!I28/standardized!B$18</f>
        <v>0.55777535617709972</v>
      </c>
      <c r="K25" s="15">
        <f>balancesheet!J28/standardized!B$18</f>
        <v>0.57891054876162029</v>
      </c>
      <c r="L25" s="15">
        <f>balancesheet!K28/standardized!B$18</f>
        <v>0.57621988134156676</v>
      </c>
    </row>
    <row r="26" spans="1:12" x14ac:dyDescent="0.35">
      <c r="A26" s="7" t="s">
        <v>73</v>
      </c>
      <c r="C26" s="15">
        <f>balancesheet!B29/standardized!B$18</f>
        <v>0.10268932208634352</v>
      </c>
      <c r="D26" s="15">
        <f>balancesheet!C29/standardized!B$18</f>
        <v>8.9706851784585165E-2</v>
      </c>
      <c r="E26" s="15">
        <f>balancesheet!D29/standardized!B$18</f>
        <v>9.3070186059652102E-2</v>
      </c>
      <c r="F26" s="15">
        <f>balancesheet!E29/standardized!B$18</f>
        <v>9.8343894202957041E-2</v>
      </c>
      <c r="G26" s="15">
        <f>balancesheet!F29/standardized!B$18</f>
        <v>0.10139780172471782</v>
      </c>
      <c r="H26" s="15">
        <f>balancesheet!G29/standardized!B$18</f>
        <v>0.11494531218468741</v>
      </c>
      <c r="I26" s="15">
        <f>balancesheet!H29/standardized!B$18</f>
        <v>0.12787396913804469</v>
      </c>
      <c r="J26" s="15">
        <f>balancesheet!I29/standardized!B$18</f>
        <v>0.14872664164345967</v>
      </c>
      <c r="K26" s="15">
        <f>balancesheet!J29/standardized!B$18</f>
        <v>0.15744440408443314</v>
      </c>
      <c r="L26" s="15">
        <f>balancesheet!K29/standardized!B$18</f>
        <v>0.1295825429497787</v>
      </c>
    </row>
    <row r="27" spans="1:12" x14ac:dyDescent="0.35">
      <c r="A27" s="7" t="s">
        <v>74</v>
      </c>
      <c r="C27" s="15">
        <f>balancesheet!B30/standardized!B$18</f>
        <v>0.1858443987030983</v>
      </c>
      <c r="D27" s="15">
        <f>balancesheet!C30/standardized!B$18</f>
        <v>0.18935571968626819</v>
      </c>
      <c r="E27" s="15">
        <f>balancesheet!D30/standardized!B$18</f>
        <v>0.19756225531743149</v>
      </c>
      <c r="F27" s="15">
        <f>balancesheet!E30/standardized!B$18</f>
        <v>0.25993192611427263</v>
      </c>
      <c r="G27" s="15">
        <f>balancesheet!F30/standardized!B$18</f>
        <v>0.28113438538429458</v>
      </c>
      <c r="H27" s="15">
        <f>balancesheet!G30/standardized!B$18</f>
        <v>0.35271959209481912</v>
      </c>
      <c r="I27" s="15">
        <f>balancesheet!H30/standardized!B$18</f>
        <v>0.4084029543528272</v>
      </c>
      <c r="J27" s="15">
        <f>balancesheet!I30/standardized!B$18</f>
        <v>0.40904871453364006</v>
      </c>
      <c r="K27" s="15">
        <f>balancesheet!J30/standardized!B$18</f>
        <v>0.42146614467718718</v>
      </c>
      <c r="L27" s="15">
        <f>balancesheet!K30/standardized!B$18</f>
        <v>0.4466373383917881</v>
      </c>
    </row>
    <row r="28" spans="1:12" x14ac:dyDescent="0.35">
      <c r="A28" s="7" t="s">
        <v>75</v>
      </c>
      <c r="C28" s="15">
        <f>balancesheet!B31/standardized!B$18</f>
        <v>4.8943240370773973E-2</v>
      </c>
      <c r="D28" s="15">
        <f>balancesheet!C31/standardized!B$18</f>
        <v>9.4227173050275115E-2</v>
      </c>
      <c r="E28" s="15">
        <f>balancesheet!D31/standardized!B$18</f>
        <v>6.3015430977654011E-2</v>
      </c>
      <c r="F28" s="15">
        <f>balancesheet!E31/standardized!B$18</f>
        <v>5.2548734713645719E-2</v>
      </c>
      <c r="G28" s="15">
        <f>balancesheet!F31/standardized!B$18</f>
        <v>3.7615530532348548E-2</v>
      </c>
      <c r="H28" s="15">
        <f>balancesheet!G31/standardized!B$18</f>
        <v>1.6170911194521801E-2</v>
      </c>
      <c r="I28" s="15">
        <f>balancesheet!H31/standardized!B$18</f>
        <v>3.5395729910804377E-2</v>
      </c>
      <c r="J28" s="15">
        <f>balancesheet!I31/standardized!B$18</f>
        <v>5.0665267519608238E-2</v>
      </c>
      <c r="K28" s="15">
        <f>balancesheet!J31/standardized!B$18</f>
        <v>0.17181256810751908</v>
      </c>
      <c r="L28" s="15">
        <f>balancesheet!K31/standardized!B$18</f>
        <v>4.6427466333023908E-2</v>
      </c>
    </row>
    <row r="29" spans="1:12" x14ac:dyDescent="0.35">
      <c r="A29" s="7" t="s">
        <v>76</v>
      </c>
      <c r="C29" s="15">
        <f>balancesheet!B32/standardized!B$18</f>
        <v>0</v>
      </c>
      <c r="D29" s="15">
        <f>balancesheet!C32/standardized!B$18</f>
        <v>0</v>
      </c>
      <c r="E29" s="15">
        <f>balancesheet!D32/standardized!B$18</f>
        <v>0</v>
      </c>
      <c r="F29" s="15">
        <f>balancesheet!E32/standardized!B$18</f>
        <v>0</v>
      </c>
      <c r="G29" s="15">
        <f>balancesheet!F32/standardized!B$18</f>
        <v>0</v>
      </c>
      <c r="H29" s="15">
        <f>balancesheet!G32/standardized!B$18</f>
        <v>0</v>
      </c>
      <c r="I29" s="15">
        <f>balancesheet!H32/standardized!B$18</f>
        <v>0</v>
      </c>
      <c r="J29" s="15">
        <f>balancesheet!I32/standardized!B$18</f>
        <v>0</v>
      </c>
      <c r="K29" s="15">
        <f>balancesheet!J32/standardized!B$18</f>
        <v>0</v>
      </c>
      <c r="L29" s="15">
        <f>balancesheet!K32/standardized!B$18</f>
        <v>0</v>
      </c>
    </row>
    <row r="30" spans="1:12" x14ac:dyDescent="0.35">
      <c r="A30" s="7" t="s">
        <v>77</v>
      </c>
      <c r="C30" s="15">
        <f>balancesheet!B33/standardized!B$18</f>
        <v>0.3374769611602158</v>
      </c>
      <c r="D30" s="15">
        <f>balancesheet!C33/standardized!B$18</f>
        <v>0.37328974452112845</v>
      </c>
      <c r="E30" s="15">
        <f>balancesheet!D33/standardized!B$18</f>
        <v>0.3536478723547376</v>
      </c>
      <c r="F30" s="15">
        <f>balancesheet!E33/standardized!B$18</f>
        <v>0.41082455503087539</v>
      </c>
      <c r="G30" s="15">
        <f>balancesheet!F33/standardized!B$18</f>
        <v>0.42014771764136094</v>
      </c>
      <c r="H30" s="15">
        <f>balancesheet!G33/standardized!B$18</f>
        <v>0.48383581547402832</v>
      </c>
      <c r="I30" s="15">
        <f>balancesheet!H33/standardized!B$18</f>
        <v>0.57167265340167628</v>
      </c>
      <c r="J30" s="15">
        <f>balancesheet!I33/standardized!B$18</f>
        <v>0.60844062369670793</v>
      </c>
      <c r="K30" s="15">
        <f>balancesheet!J33/standardized!B$18</f>
        <v>0.7507231168691394</v>
      </c>
      <c r="L30" s="15">
        <f>balancesheet!K33/standardized!B$18</f>
        <v>0.62264734767459073</v>
      </c>
    </row>
    <row r="31" spans="1:12" x14ac:dyDescent="0.35">
      <c r="A31" s="7" t="s">
        <v>78</v>
      </c>
      <c r="C31" s="15">
        <f>balancesheet!B34/standardized!B$18</f>
        <v>0.20344136363024848</v>
      </c>
      <c r="D31" s="15">
        <f>balancesheet!C34/standardized!B$18</f>
        <v>0.1729695550981421</v>
      </c>
      <c r="E31" s="15">
        <f>balancesheet!D34/standardized!B$18</f>
        <v>0.3019197912042082</v>
      </c>
      <c r="F31" s="15">
        <f>balancesheet!E34/standardized!B$18</f>
        <v>0.41268111555071235</v>
      </c>
      <c r="G31" s="15">
        <f>balancesheet!F34/standardized!B$18</f>
        <v>0.37244218428381159</v>
      </c>
      <c r="H31" s="15">
        <f>balancesheet!G34/standardized!B$18</f>
        <v>0.35643271313449298</v>
      </c>
      <c r="I31" s="15">
        <f>balancesheet!H34/standardized!B$18</f>
        <v>0.43904965626723708</v>
      </c>
      <c r="J31" s="15">
        <f>balancesheet!I34/standardized!B$18</f>
        <v>0.40339831295152762</v>
      </c>
      <c r="K31" s="15">
        <f>balancesheet!J34/standardized!B$18</f>
        <v>0.36173332795199847</v>
      </c>
      <c r="L31" s="15">
        <f>balancesheet!K34/standardized!B$18</f>
        <v>0.34818581749202887</v>
      </c>
    </row>
    <row r="32" spans="1:12" x14ac:dyDescent="0.35">
      <c r="A32" s="7" t="s">
        <v>79</v>
      </c>
      <c r="C32" s="15">
        <f>balancesheet!B35/standardized!B$18</f>
        <v>0.1036983223688636</v>
      </c>
      <c r="D32" s="15">
        <f>balancesheet!C35/standardized!B$18</f>
        <v>8.8724758176265628E-2</v>
      </c>
      <c r="E32" s="15">
        <f>balancesheet!D35/standardized!B$18</f>
        <v>0.10013318803729265</v>
      </c>
      <c r="F32" s="15">
        <f>balancesheet!E35/standardized!B$18</f>
        <v>0.10324090890745449</v>
      </c>
      <c r="G32" s="15">
        <f>balancesheet!F35/standardized!B$18</f>
        <v>0.10237989533303736</v>
      </c>
      <c r="H32" s="15">
        <f>balancesheet!G35/standardized!B$18</f>
        <v>0.10540689618059759</v>
      </c>
      <c r="I32" s="15">
        <f>balancesheet!H35/standardized!B$18</f>
        <v>0.1074921634311391</v>
      </c>
      <c r="J32" s="15">
        <f>balancesheet!I35/standardized!B$18</f>
        <v>8.2832196526348364E-2</v>
      </c>
      <c r="K32" s="15">
        <f>balancesheet!J35/standardized!B$18</f>
        <v>5.9625190028386545E-2</v>
      </c>
      <c r="L32" s="15">
        <f>balancesheet!K35/standardized!B$18</f>
        <v>9.6177906929813942E-2</v>
      </c>
    </row>
    <row r="33" spans="1:12" x14ac:dyDescent="0.35">
      <c r="A33" s="7" t="s">
        <v>80</v>
      </c>
      <c r="C33" s="15">
        <f>balancesheet!B36/standardized!B$18</f>
        <v>4.2431825214244392E-2</v>
      </c>
      <c r="D33" s="15">
        <f>balancesheet!C36/standardized!B$18</f>
        <v>3.4467449650885905E-2</v>
      </c>
      <c r="E33" s="15">
        <f>balancesheet!D36/standardized!B$18</f>
        <v>3.914921096177907E-2</v>
      </c>
      <c r="F33" s="15">
        <f>balancesheet!E36/standardized!B$18</f>
        <v>0.11257752485504029</v>
      </c>
      <c r="G33" s="15">
        <f>balancesheet!F36/standardized!B$18</f>
        <v>0.10098074827460951</v>
      </c>
      <c r="H33" s="15">
        <f>balancesheet!G36/standardized!B$18</f>
        <v>8.0154982443395084E-2</v>
      </c>
      <c r="I33" s="15">
        <f>balancesheet!H36/standardized!B$18</f>
        <v>9.7052373841331349E-2</v>
      </c>
      <c r="J33" s="15">
        <f>balancesheet!I36/standardized!B$18</f>
        <v>0.10072513486970443</v>
      </c>
      <c r="K33" s="15">
        <f>balancesheet!J36/standardized!B$18</f>
        <v>8.5751570677106453E-2</v>
      </c>
      <c r="L33" s="15">
        <f>balancesheet!K36/standardized!B$18</f>
        <v>4.2956505361154834E-2</v>
      </c>
    </row>
    <row r="34" spans="1:12" x14ac:dyDescent="0.35">
      <c r="A34" s="7" t="s">
        <v>81</v>
      </c>
      <c r="C34" s="15">
        <f>balancesheet!B37/standardized!B$18</f>
        <v>0</v>
      </c>
      <c r="D34" s="15">
        <f>balancesheet!C37/standardized!B$18</f>
        <v>0</v>
      </c>
      <c r="E34" s="15">
        <f>balancesheet!D37/standardized!B$18</f>
        <v>0</v>
      </c>
      <c r="F34" s="15">
        <f>balancesheet!E37/standardized!B$18</f>
        <v>0</v>
      </c>
      <c r="G34" s="15">
        <f>balancesheet!F37/standardized!B$18</f>
        <v>0</v>
      </c>
      <c r="H34" s="15">
        <f>balancesheet!G37/standardized!B$18</f>
        <v>0</v>
      </c>
      <c r="I34" s="15">
        <f>balancesheet!H37/standardized!B$18</f>
        <v>0</v>
      </c>
      <c r="J34" s="15">
        <f>balancesheet!I37/standardized!B$18</f>
        <v>0</v>
      </c>
      <c r="K34" s="15">
        <f>balancesheet!J37/standardized!B$18</f>
        <v>0</v>
      </c>
      <c r="L34" s="15">
        <f>balancesheet!K37/standardized!B$18</f>
        <v>0</v>
      </c>
    </row>
    <row r="35" spans="1:12" x14ac:dyDescent="0.35">
      <c r="A35" s="7" t="s">
        <v>82</v>
      </c>
      <c r="C35" s="15">
        <f>balancesheet!B38/standardized!B$18</f>
        <v>0.138542465458557</v>
      </c>
      <c r="D35" s="15">
        <f>balancesheet!C38/standardized!B$18</f>
        <v>0.16816671375334652</v>
      </c>
      <c r="E35" s="15">
        <f>balancesheet!D38/standardized!B$18</f>
        <v>0.15751167076993447</v>
      </c>
      <c r="F35" s="15">
        <f>balancesheet!E38/standardized!B$18</f>
        <v>0.26757342158722469</v>
      </c>
      <c r="G35" s="15">
        <f>balancesheet!F38/standardized!B$18</f>
        <v>0.25792737888633277</v>
      </c>
      <c r="H35" s="15">
        <f>balancesheet!G38/standardized!B$18</f>
        <v>0.29605413622849147</v>
      </c>
      <c r="I35" s="15">
        <f>balancesheet!H38/standardized!B$18</f>
        <v>0.28634082684209816</v>
      </c>
      <c r="J35" s="15">
        <f>balancesheet!I38/standardized!B$18</f>
        <v>0.2574968720991242</v>
      </c>
      <c r="K35" s="15">
        <f>balancesheet!J38/standardized!B$18</f>
        <v>0.22975609099837216</v>
      </c>
      <c r="L35" s="15">
        <f>balancesheet!K38/standardized!B$18</f>
        <v>0.21900687465525823</v>
      </c>
    </row>
    <row r="36" spans="1:12" x14ac:dyDescent="0.35">
      <c r="A36" s="7" t="s">
        <v>83</v>
      </c>
      <c r="C36" s="15">
        <f>balancesheet!B39/standardized!B$18</f>
        <v>0.82559093783212922</v>
      </c>
      <c r="D36" s="15">
        <f>balancesheet!C39/standardized!B$18</f>
        <v>0.83761822119976859</v>
      </c>
      <c r="E36" s="15">
        <f>balancesheet!D39/standardized!B$18</f>
        <v>0.95236173332795204</v>
      </c>
      <c r="F36" s="15">
        <f>balancesheet!E39/standardized!B$18</f>
        <v>1.3068975259313074</v>
      </c>
      <c r="G36" s="15">
        <f>balancesheet!F39/standardized!B$18</f>
        <v>1.2538779244191522</v>
      </c>
      <c r="H36" s="15">
        <f>balancesheet!G39/standardized!B$18</f>
        <v>1.3218845434610056</v>
      </c>
      <c r="I36" s="15">
        <f>balancesheet!H39/standardized!B$18</f>
        <v>1.501607673783482</v>
      </c>
      <c r="J36" s="15">
        <f>balancesheet!I39/standardized!B$18</f>
        <v>1.4528931401434126</v>
      </c>
      <c r="K36" s="15">
        <f>balancesheet!J39/standardized!B$18</f>
        <v>1.487589296525003</v>
      </c>
      <c r="L36" s="15">
        <f>balancesheet!K39/standardized!B$18</f>
        <v>1.3289744521128466</v>
      </c>
    </row>
    <row r="37" spans="1:12" x14ac:dyDescent="0.35">
      <c r="A37" s="7" t="s">
        <v>84</v>
      </c>
      <c r="C37" s="15">
        <f>balancesheet!B40/standardized!B$18</f>
        <v>4.197441175283529E-2</v>
      </c>
      <c r="D37" s="15">
        <f>balancesheet!C40/standardized!B$18</f>
        <v>4.197441175283529E-2</v>
      </c>
      <c r="E37" s="15">
        <f>balancesheet!D40/standardized!B$18</f>
        <v>4.197441175283529E-2</v>
      </c>
      <c r="F37" s="15">
        <f>balancesheet!E40/standardized!B$18</f>
        <v>4.197441175283529E-2</v>
      </c>
      <c r="G37" s="15">
        <f>balancesheet!F40/standardized!B$18</f>
        <v>4.197441175283529E-2</v>
      </c>
      <c r="H37" s="15">
        <f>balancesheet!G40/standardized!B$18</f>
        <v>4.197441175283529E-2</v>
      </c>
      <c r="I37" s="15">
        <f>balancesheet!H40/standardized!B$18</f>
        <v>4.197441175283529E-2</v>
      </c>
      <c r="J37" s="15">
        <f>balancesheet!I40/standardized!B$18</f>
        <v>4.197441175283529E-2</v>
      </c>
      <c r="K37" s="15">
        <f>balancesheet!J40/standardized!B$18</f>
        <v>4.197441175283529E-2</v>
      </c>
      <c r="L37" s="15">
        <f>balancesheet!K40/standardized!B$18</f>
        <v>4.197441175283529E-2</v>
      </c>
    </row>
    <row r="38" spans="1:12" x14ac:dyDescent="0.35">
      <c r="A38" s="7" t="s">
        <v>85</v>
      </c>
      <c r="C38" s="15">
        <f>balancesheet!B41/standardized!B$18</f>
        <v>1.3082697663155345</v>
      </c>
      <c r="D38" s="15">
        <f>balancesheet!C41/standardized!B$18</f>
        <v>1.3975192046387106</v>
      </c>
      <c r="E38" s="15">
        <f>balancesheet!D41/standardized!B$18</f>
        <v>1.4872798697716969</v>
      </c>
      <c r="F38" s="15">
        <f>balancesheet!E41/standardized!B$18</f>
        <v>1.3694555434475522</v>
      </c>
      <c r="G38" s="15">
        <f>balancesheet!F41/standardized!B$18</f>
        <v>1.4289596534420363</v>
      </c>
      <c r="H38" s="15">
        <f>balancesheet!G41/standardized!B$18</f>
        <v>1.4887328301785259</v>
      </c>
      <c r="I38" s="15">
        <f>balancesheet!H41/standardized!B$18</f>
        <v>1.5322005623494908</v>
      </c>
      <c r="J38" s="15">
        <f>balancesheet!I41/standardized!B$18</f>
        <v>1.6555676635589458</v>
      </c>
      <c r="K38" s="15">
        <f>balancesheet!J41/standardized!B$18</f>
        <v>1.7266685501338608</v>
      </c>
      <c r="L38" s="15">
        <f>balancesheet!K41/standardized!B$18</f>
        <v>2.0697017395164869</v>
      </c>
    </row>
    <row r="39" spans="1:12" x14ac:dyDescent="0.35">
      <c r="A39" s="7" t="s">
        <v>86</v>
      </c>
      <c r="C39" s="15">
        <f>balancesheet!B42/standardized!B$18</f>
        <v>-0.14424668038907051</v>
      </c>
      <c r="D39" s="15">
        <f>balancesheet!C42/standardized!B$18</f>
        <v>-0.17711318292502456</v>
      </c>
      <c r="E39" s="15">
        <f>balancesheet!D42/standardized!B$18</f>
        <v>-0.2004681761310893</v>
      </c>
      <c r="F39" s="15">
        <f>balancesheet!E42/standardized!B$18</f>
        <v>-0.17757059638643366</v>
      </c>
      <c r="G39" s="15">
        <f>balancesheet!F42/standardized!B$18</f>
        <v>-0.20478669734027524</v>
      </c>
      <c r="H39" s="15">
        <f>balancesheet!G42/standardized!B$18</f>
        <v>-0.21378697986035436</v>
      </c>
      <c r="I39" s="15">
        <f>balancesheet!H42/standardized!B$18</f>
        <v>-0.2050557640822806</v>
      </c>
      <c r="J39" s="15">
        <f>balancesheet!I42/standardized!B$18</f>
        <v>-0.17567367585529592</v>
      </c>
      <c r="K39" s="15">
        <f>balancesheet!J42/standardized!B$18</f>
        <v>-0.17444942217917153</v>
      </c>
      <c r="L39" s="15">
        <f>balancesheet!K42/standardized!B$18</f>
        <v>-0.16852995385505373</v>
      </c>
    </row>
    <row r="40" spans="1:12" x14ac:dyDescent="0.35">
      <c r="A40" s="7" t="s">
        <v>87</v>
      </c>
      <c r="C40" s="15">
        <f>balancesheet!B43/standardized!B$18</f>
        <v>0.26760032826142527</v>
      </c>
      <c r="D40" s="15">
        <f>balancesheet!C43/standardized!B$18</f>
        <v>0.30517549878247296</v>
      </c>
      <c r="E40" s="15">
        <f>balancesheet!D43/standardized!B$18</f>
        <v>0.38142901346679042</v>
      </c>
      <c r="F40" s="15">
        <f>balancesheet!E43/standardized!B$18</f>
        <v>0.42450659886184766</v>
      </c>
      <c r="G40" s="15">
        <f>balancesheet!F43/standardized!B$18</f>
        <v>0.46228356943939947</v>
      </c>
      <c r="H40" s="15">
        <f>balancesheet!G43/standardized!B$18</f>
        <v>0.51683685138098501</v>
      </c>
      <c r="I40" s="15">
        <f>balancesheet!H43/standardized!B$18</f>
        <v>0.51781894498930459</v>
      </c>
      <c r="J40" s="15">
        <f>balancesheet!I43/standardized!B$18</f>
        <v>0.5260120272833676</v>
      </c>
      <c r="K40" s="15">
        <f>balancesheet!J43/standardized!B$18</f>
        <v>0.5609234370585624</v>
      </c>
      <c r="L40" s="15">
        <f>balancesheet!K43/standardized!B$18</f>
        <v>1.0179063916804563</v>
      </c>
    </row>
    <row r="41" spans="1:12" x14ac:dyDescent="0.35">
      <c r="A41" s="7" t="s">
        <v>88</v>
      </c>
      <c r="C41" s="15">
        <f>balancesheet!B44/standardized!B$18</f>
        <v>-6.4616378092585872E-2</v>
      </c>
      <c r="D41" s="15">
        <f>balancesheet!C44/standardized!B$18</f>
        <v>-0.11347889844075823</v>
      </c>
      <c r="E41" s="15">
        <f>balancesheet!D44/standardized!B$18</f>
        <v>-0.12171234074612207</v>
      </c>
      <c r="F41" s="15">
        <f>balancesheet!E44/standardized!B$18</f>
        <v>-9.8895481024068019E-2</v>
      </c>
      <c r="G41" s="15">
        <f>balancesheet!F44/standardized!B$18</f>
        <v>-0.11931764674227442</v>
      </c>
      <c r="H41" s="15">
        <f>balancesheet!G44/standardized!B$18</f>
        <v>-0.11711129945783051</v>
      </c>
      <c r="I41" s="15">
        <f>balancesheet!H44/standardized!B$18</f>
        <v>-0.12024592700219289</v>
      </c>
      <c r="J41" s="15">
        <f>balancesheet!I44/standardized!B$18</f>
        <v>-0.13476207773338175</v>
      </c>
      <c r="K41" s="15">
        <f>balancesheet!J44/standardized!B$18</f>
        <v>-0.15892427116546259</v>
      </c>
      <c r="L41" s="15">
        <f>balancesheet!K44/standardized!B$18</f>
        <v>-0.13653791823061712</v>
      </c>
    </row>
    <row r="42" spans="1:12" x14ac:dyDescent="0.35">
      <c r="A42" s="7" t="s">
        <v>89</v>
      </c>
      <c r="C42" s="15">
        <f>balancesheet!B45/standardized!B$18</f>
        <v>6.4616378092585872E-2</v>
      </c>
      <c r="D42" s="15">
        <f>balancesheet!C45/standardized!B$18</f>
        <v>0.11347889844075823</v>
      </c>
      <c r="E42" s="15">
        <f>balancesheet!D45/standardized!B$18</f>
        <v>0.12171234074612207</v>
      </c>
      <c r="F42" s="15">
        <f>balancesheet!E45/standardized!B$18</f>
        <v>9.8895481024068019E-2</v>
      </c>
      <c r="G42" s="15">
        <f>balancesheet!F45/standardized!B$18</f>
        <v>0.11931764674227442</v>
      </c>
      <c r="H42" s="15">
        <f>balancesheet!G45/standardized!B$18</f>
        <v>0.11711129945783051</v>
      </c>
      <c r="I42" s="15">
        <f>balancesheet!H45/standardized!B$18</f>
        <v>0.12024592700219289</v>
      </c>
      <c r="J42" s="15">
        <f>balancesheet!I45/standardized!B$18</f>
        <v>0.13476207773338175</v>
      </c>
      <c r="K42" s="15">
        <f>balancesheet!J45/standardized!B$18</f>
        <v>0.15892427116546259</v>
      </c>
      <c r="L42" s="15">
        <f>balancesheet!K45/standardized!B$18</f>
        <v>0.13653791823061712</v>
      </c>
    </row>
    <row r="43" spans="1:12" x14ac:dyDescent="0.35">
      <c r="A43" s="7" t="s">
        <v>90</v>
      </c>
      <c r="C43" s="15">
        <f>balancesheet!B46/standardized!B$18</f>
        <v>0.9383971694178741</v>
      </c>
      <c r="D43" s="15">
        <f>balancesheet!C46/standardized!B$18</f>
        <v>0.95720493468404833</v>
      </c>
      <c r="E43" s="15">
        <f>balancesheet!D46/standardized!B$18</f>
        <v>0.94735709192665241</v>
      </c>
      <c r="F43" s="15">
        <f>balancesheet!E46/standardized!B$18</f>
        <v>0.80935275995210609</v>
      </c>
      <c r="G43" s="15">
        <f>balancesheet!F46/standardized!B$18</f>
        <v>0.80386379841519684</v>
      </c>
      <c r="H43" s="15">
        <f>balancesheet!G46/standardized!B$18</f>
        <v>0.80008341069002165</v>
      </c>
      <c r="I43" s="15">
        <f>balancesheet!H46/standardized!B$18</f>
        <v>0.85130026503074085</v>
      </c>
      <c r="J43" s="15">
        <f>balancesheet!I46/standardized!B$18</f>
        <v>0.99585637217311751</v>
      </c>
      <c r="K43" s="15">
        <f>balancesheet!J46/standardized!B$18</f>
        <v>1.0332701026489621</v>
      </c>
      <c r="L43" s="15">
        <f>balancesheet!K46/standardized!B$18</f>
        <v>0.92523980573381226</v>
      </c>
    </row>
    <row r="44" spans="1:12" x14ac:dyDescent="0.35">
      <c r="A44" s="7" t="s">
        <v>91</v>
      </c>
      <c r="C44" s="15">
        <f>balancesheet!B47/standardized!B$18</f>
        <v>1.7639881072500034</v>
      </c>
      <c r="D44" s="15">
        <f>balancesheet!C47/standardized!B$18</f>
        <v>1.794823155883817</v>
      </c>
      <c r="E44" s="15">
        <f>balancesheet!D47/standardized!B$18</f>
        <v>1.8997188252546044</v>
      </c>
      <c r="F44" s="15">
        <f>balancesheet!E47/standardized!B$18</f>
        <v>2.1162502858834134</v>
      </c>
      <c r="G44" s="15">
        <f>balancesheet!F47/standardized!F$18</f>
        <v>1.8748728257805125</v>
      </c>
      <c r="H44" s="15">
        <f>balancesheet!G47/standardized!B$18</f>
        <v>2.1219679541510272</v>
      </c>
      <c r="I44" s="15">
        <f>balancesheet!H47/standardized!B$18</f>
        <v>2.3529079388142229</v>
      </c>
      <c r="J44" s="15">
        <f>balancesheet!I47/standardized!B$18</f>
        <v>2.4487495123165299</v>
      </c>
      <c r="K44" s="15">
        <f>balancesheet!J47/standardized!B$18</f>
        <v>2.5208593991739652</v>
      </c>
      <c r="L44" s="15">
        <f>balancesheet!K47/standardized!B$18</f>
        <v>2.2542142578466589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standardized</vt:lpstr>
      <vt:lpstr>Sheet1</vt:lpstr>
      <vt:lpstr>balancesheet</vt:lpstr>
      <vt:lpstr>Sheet3</vt:lpstr>
      <vt:lpstr>Sheet4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Thasin Wahid</cp:lastModifiedBy>
  <dcterms:created xsi:type="dcterms:W3CDTF">2025-01-14T19:18:43Z</dcterms:created>
  <dcterms:modified xsi:type="dcterms:W3CDTF">2025-01-19T16:35:39Z</dcterms:modified>
  <cp:category/>
</cp:coreProperties>
</file>