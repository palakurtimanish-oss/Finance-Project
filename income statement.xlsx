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\Desktop\"/>
    </mc:Choice>
  </mc:AlternateContent>
  <xr:revisionPtr revIDLastSave="0" documentId="13_ncr:1_{FCF36EB8-B5BF-4332-A0F4-59C2346A6762}" xr6:coauthVersionLast="47" xr6:coauthVersionMax="47" xr10:uidLastSave="{00000000-0000-0000-0000-000000000000}"/>
  <bookViews>
    <workbookView xWindow="0" yWindow="0" windowWidth="10245" windowHeight="10920" activeTab="1" xr2:uid="{00000000-000D-0000-FFFF-FFFF00000000}"/>
  </bookViews>
  <sheets>
    <sheet name="standardized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B6" i="2"/>
  <c r="D7" i="2" l="1"/>
  <c r="E7" i="2"/>
  <c r="F7" i="2"/>
  <c r="G7" i="2"/>
  <c r="H7" i="2"/>
  <c r="I7" i="2"/>
  <c r="J7" i="2"/>
  <c r="K7" i="2"/>
  <c r="C7" i="2"/>
  <c r="B7" i="2"/>
  <c r="B8" i="2"/>
  <c r="G6" i="2"/>
  <c r="H6" i="2"/>
  <c r="I6" i="2"/>
  <c r="J6" i="2"/>
  <c r="K6" i="2"/>
  <c r="C2" i="3"/>
  <c r="D2" i="3"/>
  <c r="E2" i="3"/>
  <c r="F2" i="3"/>
  <c r="G2" i="3"/>
  <c r="H2" i="3"/>
  <c r="I2" i="3"/>
  <c r="J2" i="3"/>
  <c r="K2" i="3"/>
  <c r="B2" i="3"/>
  <c r="C5" i="3"/>
  <c r="D5" i="3"/>
  <c r="E5" i="3"/>
  <c r="F5" i="3"/>
  <c r="G5" i="3"/>
  <c r="H5" i="3"/>
  <c r="I5" i="3"/>
  <c r="J5" i="3"/>
  <c r="K5" i="3"/>
  <c r="C6" i="3"/>
  <c r="D6" i="3"/>
  <c r="E6" i="3"/>
  <c r="F6" i="3"/>
  <c r="G6" i="3"/>
  <c r="H6" i="3"/>
  <c r="I6" i="3"/>
  <c r="J6" i="3"/>
  <c r="K6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C13" i="3"/>
  <c r="D13" i="3"/>
  <c r="E13" i="3"/>
  <c r="F13" i="3"/>
  <c r="G13" i="3"/>
  <c r="H13" i="3"/>
  <c r="I13" i="3"/>
  <c r="J13" i="3"/>
  <c r="K13" i="3"/>
  <c r="C14" i="3"/>
  <c r="D14" i="3"/>
  <c r="E14" i="3"/>
  <c r="F14" i="3"/>
  <c r="G14" i="3"/>
  <c r="H14" i="3"/>
  <c r="I14" i="3"/>
  <c r="J14" i="3"/>
  <c r="K14" i="3"/>
  <c r="C15" i="3"/>
  <c r="D15" i="3"/>
  <c r="E15" i="3"/>
  <c r="F15" i="3"/>
  <c r="G15" i="3"/>
  <c r="H15" i="3"/>
  <c r="I15" i="3"/>
  <c r="J15" i="3"/>
  <c r="K15" i="3"/>
  <c r="C16" i="3"/>
  <c r="D16" i="3"/>
  <c r="E16" i="3"/>
  <c r="F16" i="3"/>
  <c r="G16" i="3"/>
  <c r="H16" i="3"/>
  <c r="I16" i="3"/>
  <c r="J16" i="3"/>
  <c r="K16" i="3"/>
  <c r="C17" i="3"/>
  <c r="D17" i="3"/>
  <c r="E17" i="3"/>
  <c r="F17" i="3"/>
  <c r="G17" i="3"/>
  <c r="H17" i="3"/>
  <c r="I17" i="3"/>
  <c r="J17" i="3"/>
  <c r="K17" i="3"/>
  <c r="C18" i="3"/>
  <c r="D18" i="3"/>
  <c r="E18" i="3"/>
  <c r="F18" i="3"/>
  <c r="G18" i="3"/>
  <c r="H18" i="3"/>
  <c r="I18" i="3"/>
  <c r="J18" i="3"/>
  <c r="K18" i="3"/>
  <c r="C19" i="3"/>
  <c r="D19" i="3"/>
  <c r="E19" i="3"/>
  <c r="F19" i="3"/>
  <c r="G19" i="3"/>
  <c r="H19" i="3"/>
  <c r="I19" i="3"/>
  <c r="J19" i="3"/>
  <c r="K19" i="3"/>
  <c r="C20" i="3"/>
  <c r="D20" i="3"/>
  <c r="E20" i="3"/>
  <c r="F20" i="3"/>
  <c r="G20" i="3"/>
  <c r="H20" i="3"/>
  <c r="I20" i="3"/>
  <c r="J20" i="3"/>
  <c r="K20" i="3"/>
  <c r="C21" i="3"/>
  <c r="D21" i="3"/>
  <c r="E21" i="3"/>
  <c r="F21" i="3"/>
  <c r="G21" i="3"/>
  <c r="H21" i="3"/>
  <c r="I21" i="3"/>
  <c r="J21" i="3"/>
  <c r="K21" i="3"/>
  <c r="C22" i="3"/>
  <c r="D22" i="3"/>
  <c r="E22" i="3"/>
  <c r="F22" i="3"/>
  <c r="G22" i="3"/>
  <c r="H22" i="3"/>
  <c r="I22" i="3"/>
  <c r="J22" i="3"/>
  <c r="K22" i="3"/>
  <c r="C23" i="3"/>
  <c r="D23" i="3"/>
  <c r="E23" i="3"/>
  <c r="F23" i="3"/>
  <c r="G23" i="3"/>
  <c r="H23" i="3"/>
  <c r="I23" i="3"/>
  <c r="J23" i="3"/>
  <c r="K23" i="3"/>
  <c r="C24" i="3"/>
  <c r="D24" i="3"/>
  <c r="E24" i="3"/>
  <c r="F24" i="3"/>
  <c r="G24" i="3"/>
  <c r="H24" i="3"/>
  <c r="I24" i="3"/>
  <c r="J24" i="3"/>
  <c r="K24" i="3"/>
  <c r="C25" i="3"/>
  <c r="D25" i="3"/>
  <c r="E25" i="3"/>
  <c r="F25" i="3"/>
  <c r="G25" i="3"/>
  <c r="H25" i="3"/>
  <c r="I25" i="3"/>
  <c r="J25" i="3"/>
  <c r="K25" i="3"/>
  <c r="C26" i="3"/>
  <c r="D26" i="3"/>
  <c r="E26" i="3"/>
  <c r="F26" i="3"/>
  <c r="G26" i="3"/>
  <c r="H26" i="3"/>
  <c r="I26" i="3"/>
  <c r="J26" i="3"/>
  <c r="K26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K4" i="3"/>
  <c r="C4" i="3"/>
  <c r="D4" i="3"/>
  <c r="E4" i="3"/>
  <c r="F4" i="3"/>
  <c r="G4" i="3"/>
  <c r="H4" i="3"/>
  <c r="I4" i="3"/>
  <c r="J4" i="3"/>
  <c r="B4" i="3"/>
  <c r="D8" i="2"/>
  <c r="E8" i="2"/>
  <c r="F8" i="2"/>
  <c r="G8" i="2"/>
  <c r="H8" i="2"/>
  <c r="I8" i="2"/>
  <c r="J8" i="2"/>
  <c r="K8" i="2"/>
  <c r="C8" i="2"/>
  <c r="D4" i="2"/>
  <c r="E4" i="2"/>
  <c r="F4" i="2"/>
  <c r="G4" i="2"/>
  <c r="H4" i="2"/>
  <c r="I4" i="2"/>
  <c r="J4" i="2"/>
  <c r="K4" i="2"/>
  <c r="C4" i="2"/>
  <c r="C2" i="2"/>
  <c r="D2" i="2"/>
  <c r="E2" i="2"/>
  <c r="F2" i="2"/>
  <c r="G2" i="2"/>
  <c r="H2" i="2"/>
  <c r="I2" i="2"/>
  <c r="J2" i="2"/>
  <c r="K2" i="2"/>
  <c r="B2" i="2"/>
</calcChain>
</file>

<file path=xl/sharedStrings.xml><?xml version="1.0" encoding="utf-8"?>
<sst xmlns="http://schemas.openxmlformats.org/spreadsheetml/2006/main" count="152" uniqueCount="53">
  <si>
    <t>Powered by Clearbit</t>
  </si>
  <si>
    <t>NVIDIA Corp (NMS: NVDA)</t>
  </si>
  <si>
    <t xml:space="preserve">Exchange rate used is that of the Year End reported date </t>
  </si>
  <si>
    <t xml:space="preserve">Standardized Annual Income Statement </t>
  </si>
  <si>
    <t>Report Date</t>
  </si>
  <si>
    <t>01/28/2024</t>
  </si>
  <si>
    <t>01/29/2023</t>
  </si>
  <si>
    <t>01/30/2022</t>
  </si>
  <si>
    <t>01/31/2021</t>
  </si>
  <si>
    <t>01/26/2020</t>
  </si>
  <si>
    <t>01/27/2019</t>
  </si>
  <si>
    <t>01/28/2018</t>
  </si>
  <si>
    <t>01/29/2017</t>
  </si>
  <si>
    <t>01/31/2016</t>
  </si>
  <si>
    <t>01/25/2015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</si>
  <si>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</si>
  <si>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</si>
  <si>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</si>
  <si>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</si>
  <si>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</si>
  <si>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</si>
  <si>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</si>
  <si>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</si>
  <si>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Sales Revenue</t>
  </si>
  <si>
    <t>-</t>
  </si>
  <si>
    <t>Total Revenue</t>
  </si>
  <si>
    <t>Direct Costs</t>
  </si>
  <si>
    <t>Gross Profit</t>
  </si>
  <si>
    <t>Selling General &amp; Admin</t>
  </si>
  <si>
    <t>Research &amp; Development</t>
  </si>
  <si>
    <t>Restruct Remediation &amp; Impair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</si>
  <si>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</si>
  <si>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</si>
  <si>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</si>
  <si>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</si>
  <si>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</si>
  <si>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</si>
  <si>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</si>
  <si>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Extraordinary Items</t>
  </si>
  <si>
    <t>Accounting Changes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</si>
  <si>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</si>
  <si>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</si>
  <si>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</si>
  <si>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</si>
  <si>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</si>
  <si>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</si>
  <si>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</si>
  <si>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</si>
  <si>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</si>
  <si>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</si>
  <si>
    <t>Revenue Growth</t>
  </si>
  <si>
    <t>Research &amp; Development margin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</si>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</sst>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4" fillId="0" borderId="0" xfId="0" applyFont="1" applyAlignment="1">
      <alignment horizontal="left"/>
    </xf>
    <xf numFmtId="1" fontId="4" fillId="0" borderId="0" xfId="0" applyNumberFormat="1" applyFont="1"/>
    <xf numFmtId="0" fontId="4" fillId="0" borderId="0" xfId="0" applyFont="1"/>
    <xf numFmtId="9" fontId="0" fillId="0" borderId="0" xfId="1" applyFon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left"/>
    </xf>
    <xf numFmtId="1" fontId="7" fillId="0" borderId="0" xfId="0" applyNumberFormat="1" applyFont="1"/>
    <xf numFmtId="0" fontId="0" fillId="0" borderId="0" xfId="1" applyNumberFormat="1" applyFont="1"/>
    <xf numFmtId="0" fontId="0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Sheet1!$B$2:$K$2</c:f>
              <c:strCache>
                <c:ptCount val="10"/>
                <c:pt idx="0">
                  <c:v>01/25/2015</c:v>
                </c:pt>
                <c:pt idx="1">
                  <c:v>01/31/2016</c:v>
                </c:pt>
                <c:pt idx="2">
                  <c:v>01/29/2017</c:v>
                </c:pt>
                <c:pt idx="3">
                  <c:v>01/28/2018</c:v>
                </c:pt>
                <c:pt idx="4">
                  <c:v>01/27/2019</c:v>
                </c:pt>
                <c:pt idx="5">
                  <c:v>01/26/2020</c:v>
                </c:pt>
                <c:pt idx="6">
                  <c:v>01/31/2021</c:v>
                </c:pt>
                <c:pt idx="7">
                  <c:v>01/30/2022</c:v>
                </c:pt>
                <c:pt idx="8">
                  <c:v>01/29/2023</c:v>
                </c:pt>
                <c:pt idx="9">
                  <c:v>01/28/2024</c:v>
                </c:pt>
              </c:strCache>
            </c:strRef>
          </c:cat>
          <c:val>
            <c:numRef>
              <c:f>Sheet1!$B$4:$K$4</c:f>
              <c:numCache>
                <c:formatCode>0%</c:formatCode>
                <c:ptCount val="10"/>
                <c:pt idx="1">
                  <c:v>7.0168217200145211E-2</c:v>
                </c:pt>
                <c:pt idx="2">
                  <c:v>0.37924151696606789</c:v>
                </c:pt>
                <c:pt idx="3">
                  <c:v>0.40578871201157751</c:v>
                </c:pt>
                <c:pt idx="4">
                  <c:v>0.20609429689108505</c:v>
                </c:pt>
                <c:pt idx="5">
                  <c:v>-6.8111983612154314E-2</c:v>
                </c:pt>
                <c:pt idx="6">
                  <c:v>0.52729437625938824</c:v>
                </c:pt>
                <c:pt idx="7">
                  <c:v>0.61403298350824587</c:v>
                </c:pt>
                <c:pt idx="8">
                  <c:v>2.2293230289069932E-3</c:v>
                </c:pt>
                <c:pt idx="9">
                  <c:v>1.2585452658115224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8-49FD-9853-B2460ED0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92216"/>
        <c:axId val="618871856"/>
      </c:lineChart>
      <c:catAx>
        <c:axId val="46349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871856"/>
        <c:crosses val="autoZero"/>
        <c:auto val="1"/>
        <c:lblAlgn val="ctr"/>
        <c:lblOffset val="100"/>
        <c:noMultiLvlLbl val="0"/>
      </c:catAx>
      <c:valAx>
        <c:axId val="6188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9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Sheet1!$B$2:$K$2</c:f>
              <c:strCache>
                <c:ptCount val="10"/>
                <c:pt idx="0">
                  <c:v>01/25/2015</c:v>
                </c:pt>
                <c:pt idx="1">
                  <c:v>01/31/2016</c:v>
                </c:pt>
                <c:pt idx="2">
                  <c:v>01/29/2017</c:v>
                </c:pt>
                <c:pt idx="3">
                  <c:v>01/28/2018</c:v>
                </c:pt>
                <c:pt idx="4">
                  <c:v>01/27/2019</c:v>
                </c:pt>
                <c:pt idx="5">
                  <c:v>01/26/2020</c:v>
                </c:pt>
                <c:pt idx="6">
                  <c:v>01/31/2021</c:v>
                </c:pt>
                <c:pt idx="7">
                  <c:v>01/30/2022</c:v>
                </c:pt>
                <c:pt idx="8">
                  <c:v>01/29/2023</c:v>
                </c:pt>
                <c:pt idx="9">
                  <c:v>01/28/2024</c:v>
                </c:pt>
              </c:strCache>
            </c:strRef>
          </c:cat>
          <c:val>
            <c:numRef>
              <c:f>Sheet1!$B$6:$K$6</c:f>
              <c:numCache>
                <c:formatCode>0%</c:formatCode>
                <c:ptCount val="10"/>
                <c:pt idx="0">
                  <c:v>0.55526500334187257</c:v>
                </c:pt>
                <c:pt idx="1">
                  <c:v>0.56107784431137719</c:v>
                </c:pt>
                <c:pt idx="2">
                  <c:v>0.58798842257597683</c:v>
                </c:pt>
                <c:pt idx="3">
                  <c:v>0.59934115709285563</c:v>
                </c:pt>
                <c:pt idx="4">
                  <c:v>0.61206896551724133</c:v>
                </c:pt>
                <c:pt idx="5">
                  <c:v>0.61989375343469499</c:v>
                </c:pt>
                <c:pt idx="6">
                  <c:v>0.62344827586206897</c:v>
                </c:pt>
                <c:pt idx="7">
                  <c:v>0.64929033216913135</c:v>
                </c:pt>
                <c:pt idx="8">
                  <c:v>0.56928894490991322</c:v>
                </c:pt>
                <c:pt idx="9">
                  <c:v>0.72717573290436954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7-44F7-A3B4-55B94B43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491136"/>
        <c:axId val="801490776"/>
      </c:barChart>
      <c:catAx>
        <c:axId val="80149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490776"/>
        <c:crosses val="autoZero"/>
        <c:auto val="1"/>
        <c:lblAlgn val="ctr"/>
        <c:lblOffset val="100"/>
        <c:noMultiLvlLbl val="0"/>
      </c:catAx>
      <c:valAx>
        <c:axId val="80149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49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0</xdr:row>
      <xdr:rowOff>266700</xdr:rowOff>
    </xdr:from>
    <xdr:to>
      <xdr:col>19</xdr:col>
      <xdr:colOff>276225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AF6F5-CA39-36C3-D757-6C3AFE6CD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18</xdr:row>
      <xdr:rowOff>133350</xdr:rowOff>
    </xdr:from>
    <xdr:to>
      <xdr:col>19</xdr:col>
      <xdr:colOff>285750</xdr:colOff>
      <xdr:row>35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CA4985-C95F-4E55-7FCE-C79C20CC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41"/>
  <sheetViews>
    <sheetView workbookViewId="0">
      <selection activeCell="A7" sqref="A1:XFD1048576"/>
    </sheetView>
  </sheetViews>
  <sheetFormatPr defaultRowHeight="12.75" x14ac:dyDescent="0.2"/>
  <cols>
    <col min="1" max="1" width="50" customWidth="1"/>
    <col min="2" max="191" width="12" customWidth="1"/>
  </cols>
  <sheetData>
    <row r="4" spans="1:12" x14ac:dyDescent="0.2">
      <c r="A4" s="1" t="s">
        <v>0</v>
      </c>
    </row>
    <row r="5" spans="1:12" ht="20.25" x14ac:dyDescent="0.3">
      <c r="A5" s="2" t="s">
        <v>1</v>
      </c>
    </row>
    <row r="7" spans="1:12" x14ac:dyDescent="0.2">
      <c r="A7" s="3" t="s">
        <v>2</v>
      </c>
    </row>
    <row r="10" spans="1:12" x14ac:dyDescent="0.2">
      <c r="A10" s="4" t="s">
        <v>3</v>
      </c>
    </row>
    <row r="11" spans="1:12" x14ac:dyDescent="0.2">
      <c r="A11" s="5" t="s">
        <v>4</v>
      </c>
      <c r="B11" s="6" t="s">
        <v>14</v>
      </c>
      <c r="C11" s="6" t="s">
        <v>13</v>
      </c>
      <c r="D11" s="6" t="s">
        <v>12</v>
      </c>
      <c r="E11" s="6" t="s">
        <v>11</v>
      </c>
      <c r="F11" s="6" t="s">
        <v>10</v>
      </c>
      <c r="G11" s="6" t="s">
        <v>9</v>
      </c>
      <c r="H11" s="6" t="s">
        <v>8</v>
      </c>
      <c r="I11" s="6" t="s">
        <v>7</v>
      </c>
      <c r="J11" s="6" t="s">
        <v>6</v>
      </c>
      <c r="K11" s="6" t="s">
        <v>5</v>
      </c>
      <c r="L11" s="5"/>
    </row>
    <row r="12" spans="1:12" x14ac:dyDescent="0.2">
      <c r="A12" s="5" t="s">
        <v>15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5"/>
    </row>
    <row r="13" spans="1:12" ht="25.5" x14ac:dyDescent="0.2">
      <c r="A13" s="5" t="s">
        <v>17</v>
      </c>
      <c r="B13" s="6" t="s">
        <v>18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5"/>
    </row>
    <row r="14" spans="1:12" x14ac:dyDescent="0.2">
      <c r="A14" s="5" t="s">
        <v>19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20</v>
      </c>
      <c r="L14" s="5"/>
    </row>
    <row r="15" spans="1:12" x14ac:dyDescent="0.2">
      <c r="A15" s="5" t="s">
        <v>21</v>
      </c>
      <c r="B15" s="6" t="s">
        <v>22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5"/>
    </row>
    <row r="16" spans="1:12" x14ac:dyDescent="0.2">
      <c r="A16" s="7" t="s">
        <v>23</v>
      </c>
      <c r="B16" s="9" t="s">
        <v>24</v>
      </c>
      <c r="C16" s="9" t="s">
        <v>24</v>
      </c>
      <c r="D16" s="9" t="s">
        <v>24</v>
      </c>
      <c r="E16" s="9" t="s">
        <v>24</v>
      </c>
      <c r="F16" s="9" t="s">
        <v>24</v>
      </c>
      <c r="G16" s="9" t="s">
        <v>24</v>
      </c>
      <c r="H16" s="9" t="s">
        <v>24</v>
      </c>
      <c r="I16" s="9" t="s">
        <v>24</v>
      </c>
      <c r="J16" s="9" t="s">
        <v>24</v>
      </c>
      <c r="K16" s="8">
        <v>60922000</v>
      </c>
      <c r="L16" s="7"/>
    </row>
    <row r="17" spans="1:12" s="13" customFormat="1" ht="15" x14ac:dyDescent="0.25">
      <c r="A17" s="11" t="s">
        <v>25</v>
      </c>
      <c r="B17" s="12">
        <v>4681507</v>
      </c>
      <c r="C17" s="12">
        <v>5010000</v>
      </c>
      <c r="D17" s="12">
        <v>6910000</v>
      </c>
      <c r="E17" s="12">
        <v>9714000</v>
      </c>
      <c r="F17" s="12">
        <v>11716000</v>
      </c>
      <c r="G17" s="12">
        <v>10918000</v>
      </c>
      <c r="H17" s="12">
        <v>16675000</v>
      </c>
      <c r="I17" s="12">
        <v>26914000</v>
      </c>
      <c r="J17" s="12">
        <v>26974000</v>
      </c>
      <c r="K17" s="12">
        <v>60922000</v>
      </c>
      <c r="L17" s="11"/>
    </row>
    <row r="18" spans="1:12" x14ac:dyDescent="0.2">
      <c r="A18" s="7" t="s">
        <v>26</v>
      </c>
      <c r="B18" s="8">
        <v>2082030</v>
      </c>
      <c r="C18" s="8">
        <v>2199000</v>
      </c>
      <c r="D18" s="8">
        <v>2847000</v>
      </c>
      <c r="E18" s="8">
        <v>3892000</v>
      </c>
      <c r="F18" s="8">
        <v>4545000</v>
      </c>
      <c r="G18" s="8">
        <v>4150000</v>
      </c>
      <c r="H18" s="8">
        <v>6279000</v>
      </c>
      <c r="I18" s="8">
        <v>9439000</v>
      </c>
      <c r="J18" s="8">
        <v>11618000</v>
      </c>
      <c r="K18" s="8">
        <v>16621000</v>
      </c>
      <c r="L18" s="7"/>
    </row>
    <row r="19" spans="1:12" s="17" customFormat="1" ht="15.75" x14ac:dyDescent="0.25">
      <c r="A19" s="15" t="s">
        <v>27</v>
      </c>
      <c r="B19" s="16">
        <v>2599477</v>
      </c>
      <c r="C19" s="19">
        <v>2811000</v>
      </c>
      <c r="D19" s="16">
        <v>4063000</v>
      </c>
      <c r="E19" s="16">
        <v>5822000</v>
      </c>
      <c r="F19" s="16">
        <v>7171000</v>
      </c>
      <c r="G19" s="16">
        <v>6768000</v>
      </c>
      <c r="H19" s="16">
        <v>10396000</v>
      </c>
      <c r="I19" s="16">
        <v>17475000</v>
      </c>
      <c r="J19" s="16">
        <v>15356000</v>
      </c>
      <c r="K19" s="16">
        <v>44301000</v>
      </c>
      <c r="L19" s="15"/>
    </row>
    <row r="20" spans="1:12" x14ac:dyDescent="0.2">
      <c r="A20" s="7" t="s">
        <v>28</v>
      </c>
      <c r="B20" s="8">
        <v>480763</v>
      </c>
      <c r="C20" s="8">
        <v>602000</v>
      </c>
      <c r="D20" s="8">
        <v>663000</v>
      </c>
      <c r="E20" s="8">
        <v>815000</v>
      </c>
      <c r="F20" s="8">
        <v>991000</v>
      </c>
      <c r="G20" s="8">
        <v>1093000</v>
      </c>
      <c r="H20" s="8">
        <v>1940000</v>
      </c>
      <c r="I20" s="8">
        <v>2166000</v>
      </c>
      <c r="J20" s="8">
        <v>2440000</v>
      </c>
      <c r="K20" s="8">
        <v>2654000</v>
      </c>
      <c r="L20" s="7"/>
    </row>
    <row r="21" spans="1:12" x14ac:dyDescent="0.2">
      <c r="A21" s="7" t="s">
        <v>29</v>
      </c>
      <c r="B21" s="8">
        <v>1359725</v>
      </c>
      <c r="C21" s="8">
        <v>1331000</v>
      </c>
      <c r="D21" s="8">
        <v>1463000</v>
      </c>
      <c r="E21" s="8">
        <v>1797000</v>
      </c>
      <c r="F21" s="8">
        <v>2376000</v>
      </c>
      <c r="G21" s="8">
        <v>2829000</v>
      </c>
      <c r="H21" s="8">
        <v>3924000</v>
      </c>
      <c r="I21" s="8">
        <v>5268000</v>
      </c>
      <c r="J21" s="8">
        <v>7339000</v>
      </c>
      <c r="K21" s="8">
        <v>8675000</v>
      </c>
      <c r="L21" s="7"/>
    </row>
    <row r="22" spans="1:12" x14ac:dyDescent="0.2">
      <c r="A22" s="7" t="s">
        <v>30</v>
      </c>
      <c r="B22" s="9" t="s">
        <v>24</v>
      </c>
      <c r="C22" s="9" t="s">
        <v>24</v>
      </c>
      <c r="D22" s="9" t="s">
        <v>24</v>
      </c>
      <c r="E22" s="9" t="s">
        <v>24</v>
      </c>
      <c r="F22" s="9" t="s">
        <v>24</v>
      </c>
      <c r="G22" s="9" t="s">
        <v>24</v>
      </c>
      <c r="H22" s="9" t="s">
        <v>24</v>
      </c>
      <c r="I22" s="9" t="s">
        <v>24</v>
      </c>
      <c r="J22" s="8">
        <v>1353000</v>
      </c>
      <c r="K22" s="9" t="s">
        <v>24</v>
      </c>
      <c r="L22" s="7"/>
    </row>
    <row r="23" spans="1:12" x14ac:dyDescent="0.2">
      <c r="A23" s="7" t="s">
        <v>31</v>
      </c>
      <c r="B23" s="8">
        <v>1840488</v>
      </c>
      <c r="C23" s="8">
        <v>2064000</v>
      </c>
      <c r="D23" s="8">
        <v>2129000</v>
      </c>
      <c r="E23" s="8">
        <v>2612000</v>
      </c>
      <c r="F23" s="8">
        <v>3367000</v>
      </c>
      <c r="G23" s="8">
        <v>3922000</v>
      </c>
      <c r="H23" s="8">
        <v>5864000</v>
      </c>
      <c r="I23" s="8">
        <v>7434000</v>
      </c>
      <c r="J23" s="8">
        <v>11132000</v>
      </c>
      <c r="K23" s="8">
        <v>11329000</v>
      </c>
      <c r="L23" s="7"/>
    </row>
    <row r="24" spans="1:12" x14ac:dyDescent="0.2">
      <c r="A24" s="7" t="s">
        <v>32</v>
      </c>
      <c r="B24" s="8">
        <v>758989</v>
      </c>
      <c r="C24" s="8">
        <v>747000</v>
      </c>
      <c r="D24" s="8">
        <v>1934000</v>
      </c>
      <c r="E24" s="8">
        <v>3210000</v>
      </c>
      <c r="F24" s="8">
        <v>3804000</v>
      </c>
      <c r="G24" s="8">
        <v>2846000</v>
      </c>
      <c r="H24" s="8">
        <v>4532000</v>
      </c>
      <c r="I24" s="8">
        <v>10041000</v>
      </c>
      <c r="J24" s="8">
        <v>4224000</v>
      </c>
      <c r="K24" s="8">
        <v>32972000</v>
      </c>
      <c r="L24" s="7"/>
    </row>
    <row r="25" spans="1:12" x14ac:dyDescent="0.2">
      <c r="A25" s="7" t="s">
        <v>33</v>
      </c>
      <c r="B25" s="8">
        <v>-18043</v>
      </c>
      <c r="C25" s="8">
        <v>-8000</v>
      </c>
      <c r="D25" s="8">
        <v>-4000</v>
      </c>
      <c r="E25" s="8">
        <v>8000</v>
      </c>
      <c r="F25" s="8">
        <v>78000</v>
      </c>
      <c r="G25" s="8">
        <v>126000</v>
      </c>
      <c r="H25" s="8">
        <v>-127000</v>
      </c>
      <c r="I25" s="8">
        <v>-207000</v>
      </c>
      <c r="J25" s="8">
        <v>5000</v>
      </c>
      <c r="K25" s="8">
        <v>609000</v>
      </c>
      <c r="L25" s="7"/>
    </row>
    <row r="26" spans="1:12" x14ac:dyDescent="0.2">
      <c r="A26" s="7" t="s">
        <v>34</v>
      </c>
      <c r="B26" s="8">
        <v>13890</v>
      </c>
      <c r="C26" s="8">
        <v>4000</v>
      </c>
      <c r="D26" s="8">
        <v>-25000</v>
      </c>
      <c r="E26" s="8">
        <v>-22000</v>
      </c>
      <c r="F26" s="8">
        <v>14000</v>
      </c>
      <c r="G26" s="8">
        <v>-2000</v>
      </c>
      <c r="H26" s="8">
        <v>4000</v>
      </c>
      <c r="I26" s="8">
        <v>107000</v>
      </c>
      <c r="J26" s="8">
        <v>-48000</v>
      </c>
      <c r="K26" s="8">
        <v>237000</v>
      </c>
      <c r="L26" s="7"/>
    </row>
    <row r="27" spans="1:12" x14ac:dyDescent="0.2">
      <c r="A27" s="7" t="s">
        <v>35</v>
      </c>
      <c r="B27" s="8">
        <v>-4153</v>
      </c>
      <c r="C27" s="8">
        <v>-4000</v>
      </c>
      <c r="D27" s="8">
        <v>-29000</v>
      </c>
      <c r="E27" s="8">
        <v>-14000</v>
      </c>
      <c r="F27" s="8">
        <v>92000</v>
      </c>
      <c r="G27" s="8">
        <v>124000</v>
      </c>
      <c r="H27" s="8">
        <v>-123000</v>
      </c>
      <c r="I27" s="8">
        <v>-100000</v>
      </c>
      <c r="J27" s="8">
        <v>-43000</v>
      </c>
      <c r="K27" s="8">
        <v>846000</v>
      </c>
      <c r="L27" s="7"/>
    </row>
    <row r="28" spans="1:12" x14ac:dyDescent="0.2">
      <c r="A28" s="7" t="s">
        <v>36</v>
      </c>
      <c r="B28" s="8">
        <v>754836</v>
      </c>
      <c r="C28" s="8">
        <v>743000</v>
      </c>
      <c r="D28" s="8">
        <v>1905000</v>
      </c>
      <c r="E28" s="8">
        <v>3196000</v>
      </c>
      <c r="F28" s="8">
        <v>3896000</v>
      </c>
      <c r="G28" s="8">
        <v>2970000</v>
      </c>
      <c r="H28" s="8">
        <v>4409000</v>
      </c>
      <c r="I28" s="8">
        <v>9941000</v>
      </c>
      <c r="J28" s="8">
        <v>4181000</v>
      </c>
      <c r="K28" s="8">
        <v>33818000</v>
      </c>
      <c r="L28" s="7"/>
    </row>
    <row r="29" spans="1:12" x14ac:dyDescent="0.2">
      <c r="A29" s="7" t="s">
        <v>37</v>
      </c>
      <c r="B29" s="8">
        <v>124249</v>
      </c>
      <c r="C29" s="8">
        <v>129000</v>
      </c>
      <c r="D29" s="8">
        <v>239000</v>
      </c>
      <c r="E29" s="8">
        <v>149000</v>
      </c>
      <c r="F29" s="8">
        <v>-245000</v>
      </c>
      <c r="G29" s="8">
        <v>174000</v>
      </c>
      <c r="H29" s="8">
        <v>77000</v>
      </c>
      <c r="I29" s="8">
        <v>189000</v>
      </c>
      <c r="J29" s="8">
        <v>-187000</v>
      </c>
      <c r="K29" s="8">
        <v>4058000</v>
      </c>
      <c r="L29" s="7"/>
    </row>
    <row r="30" spans="1:12" x14ac:dyDescent="0.2">
      <c r="A30" s="7" t="s">
        <v>38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7"/>
    </row>
    <row r="31" spans="1:12" x14ac:dyDescent="0.2">
      <c r="A31" s="7" t="s">
        <v>39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7"/>
    </row>
    <row r="32" spans="1:12" x14ac:dyDescent="0.2">
      <c r="A32" s="7" t="s">
        <v>40</v>
      </c>
      <c r="B32" s="8">
        <v>630587</v>
      </c>
      <c r="C32" s="8">
        <v>614000</v>
      </c>
      <c r="D32" s="8">
        <v>1666000</v>
      </c>
      <c r="E32" s="8">
        <v>3047000</v>
      </c>
      <c r="F32" s="8">
        <v>4141000</v>
      </c>
      <c r="G32" s="8">
        <v>2796000</v>
      </c>
      <c r="H32" s="8">
        <v>4332000</v>
      </c>
      <c r="I32" s="8">
        <v>9752000</v>
      </c>
      <c r="J32" s="8">
        <v>4368000</v>
      </c>
      <c r="K32" s="8">
        <v>29760000</v>
      </c>
      <c r="L32" s="7"/>
    </row>
    <row r="33" spans="1:12" x14ac:dyDescent="0.2">
      <c r="A33" s="7" t="s">
        <v>41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7"/>
    </row>
    <row r="34" spans="1:12" x14ac:dyDescent="0.2">
      <c r="A34" s="7" t="s">
        <v>42</v>
      </c>
      <c r="B34" s="8">
        <v>630587</v>
      </c>
      <c r="C34" s="8">
        <v>614000</v>
      </c>
      <c r="D34" s="8">
        <v>1666000</v>
      </c>
      <c r="E34" s="8">
        <v>3047000</v>
      </c>
      <c r="F34" s="8">
        <v>4141000</v>
      </c>
      <c r="G34" s="8">
        <v>2796000</v>
      </c>
      <c r="H34" s="8">
        <v>4332000</v>
      </c>
      <c r="I34" s="8">
        <v>9752000</v>
      </c>
      <c r="J34" s="8">
        <v>4368000</v>
      </c>
      <c r="K34" s="8">
        <v>29760000</v>
      </c>
      <c r="L34" s="7"/>
    </row>
    <row r="35" spans="1:12" x14ac:dyDescent="0.2">
      <c r="A35" s="7" t="s">
        <v>43</v>
      </c>
      <c r="B35" s="8">
        <v>22092760</v>
      </c>
      <c r="C35" s="8">
        <v>21720000</v>
      </c>
      <c r="D35" s="8">
        <v>21640000</v>
      </c>
      <c r="E35" s="8">
        <v>23960000</v>
      </c>
      <c r="F35" s="8">
        <v>24320000</v>
      </c>
      <c r="G35" s="8">
        <v>24360000</v>
      </c>
      <c r="H35" s="8">
        <v>24680000</v>
      </c>
      <c r="I35" s="8">
        <v>24960000</v>
      </c>
      <c r="J35" s="8">
        <v>24870000</v>
      </c>
      <c r="K35" s="8">
        <v>24690000</v>
      </c>
      <c r="L35" s="7"/>
    </row>
    <row r="36" spans="1:12" x14ac:dyDescent="0.2">
      <c r="A36" s="7" t="s">
        <v>44</v>
      </c>
      <c r="B36" s="10">
        <v>0.03</v>
      </c>
      <c r="C36" s="10">
        <v>0.03</v>
      </c>
      <c r="D36" s="10">
        <v>0.08</v>
      </c>
      <c r="E36" s="10">
        <v>0.13</v>
      </c>
      <c r="F36" s="10">
        <v>0.17</v>
      </c>
      <c r="G36" s="10">
        <v>0.11</v>
      </c>
      <c r="H36" s="10">
        <v>0.18</v>
      </c>
      <c r="I36" s="10">
        <v>0.39</v>
      </c>
      <c r="J36" s="10">
        <v>0.18</v>
      </c>
      <c r="K36" s="10">
        <v>1.21</v>
      </c>
      <c r="L36" s="7"/>
    </row>
    <row r="37" spans="1:12" x14ac:dyDescent="0.2">
      <c r="A37" s="7" t="s">
        <v>45</v>
      </c>
      <c r="B37" s="10">
        <v>0.03</v>
      </c>
      <c r="C37" s="10">
        <v>0.03</v>
      </c>
      <c r="D37" s="10">
        <v>0.08</v>
      </c>
      <c r="E37" s="10">
        <v>0.13</v>
      </c>
      <c r="F37" s="10">
        <v>0.17</v>
      </c>
      <c r="G37" s="10">
        <v>0.11</v>
      </c>
      <c r="H37" s="10">
        <v>0.18</v>
      </c>
      <c r="I37" s="10">
        <v>0.39</v>
      </c>
      <c r="J37" s="10">
        <v>0.18</v>
      </c>
      <c r="K37" s="10">
        <v>1.21</v>
      </c>
      <c r="L37" s="7"/>
    </row>
    <row r="38" spans="1:12" x14ac:dyDescent="0.2">
      <c r="A38" s="7" t="s">
        <v>46</v>
      </c>
      <c r="B38" s="8">
        <v>22522720</v>
      </c>
      <c r="C38" s="8">
        <v>22760000</v>
      </c>
      <c r="D38" s="8">
        <v>25960000</v>
      </c>
      <c r="E38" s="8">
        <v>25280000</v>
      </c>
      <c r="F38" s="8">
        <v>25000000</v>
      </c>
      <c r="G38" s="8">
        <v>24720000</v>
      </c>
      <c r="H38" s="8">
        <v>25120000</v>
      </c>
      <c r="I38" s="8">
        <v>25350000</v>
      </c>
      <c r="J38" s="8">
        <v>25070000</v>
      </c>
      <c r="K38" s="8">
        <v>24940000</v>
      </c>
      <c r="L38" s="7"/>
    </row>
    <row r="39" spans="1:12" x14ac:dyDescent="0.2">
      <c r="A39" s="7" t="s">
        <v>47</v>
      </c>
      <c r="B39" s="10">
        <v>0.03</v>
      </c>
      <c r="C39" s="10">
        <v>0.03</v>
      </c>
      <c r="D39" s="10">
        <v>0.06</v>
      </c>
      <c r="E39" s="10">
        <v>0.12</v>
      </c>
      <c r="F39" s="10">
        <v>0.17</v>
      </c>
      <c r="G39" s="10">
        <v>0.11</v>
      </c>
      <c r="H39" s="10">
        <v>0.17</v>
      </c>
      <c r="I39" s="10">
        <v>0.39</v>
      </c>
      <c r="J39" s="10">
        <v>0.17</v>
      </c>
      <c r="K39" s="10">
        <v>1.19</v>
      </c>
      <c r="L39" s="7"/>
    </row>
    <row r="40" spans="1:12" x14ac:dyDescent="0.2">
      <c r="A40" s="7" t="s">
        <v>48</v>
      </c>
      <c r="B40" s="10">
        <v>0.03</v>
      </c>
      <c r="C40" s="10">
        <v>0.03</v>
      </c>
      <c r="D40" s="10">
        <v>0.06</v>
      </c>
      <c r="E40" s="10">
        <v>0.12</v>
      </c>
      <c r="F40" s="10">
        <v>0.17</v>
      </c>
      <c r="G40" s="10">
        <v>0.11</v>
      </c>
      <c r="H40" s="10">
        <v>0.17</v>
      </c>
      <c r="I40" s="10">
        <v>0.39</v>
      </c>
      <c r="J40" s="10">
        <v>0.17</v>
      </c>
      <c r="K40" s="10">
        <v>1.19</v>
      </c>
      <c r="L40" s="7"/>
    </row>
    <row r="41" spans="1:12" x14ac:dyDescent="0.2">
      <c r="A41" s="7" t="s">
        <v>49</v>
      </c>
      <c r="B41" s="8">
        <v>21796520</v>
      </c>
      <c r="C41" s="8">
        <v>21560000</v>
      </c>
      <c r="D41" s="8">
        <v>23400000</v>
      </c>
      <c r="E41" s="8">
        <v>24240000</v>
      </c>
      <c r="F41" s="8">
        <v>24240000</v>
      </c>
      <c r="G41" s="8">
        <v>24480000</v>
      </c>
      <c r="H41" s="8">
        <v>24800000</v>
      </c>
      <c r="I41" s="8">
        <v>25060000</v>
      </c>
      <c r="J41" s="8">
        <v>24660000</v>
      </c>
      <c r="K41" s="8">
        <v>24640000</v>
      </c>
      <c r="L41" s="7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9:K41">
    <sortCondition descending="1" ref="B9:K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3E07-0241-41ED-B692-11B91E1EAC14}">
  <dimension ref="A1:K25"/>
  <sheetViews>
    <sheetView tabSelected="1" workbookViewId="0">
      <selection activeCell="A2" sqref="A2"/>
    </sheetView>
  </sheetViews>
  <sheetFormatPr defaultRowHeight="12.75" x14ac:dyDescent="0.2"/>
  <cols>
    <col min="1" max="1" width="27" bestFit="1" customWidth="1"/>
    <col min="2" max="11" width="10.140625" bestFit="1" customWidth="1"/>
  </cols>
  <sheetData>
    <row r="1" spans="1:11" ht="25.5" x14ac:dyDescent="0.2">
      <c r="A1" s="4" t="s">
        <v>3</v>
      </c>
    </row>
    <row r="2" spans="1:11" x14ac:dyDescent="0.2">
      <c r="A2" s="5" t="s">
        <v>4</v>
      </c>
      <c r="B2" t="str">
        <f>standardized!B11</f>
        <v>01/25/2015</v>
      </c>
      <c r="C2" t="str">
        <f>standardized!C11</f>
        <v>01/31/2016</v>
      </c>
      <c r="D2" t="str">
        <f>standardized!D11</f>
        <v>01/29/2017</v>
      </c>
      <c r="E2" t="str">
        <f>standardized!E11</f>
        <v>01/28/2018</v>
      </c>
      <c r="F2" t="str">
        <f>standardized!F11</f>
        <v>01/27/2019</v>
      </c>
      <c r="G2" t="str">
        <f>standardized!G11</f>
        <v>01/26/2020</v>
      </c>
      <c r="H2" t="str">
        <f>standardized!H11</f>
        <v>01/31/2021</v>
      </c>
      <c r="I2" t="str">
        <f>standardized!I11</f>
        <v>01/30/2022</v>
      </c>
      <c r="J2" t="str">
        <f>standardized!J11</f>
        <v>01/29/2023</v>
      </c>
      <c r="K2" t="str">
        <f>standardized!K11</f>
        <v>01/28/2024</v>
      </c>
    </row>
    <row r="3" spans="1:11" x14ac:dyDescent="0.2">
      <c r="A3" s="7" t="s">
        <v>23</v>
      </c>
    </row>
    <row r="4" spans="1:11" ht="15" x14ac:dyDescent="0.25">
      <c r="A4" s="11" t="s">
        <v>50</v>
      </c>
      <c r="C4" s="14">
        <f>standardized!C17/standardized!B17-1</f>
        <v>7.0168217200145211E-2</v>
      </c>
      <c r="D4" s="14">
        <f>standardized!D17/standardized!C17-1</f>
        <v>0.37924151696606789</v>
      </c>
      <c r="E4" s="14">
        <f>standardized!E17/standardized!D17-1</f>
        <v>0.40578871201157751</v>
      </c>
      <c r="F4" s="14">
        <f>standardized!F17/standardized!E17-1</f>
        <v>0.20609429689108505</v>
      </c>
      <c r="G4" s="14">
        <f>standardized!G17/standardized!F17-1</f>
        <v>-6.8111983612154314E-2</v>
      </c>
      <c r="H4" s="14">
        <f>standardized!H17/standardized!G17-1</f>
        <v>0.52729437625938824</v>
      </c>
      <c r="I4" s="14">
        <f>standardized!I17/standardized!H17-1</f>
        <v>0.61403298350824587</v>
      </c>
      <c r="J4" s="14">
        <f>standardized!J17/standardized!I17-1</f>
        <v>2.2293230289069932E-3</v>
      </c>
      <c r="K4" s="14">
        <f>standardized!K17/standardized!J17-1</f>
        <v>1.2585452658115224</v>
      </c>
    </row>
    <row r="5" spans="1:11" x14ac:dyDescent="0.2">
      <c r="A5" s="7" t="s">
        <v>26</v>
      </c>
      <c r="D5" s="8"/>
    </row>
    <row r="6" spans="1:11" x14ac:dyDescent="0.2">
      <c r="A6" s="18" t="s">
        <v>52</v>
      </c>
      <c r="B6" s="14">
        <f>standardized!B19/standardized!B17</f>
        <v>0.55526500334187257</v>
      </c>
      <c r="C6" s="14">
        <f>standardized!C19/standardized!C17</f>
        <v>0.56107784431137719</v>
      </c>
      <c r="D6" s="14">
        <f>standardized!D19/standardized!D17</f>
        <v>0.58798842257597683</v>
      </c>
      <c r="E6" s="14">
        <f>standardized!E19/standardized!E17</f>
        <v>0.59934115709285563</v>
      </c>
      <c r="F6" s="14">
        <f>standardized!F19/standardized!F17</f>
        <v>0.61206896551724133</v>
      </c>
      <c r="G6" s="14">
        <f>standardized!G19/standardized!G17</f>
        <v>0.61989375343469499</v>
      </c>
      <c r="H6" s="14">
        <f>standardized!H19/standardized!H17</f>
        <v>0.62344827586206897</v>
      </c>
      <c r="I6" s="14">
        <f>standardized!I19/standardized!I17</f>
        <v>0.64929033216913135</v>
      </c>
      <c r="J6" s="14">
        <f>standardized!J19/standardized!J17</f>
        <v>0.56928894490991322</v>
      </c>
      <c r="K6" s="14">
        <f>standardized!K19/standardized!K17</f>
        <v>0.72717573290436954</v>
      </c>
    </row>
    <row r="7" spans="1:11" x14ac:dyDescent="0.2">
      <c r="A7" s="18" t="s">
        <v>51</v>
      </c>
      <c r="B7">
        <f>standardized!B21/standardized!B21</f>
        <v>1</v>
      </c>
      <c r="C7" s="14">
        <f>(standardized!C21-standardized!B21)/standardized!B21</f>
        <v>-2.1125595249039328E-2</v>
      </c>
      <c r="D7" s="14">
        <f>(standardized!D21-standardized!C21)/standardized!C21</f>
        <v>9.9173553719008267E-2</v>
      </c>
      <c r="E7" s="14">
        <f>(standardized!E21-standardized!D21)/standardized!D21</f>
        <v>0.22829801777170197</v>
      </c>
      <c r="F7" s="14">
        <f>(standardized!F21-standardized!E21)/standardized!E21</f>
        <v>0.32220367278797996</v>
      </c>
      <c r="G7" s="14">
        <f>(standardized!G21-standardized!F21)/standardized!F21</f>
        <v>0.19065656565656566</v>
      </c>
      <c r="H7" s="14">
        <f>(standardized!H21-standardized!G21)/standardized!G21</f>
        <v>0.38706256627783669</v>
      </c>
      <c r="I7" s="14">
        <f>(standardized!I21-standardized!H21)/standardized!H21</f>
        <v>0.34250764525993882</v>
      </c>
      <c r="J7" s="14">
        <f>(standardized!J21-standardized!I21)/standardized!I21</f>
        <v>0.3931283219438117</v>
      </c>
      <c r="K7" s="14">
        <f>(standardized!K21-standardized!J21)/standardized!J21</f>
        <v>0.18204115002043875</v>
      </c>
    </row>
    <row r="8" spans="1:11" x14ac:dyDescent="0.2">
      <c r="A8" s="7" t="s">
        <v>32</v>
      </c>
      <c r="B8" s="14" t="e">
        <f>standardized!B24/standardized!B22</f>
        <v>#VALUE!</v>
      </c>
      <c r="C8" s="14">
        <f>(standardized!C24-standardized!B24)/standardized!B24</f>
        <v>-1.5796012853941228E-2</v>
      </c>
      <c r="D8" s="14">
        <f>(standardized!D24-standardized!C24)/standardized!C24</f>
        <v>1.5890227576974565</v>
      </c>
      <c r="E8" s="14">
        <f>(standardized!E24-standardized!D24)/standardized!D24</f>
        <v>0.65977249224405377</v>
      </c>
      <c r="F8" s="14">
        <f>(standardized!F24-standardized!E24)/standardized!E24</f>
        <v>0.18504672897196262</v>
      </c>
      <c r="G8" s="14">
        <f>(standardized!G24-standardized!F24)/standardized!F24</f>
        <v>-0.25184016824395372</v>
      </c>
      <c r="H8" s="14">
        <f>(standardized!H24-standardized!G24)/standardized!G24</f>
        <v>0.59241040056219252</v>
      </c>
      <c r="I8" s="14">
        <f>(standardized!I24-standardized!H24)/standardized!H24</f>
        <v>1.2155781112091792</v>
      </c>
      <c r="J8" s="14">
        <f>(standardized!J24-standardized!I24)/standardized!I24</f>
        <v>-0.57932476844935765</v>
      </c>
      <c r="K8" s="14">
        <f>(standardized!K24-standardized!J24)/standardized!J24</f>
        <v>6.8058712121212119</v>
      </c>
    </row>
    <row r="9" spans="1:11" x14ac:dyDescent="0.2">
      <c r="A9" s="7" t="s">
        <v>33</v>
      </c>
      <c r="D9" s="8"/>
    </row>
    <row r="10" spans="1:11" x14ac:dyDescent="0.2">
      <c r="A10" s="7" t="s">
        <v>35</v>
      </c>
      <c r="D10" s="8"/>
    </row>
    <row r="11" spans="1:11" x14ac:dyDescent="0.2">
      <c r="A11" s="7" t="s">
        <v>36</v>
      </c>
      <c r="D11" s="8"/>
    </row>
    <row r="12" spans="1:11" x14ac:dyDescent="0.2">
      <c r="A12" s="7" t="s">
        <v>37</v>
      </c>
      <c r="D12" s="8"/>
    </row>
    <row r="13" spans="1:11" x14ac:dyDescent="0.2">
      <c r="A13" s="7" t="s">
        <v>39</v>
      </c>
      <c r="D13" s="8"/>
    </row>
    <row r="14" spans="1:11" x14ac:dyDescent="0.2">
      <c r="A14" s="7" t="s">
        <v>40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x14ac:dyDescent="0.2">
      <c r="A15" s="7" t="s">
        <v>41</v>
      </c>
      <c r="D15" s="8"/>
    </row>
    <row r="16" spans="1:11" x14ac:dyDescent="0.2">
      <c r="A16" s="7" t="s">
        <v>42</v>
      </c>
      <c r="D16" s="8"/>
    </row>
    <row r="17" spans="1:4" x14ac:dyDescent="0.2">
      <c r="A17" s="7" t="s">
        <v>43</v>
      </c>
      <c r="D17" s="8"/>
    </row>
    <row r="18" spans="1:4" x14ac:dyDescent="0.2">
      <c r="A18" s="7" t="s">
        <v>44</v>
      </c>
      <c r="D18" s="8"/>
    </row>
    <row r="19" spans="1:4" x14ac:dyDescent="0.2">
      <c r="A19" s="7" t="s">
        <v>45</v>
      </c>
      <c r="D19" s="8"/>
    </row>
    <row r="20" spans="1:4" x14ac:dyDescent="0.2">
      <c r="A20" s="7" t="s">
        <v>46</v>
      </c>
      <c r="D20" s="8"/>
    </row>
    <row r="21" spans="1:4" x14ac:dyDescent="0.2">
      <c r="A21" s="7" t="s">
        <v>47</v>
      </c>
      <c r="D21" s="8"/>
    </row>
    <row r="22" spans="1:4" x14ac:dyDescent="0.2">
      <c r="A22" s="7" t="s">
        <v>48</v>
      </c>
      <c r="D22" s="8"/>
    </row>
    <row r="23" spans="1:4" x14ac:dyDescent="0.2">
      <c r="A23" s="7" t="s">
        <v>49</v>
      </c>
      <c r="D23" s="8"/>
    </row>
    <row r="25" spans="1:4" x14ac:dyDescent="0.2">
      <c r="A25" s="21"/>
    </row>
  </sheetData>
  <conditionalFormatting sqref="C4:K4">
    <cfRule type="cellIs" dxfId="4" priority="5" operator="lessThan">
      <formula>0.5</formula>
    </cfRule>
  </conditionalFormatting>
  <conditionalFormatting sqref="B8 B6:K6">
    <cfRule type="cellIs" dxfId="3" priority="1" operator="lessThan">
      <formula>0.64</formula>
    </cfRule>
    <cfRule type="cellIs" dxfId="2" priority="2" operator="greaterThan">
      <formula>0.64</formula>
    </cfRule>
    <cfRule type="cellIs" dxfId="1" priority="3" operator="greaterThan">
      <formula>0.64</formula>
    </cfRule>
    <cfRule type="cellIs" dxfId="0" priority="4" operator="greaterThan">
      <formula>0.5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9A7-EB14-4A54-95B0-3A0C85476EB9}">
  <dimension ref="A1:K26"/>
  <sheetViews>
    <sheetView topLeftCell="A4" workbookViewId="0">
      <selection activeCell="N16" sqref="N16"/>
    </sheetView>
  </sheetViews>
  <sheetFormatPr defaultRowHeight="12.75" x14ac:dyDescent="0.2"/>
  <cols>
    <col min="1" max="1" width="27" bestFit="1" customWidth="1"/>
    <col min="2" max="11" width="10.140625" bestFit="1" customWidth="1"/>
  </cols>
  <sheetData>
    <row r="1" spans="1:11" ht="76.5" x14ac:dyDescent="0.2">
      <c r="A1" s="4" t="s">
        <v>3</v>
      </c>
    </row>
    <row r="2" spans="1:11" x14ac:dyDescent="0.2">
      <c r="A2" s="5" t="s">
        <v>4</v>
      </c>
      <c r="B2" t="str">
        <f>standardized!B11</f>
        <v>01/25/2015</v>
      </c>
      <c r="C2" t="str">
        <f>standardized!C11</f>
        <v>01/31/2016</v>
      </c>
      <c r="D2" t="str">
        <f>standardized!D11</f>
        <v>01/29/2017</v>
      </c>
      <c r="E2" t="str">
        <f>standardized!E11</f>
        <v>01/28/2018</v>
      </c>
      <c r="F2" t="str">
        <f>standardized!F11</f>
        <v>01/27/2019</v>
      </c>
      <c r="G2" t="str">
        <f>standardized!G11</f>
        <v>01/26/2020</v>
      </c>
      <c r="H2" t="str">
        <f>standardized!H11</f>
        <v>01/31/2021</v>
      </c>
      <c r="I2" t="str">
        <f>standardized!I11</f>
        <v>01/30/2022</v>
      </c>
      <c r="J2" t="str">
        <f>standardized!J11</f>
        <v>01/29/2023</v>
      </c>
      <c r="K2" t="str">
        <f>standardized!K11</f>
        <v>01/28/2024</v>
      </c>
    </row>
    <row r="3" spans="1:11" x14ac:dyDescent="0.2">
      <c r="A3" s="7" t="s">
        <v>23</v>
      </c>
    </row>
    <row r="4" spans="1:11" ht="15" x14ac:dyDescent="0.25">
      <c r="A4" s="11" t="s">
        <v>50</v>
      </c>
      <c r="B4" s="14">
        <f>standardized!B17/standardized!B$17</f>
        <v>1</v>
      </c>
      <c r="C4" s="14">
        <f>standardized!C17/standardized!C$17</f>
        <v>1</v>
      </c>
      <c r="D4" s="14">
        <f>standardized!D17/standardized!D$17</f>
        <v>1</v>
      </c>
      <c r="E4" s="14">
        <f>standardized!E17/standardized!E$17</f>
        <v>1</v>
      </c>
      <c r="F4" s="14">
        <f>standardized!F17/standardized!F$17</f>
        <v>1</v>
      </c>
      <c r="G4" s="14">
        <f>standardized!G17/standardized!G$17</f>
        <v>1</v>
      </c>
      <c r="H4" s="14">
        <f>standardized!H17/standardized!H$17</f>
        <v>1</v>
      </c>
      <c r="I4" s="14">
        <f>standardized!I17/standardized!I$17</f>
        <v>1</v>
      </c>
      <c r="J4" s="14">
        <f>standardized!J17/standardized!J$17</f>
        <v>1</v>
      </c>
      <c r="K4" s="14">
        <f>standardized!K17/standardized!K$17</f>
        <v>1</v>
      </c>
    </row>
    <row r="5" spans="1:11" x14ac:dyDescent="0.2">
      <c r="A5" s="7" t="s">
        <v>26</v>
      </c>
      <c r="B5" s="14">
        <f>standardized!B18/standardized!B$17</f>
        <v>0.44473499665812738</v>
      </c>
      <c r="C5" s="14">
        <f>standardized!C18/standardized!C$17</f>
        <v>0.43892215568862275</v>
      </c>
      <c r="D5" s="14">
        <f>standardized!D18/standardized!D$17</f>
        <v>0.41201157742402317</v>
      </c>
      <c r="E5" s="14">
        <f>standardized!E18/standardized!E$17</f>
        <v>0.40065884290714432</v>
      </c>
      <c r="F5" s="14">
        <f>standardized!F18/standardized!F$17</f>
        <v>0.38793103448275862</v>
      </c>
      <c r="G5" s="14">
        <f>standardized!G18/standardized!G$17</f>
        <v>0.38010624656530501</v>
      </c>
      <c r="H5" s="14">
        <f>standardized!H18/standardized!H$17</f>
        <v>0.37655172413793103</v>
      </c>
      <c r="I5" s="14">
        <f>standardized!I18/standardized!I$17</f>
        <v>0.35070966783086871</v>
      </c>
      <c r="J5" s="14">
        <f>standardized!J18/standardized!J$17</f>
        <v>0.43071105509008673</v>
      </c>
      <c r="K5" s="14">
        <f>standardized!K18/standardized!K$17</f>
        <v>0.27282426709563046</v>
      </c>
    </row>
    <row r="6" spans="1:11" x14ac:dyDescent="0.2">
      <c r="A6" s="7" t="s">
        <v>27</v>
      </c>
      <c r="B6" s="14">
        <f>standardized!B19/standardized!B$17</f>
        <v>0.55526500334187257</v>
      </c>
      <c r="C6" s="14">
        <f>standardized!C19/standardized!C$17</f>
        <v>0.56107784431137719</v>
      </c>
      <c r="D6" s="14">
        <f>standardized!D19/standardized!D$17</f>
        <v>0.58798842257597683</v>
      </c>
      <c r="E6" s="14">
        <f>standardized!E19/standardized!E$17</f>
        <v>0.59934115709285563</v>
      </c>
      <c r="F6" s="14">
        <f>standardized!F19/standardized!F$17</f>
        <v>0.61206896551724133</v>
      </c>
      <c r="G6" s="14">
        <f>standardized!G19/standardized!G$17</f>
        <v>0.61989375343469499</v>
      </c>
      <c r="H6" s="14">
        <f>standardized!H19/standardized!H$17</f>
        <v>0.62344827586206897</v>
      </c>
      <c r="I6" s="14">
        <f>standardized!I19/standardized!I$17</f>
        <v>0.64929033216913135</v>
      </c>
      <c r="J6" s="14">
        <f>standardized!J19/standardized!J$17</f>
        <v>0.56928894490991322</v>
      </c>
      <c r="K6" s="14">
        <f>standardized!K19/standardized!K$17</f>
        <v>0.72717573290436954</v>
      </c>
    </row>
    <row r="7" spans="1:11" x14ac:dyDescent="0.2">
      <c r="A7" s="7" t="s">
        <v>28</v>
      </c>
      <c r="B7" s="14">
        <f>standardized!B20/standardized!B$17</f>
        <v>0.10269406838438989</v>
      </c>
      <c r="C7" s="14">
        <f>standardized!C20/standardized!C$17</f>
        <v>0.12015968063872255</v>
      </c>
      <c r="D7" s="14">
        <f>standardized!D20/standardized!D$17</f>
        <v>9.5947901591895798E-2</v>
      </c>
      <c r="E7" s="14">
        <f>standardized!E20/standardized!E$17</f>
        <v>8.3899526456660489E-2</v>
      </c>
      <c r="F7" s="14">
        <f>standardized!F20/standardized!F$17</f>
        <v>8.4585182656196647E-2</v>
      </c>
      <c r="G7" s="14">
        <f>standardized!G20/standardized!G$17</f>
        <v>0.10010991023997069</v>
      </c>
      <c r="H7" s="14">
        <f>standardized!H20/standardized!H$17</f>
        <v>0.11634182908545727</v>
      </c>
      <c r="I7" s="14">
        <f>standardized!I20/standardized!I$17</f>
        <v>8.0478561343538674E-2</v>
      </c>
      <c r="J7" s="14">
        <f>standardized!J20/standardized!J$17</f>
        <v>9.0457477570994288E-2</v>
      </c>
      <c r="K7" s="14">
        <f>standardized!K20/standardized!K$17</f>
        <v>4.3563901382095135E-2</v>
      </c>
    </row>
    <row r="8" spans="1:11" x14ac:dyDescent="0.2">
      <c r="A8" s="7" t="s">
        <v>29</v>
      </c>
      <c r="B8" s="14">
        <f>standardized!B21/standardized!B$17</f>
        <v>0.29044600381885577</v>
      </c>
      <c r="C8" s="14">
        <f>standardized!C21/standardized!C$17</f>
        <v>0.26566866267465072</v>
      </c>
      <c r="D8" s="14">
        <f>standardized!D21/standardized!D$17</f>
        <v>0.21172214182344429</v>
      </c>
      <c r="E8" s="14">
        <f>standardized!E21/standardized!E$17</f>
        <v>0.18499073502161828</v>
      </c>
      <c r="F8" s="14">
        <f>standardized!F21/standardized!F$17</f>
        <v>0.20279959030385797</v>
      </c>
      <c r="G8" s="14">
        <f>standardized!G21/standardized!G$17</f>
        <v>0.25911339073090311</v>
      </c>
      <c r="H8" s="14">
        <f>standardized!H21/standardized!H$17</f>
        <v>0.2353223388305847</v>
      </c>
      <c r="I8" s="14">
        <f>standardized!I21/standardized!I$17</f>
        <v>0.19573456193802483</v>
      </c>
      <c r="J8" s="14">
        <f>standardized!J21/standardized!J$17</f>
        <v>0.27207681471046191</v>
      </c>
      <c r="K8" s="14">
        <f>standardized!K21/standardized!K$17</f>
        <v>0.14239519385443683</v>
      </c>
    </row>
    <row r="9" spans="1:11" x14ac:dyDescent="0.2">
      <c r="A9" s="7" t="s">
        <v>31</v>
      </c>
      <c r="B9" s="14">
        <f>standardized!B23/standardized!B$17</f>
        <v>0.39314007220324565</v>
      </c>
      <c r="C9" s="14">
        <f>standardized!C23/standardized!C$17</f>
        <v>0.41197604790419162</v>
      </c>
      <c r="D9" s="14">
        <f>standardized!D23/standardized!D$17</f>
        <v>0.30810419681620838</v>
      </c>
      <c r="E9" s="14">
        <f>standardized!E23/standardized!E$17</f>
        <v>0.26889026147827877</v>
      </c>
      <c r="F9" s="14">
        <f>standardized!F23/standardized!F$17</f>
        <v>0.2873847729600546</v>
      </c>
      <c r="G9" s="14">
        <f>standardized!G23/standardized!G$17</f>
        <v>0.35922330097087379</v>
      </c>
      <c r="H9" s="14">
        <f>standardized!H23/standardized!H$17</f>
        <v>0.35166416791604199</v>
      </c>
      <c r="I9" s="14">
        <f>standardized!I23/standardized!I$17</f>
        <v>0.2762131232815635</v>
      </c>
      <c r="J9" s="14">
        <f>standardized!J23/standardized!J$17</f>
        <v>0.41269370504930675</v>
      </c>
      <c r="K9" s="14">
        <f>standardized!K23/standardized!K$17</f>
        <v>0.18595909523653195</v>
      </c>
    </row>
    <row r="10" spans="1:11" x14ac:dyDescent="0.2">
      <c r="A10" s="7" t="s">
        <v>32</v>
      </c>
      <c r="B10" s="14">
        <f>standardized!B24/standardized!B$17</f>
        <v>0.16212493113862694</v>
      </c>
      <c r="C10" s="14">
        <f>standardized!C24/standardized!C$17</f>
        <v>0.14910179640718563</v>
      </c>
      <c r="D10" s="14">
        <f>standardized!D24/standardized!D$17</f>
        <v>0.27988422575976846</v>
      </c>
      <c r="E10" s="14">
        <f>standardized!E24/standardized!E$17</f>
        <v>0.33045089561457691</v>
      </c>
      <c r="F10" s="14">
        <f>standardized!F24/standardized!F$17</f>
        <v>0.32468419255718678</v>
      </c>
      <c r="G10" s="14">
        <f>standardized!G24/standardized!G$17</f>
        <v>0.2606704524638212</v>
      </c>
      <c r="H10" s="14">
        <f>standardized!H24/standardized!H$17</f>
        <v>0.27178410794602698</v>
      </c>
      <c r="I10" s="14">
        <f>standardized!I24/standardized!I$17</f>
        <v>0.37307720888756779</v>
      </c>
      <c r="J10" s="14">
        <f>standardized!J24/standardized!J$17</f>
        <v>0.1565952398606065</v>
      </c>
      <c r="K10" s="14">
        <f>standardized!K24/standardized!K$17</f>
        <v>0.54121663766783756</v>
      </c>
    </row>
    <row r="11" spans="1:11" x14ac:dyDescent="0.2">
      <c r="A11" s="7" t="s">
        <v>33</v>
      </c>
      <c r="B11" s="14">
        <f>standardized!B25/standardized!B$17</f>
        <v>-3.8541008269345747E-3</v>
      </c>
      <c r="C11" s="14">
        <f>standardized!C25/standardized!C$17</f>
        <v>-1.5968063872255488E-3</v>
      </c>
      <c r="D11" s="14">
        <f>standardized!D25/standardized!D$17</f>
        <v>-5.7887120115774238E-4</v>
      </c>
      <c r="E11" s="14">
        <f>standardized!E25/standardized!E$17</f>
        <v>8.2355363393040967E-4</v>
      </c>
      <c r="F11" s="14">
        <f>standardized!F25/standardized!F$17</f>
        <v>6.6575623079549338E-3</v>
      </c>
      <c r="G11" s="14">
        <f>standardized!G25/standardized!G$17</f>
        <v>1.1540575196922514E-2</v>
      </c>
      <c r="H11" s="14">
        <f>standardized!H25/standardized!H$17</f>
        <v>-7.6161919040479758E-3</v>
      </c>
      <c r="I11" s="14">
        <f>standardized!I25/standardized!I$17</f>
        <v>-7.6911644497287658E-3</v>
      </c>
      <c r="J11" s="14">
        <f>standardized!J25/standardized!J$17</f>
        <v>1.8536368354711945E-4</v>
      </c>
      <c r="K11" s="14">
        <f>standardized!K25/standardized!K$17</f>
        <v>9.996388825054988E-3</v>
      </c>
    </row>
    <row r="12" spans="1:11" x14ac:dyDescent="0.2">
      <c r="A12" s="7" t="s">
        <v>35</v>
      </c>
      <c r="B12" s="14">
        <f>standardized!B26/standardized!B$17</f>
        <v>2.966993320740522E-3</v>
      </c>
      <c r="C12" s="14">
        <f>standardized!C26/standardized!C$17</f>
        <v>7.9840319361277441E-4</v>
      </c>
      <c r="D12" s="14">
        <f>standardized!D26/standardized!D$17</f>
        <v>-3.6179450072358899E-3</v>
      </c>
      <c r="E12" s="14">
        <f>standardized!E26/standardized!E$17</f>
        <v>-2.2647724933086266E-3</v>
      </c>
      <c r="F12" s="14">
        <f>standardized!F26/standardized!F$17</f>
        <v>1.1949470809149881E-3</v>
      </c>
      <c r="G12" s="14">
        <f>standardized!G26/standardized!G$17</f>
        <v>-1.8318373328448433E-4</v>
      </c>
      <c r="H12" s="14">
        <f>standardized!H26/standardized!H$17</f>
        <v>2.39880059970015E-4</v>
      </c>
      <c r="I12" s="14">
        <f>standardized!I26/standardized!I$17</f>
        <v>3.9756260682172846E-3</v>
      </c>
      <c r="J12" s="14">
        <f>standardized!J26/standardized!J$17</f>
        <v>-1.7794913620523467E-3</v>
      </c>
      <c r="K12" s="14">
        <f>standardized!K26/standardized!K$17</f>
        <v>3.8902202816716459E-3</v>
      </c>
    </row>
    <row r="13" spans="1:11" x14ac:dyDescent="0.2">
      <c r="A13" s="7" t="s">
        <v>36</v>
      </c>
      <c r="B13" s="14">
        <f>standardized!B27/standardized!B$17</f>
        <v>-8.8710750619405243E-4</v>
      </c>
      <c r="C13" s="14">
        <f>standardized!C27/standardized!C$17</f>
        <v>-7.9840319361277441E-4</v>
      </c>
      <c r="D13" s="14">
        <f>standardized!D27/standardized!D$17</f>
        <v>-4.1968162083936321E-3</v>
      </c>
      <c r="E13" s="14">
        <f>standardized!E27/standardized!E$17</f>
        <v>-1.441218859378217E-3</v>
      </c>
      <c r="F13" s="14">
        <f>standardized!F27/standardized!F$17</f>
        <v>7.8525093888699212E-3</v>
      </c>
      <c r="G13" s="14">
        <f>standardized!G27/standardized!G$17</f>
        <v>1.1357391463638029E-2</v>
      </c>
      <c r="H13" s="14">
        <f>standardized!H27/standardized!H$17</f>
        <v>-7.3763118440779612E-3</v>
      </c>
      <c r="I13" s="14">
        <f>standardized!I27/standardized!I$17</f>
        <v>-3.7155383815114808E-3</v>
      </c>
      <c r="J13" s="14">
        <f>standardized!J27/standardized!J$17</f>
        <v>-1.5941276785052274E-3</v>
      </c>
      <c r="K13" s="14">
        <f>standardized!K27/standardized!K$17</f>
        <v>1.3886609106726634E-2</v>
      </c>
    </row>
    <row r="14" spans="1:11" x14ac:dyDescent="0.2">
      <c r="A14" s="7" t="s">
        <v>37</v>
      </c>
      <c r="B14" s="14">
        <f>standardized!B28/standardized!B$17</f>
        <v>0.16123782363243289</v>
      </c>
      <c r="C14" s="14">
        <f>standardized!C28/standardized!C$17</f>
        <v>0.14830339321357286</v>
      </c>
      <c r="D14" s="14">
        <f>standardized!D28/standardized!D$17</f>
        <v>0.27568740955137483</v>
      </c>
      <c r="E14" s="14">
        <f>standardized!E28/standardized!E$17</f>
        <v>0.32900967675519871</v>
      </c>
      <c r="F14" s="14">
        <f>standardized!F28/standardized!F$17</f>
        <v>0.33253670194605667</v>
      </c>
      <c r="G14" s="14">
        <f>standardized!G28/standardized!G$17</f>
        <v>0.27202784392745927</v>
      </c>
      <c r="H14" s="14">
        <f>standardized!H28/standardized!H$17</f>
        <v>0.26440779610194903</v>
      </c>
      <c r="I14" s="14">
        <f>standardized!I28/standardized!I$17</f>
        <v>0.36936167050605634</v>
      </c>
      <c r="J14" s="14">
        <f>standardized!J28/standardized!J$17</f>
        <v>0.15500111218210127</v>
      </c>
      <c r="K14" s="14">
        <f>standardized!K28/standardized!K$17</f>
        <v>0.55510324677456424</v>
      </c>
    </row>
    <row r="15" spans="1:11" x14ac:dyDescent="0.2">
      <c r="A15" s="7" t="s">
        <v>38</v>
      </c>
      <c r="B15" s="14">
        <f>standardized!B29/standardized!B$17</f>
        <v>2.6540385392994179E-2</v>
      </c>
      <c r="C15" s="14">
        <f>standardized!C29/standardized!C$17</f>
        <v>2.5748502994011976E-2</v>
      </c>
      <c r="D15" s="14">
        <f>standardized!D29/standardized!D$17</f>
        <v>3.4587554269175105E-2</v>
      </c>
      <c r="E15" s="14">
        <f>standardized!E29/standardized!E$17</f>
        <v>1.5338686431953881E-2</v>
      </c>
      <c r="F15" s="14">
        <f>standardized!F29/standardized!F$17</f>
        <v>-2.091157391601229E-2</v>
      </c>
      <c r="G15" s="14">
        <f>standardized!G29/standardized!G$17</f>
        <v>1.5936984795750137E-2</v>
      </c>
      <c r="H15" s="14">
        <f>standardized!H29/standardized!H$17</f>
        <v>4.6176911544227889E-3</v>
      </c>
      <c r="I15" s="14">
        <f>standardized!I29/standardized!I$17</f>
        <v>7.0223675410566993E-3</v>
      </c>
      <c r="J15" s="14">
        <f>standardized!J29/standardized!J$17</f>
        <v>-6.9326017646622676E-3</v>
      </c>
      <c r="K15" s="14">
        <f>standardized!K29/standardized!K$17</f>
        <v>6.6609763303896785E-2</v>
      </c>
    </row>
    <row r="16" spans="1:11" x14ac:dyDescent="0.2">
      <c r="A16" s="7" t="s">
        <v>39</v>
      </c>
      <c r="B16" s="14">
        <f>standardized!B30/standardized!B$17</f>
        <v>0</v>
      </c>
      <c r="C16" s="14">
        <f>standardized!C30/standardized!C$17</f>
        <v>0</v>
      </c>
      <c r="D16" s="14">
        <f>standardized!D30/standardized!D$17</f>
        <v>0</v>
      </c>
      <c r="E16" s="14">
        <f>standardized!E30/standardized!E$17</f>
        <v>0</v>
      </c>
      <c r="F16" s="14">
        <f>standardized!F30/standardized!F$17</f>
        <v>0</v>
      </c>
      <c r="G16" s="14">
        <f>standardized!G30/standardized!G$17</f>
        <v>0</v>
      </c>
      <c r="H16" s="14">
        <f>standardized!H30/standardized!H$17</f>
        <v>0</v>
      </c>
      <c r="I16" s="14">
        <f>standardized!I30/standardized!I$17</f>
        <v>0</v>
      </c>
      <c r="J16" s="14">
        <f>standardized!J30/standardized!J$17</f>
        <v>0</v>
      </c>
      <c r="K16" s="14">
        <f>standardized!K30/standardized!K$17</f>
        <v>0</v>
      </c>
    </row>
    <row r="17" spans="1:11" x14ac:dyDescent="0.2">
      <c r="A17" s="7" t="s">
        <v>40</v>
      </c>
      <c r="B17" s="14">
        <f>standardized!B31/standardized!B$17</f>
        <v>0</v>
      </c>
      <c r="C17" s="14">
        <f>standardized!C31/standardized!C$17</f>
        <v>0</v>
      </c>
      <c r="D17" s="14">
        <f>standardized!D31/standardized!D$17</f>
        <v>0</v>
      </c>
      <c r="E17" s="14">
        <f>standardized!E31/standardized!E$17</f>
        <v>0</v>
      </c>
      <c r="F17" s="14">
        <f>standardized!F31/standardized!F$17</f>
        <v>0</v>
      </c>
      <c r="G17" s="14">
        <f>standardized!G31/standardized!G$17</f>
        <v>0</v>
      </c>
      <c r="H17" s="14">
        <f>standardized!H31/standardized!H$17</f>
        <v>0</v>
      </c>
      <c r="I17" s="14">
        <f>standardized!I31/standardized!I$17</f>
        <v>0</v>
      </c>
      <c r="J17" s="14">
        <f>standardized!J31/standardized!J$17</f>
        <v>0</v>
      </c>
      <c r="K17" s="14">
        <f>standardized!K31/standardized!K$17</f>
        <v>0</v>
      </c>
    </row>
    <row r="18" spans="1:11" x14ac:dyDescent="0.2">
      <c r="A18" s="7" t="s">
        <v>41</v>
      </c>
      <c r="B18" s="14">
        <f>standardized!B32/standardized!B$17</f>
        <v>0.13469743823943872</v>
      </c>
      <c r="C18" s="14">
        <f>standardized!C32/standardized!C$17</f>
        <v>0.12255489021956088</v>
      </c>
      <c r="D18" s="14">
        <f>standardized!D32/standardized!D$17</f>
        <v>0.24109985528219971</v>
      </c>
      <c r="E18" s="14">
        <f>standardized!E32/standardized!E$17</f>
        <v>0.3136709903232448</v>
      </c>
      <c r="F18" s="14">
        <f>standardized!F32/standardized!F$17</f>
        <v>0.35344827586206895</v>
      </c>
      <c r="G18" s="14">
        <f>standardized!G32/standardized!G$17</f>
        <v>0.25609085913170909</v>
      </c>
      <c r="H18" s="14">
        <f>standardized!H32/standardized!H$17</f>
        <v>0.25979010494752625</v>
      </c>
      <c r="I18" s="14">
        <f>standardized!I32/standardized!I$17</f>
        <v>0.36233930296499961</v>
      </c>
      <c r="J18" s="14">
        <f>standardized!J32/standardized!J$17</f>
        <v>0.16193371394676356</v>
      </c>
      <c r="K18" s="14">
        <f>standardized!K32/standardized!K$17</f>
        <v>0.4884934834706674</v>
      </c>
    </row>
    <row r="19" spans="1:11" x14ac:dyDescent="0.2">
      <c r="A19" s="7" t="s">
        <v>42</v>
      </c>
      <c r="B19" s="14">
        <f>standardized!B33/standardized!B$17</f>
        <v>0</v>
      </c>
      <c r="C19" s="14">
        <f>standardized!C33/standardized!C$17</f>
        <v>0</v>
      </c>
      <c r="D19" s="14">
        <f>standardized!D33/standardized!D$17</f>
        <v>0</v>
      </c>
      <c r="E19" s="14">
        <f>standardized!E33/standardized!E$17</f>
        <v>0</v>
      </c>
      <c r="F19" s="14">
        <f>standardized!F33/standardized!F$17</f>
        <v>0</v>
      </c>
      <c r="G19" s="14">
        <f>standardized!G33/standardized!G$17</f>
        <v>0</v>
      </c>
      <c r="H19" s="14">
        <f>standardized!H33/standardized!H$17</f>
        <v>0</v>
      </c>
      <c r="I19" s="14">
        <f>standardized!I33/standardized!I$17</f>
        <v>0</v>
      </c>
      <c r="J19" s="14">
        <f>standardized!J33/standardized!J$17</f>
        <v>0</v>
      </c>
      <c r="K19" s="14">
        <f>standardized!K33/standardized!K$17</f>
        <v>0</v>
      </c>
    </row>
    <row r="20" spans="1:11" x14ac:dyDescent="0.2">
      <c r="A20" s="7" t="s">
        <v>43</v>
      </c>
      <c r="B20" s="14">
        <f>standardized!B34/standardized!B$17</f>
        <v>0.13469743823943872</v>
      </c>
      <c r="C20" s="14">
        <f>standardized!C34/standardized!C$17</f>
        <v>0.12255489021956088</v>
      </c>
      <c r="D20" s="14">
        <f>standardized!D34/standardized!D$17</f>
        <v>0.24109985528219971</v>
      </c>
      <c r="E20" s="14">
        <f>standardized!E34/standardized!E$17</f>
        <v>0.3136709903232448</v>
      </c>
      <c r="F20" s="14">
        <f>standardized!F34/standardized!F$17</f>
        <v>0.35344827586206895</v>
      </c>
      <c r="G20" s="14">
        <f>standardized!G34/standardized!G$17</f>
        <v>0.25609085913170909</v>
      </c>
      <c r="H20" s="14">
        <f>standardized!H34/standardized!H$17</f>
        <v>0.25979010494752625</v>
      </c>
      <c r="I20" s="14">
        <f>standardized!I34/standardized!I$17</f>
        <v>0.36233930296499961</v>
      </c>
      <c r="J20" s="14">
        <f>standardized!J34/standardized!J$17</f>
        <v>0.16193371394676356</v>
      </c>
      <c r="K20" s="14">
        <f>standardized!K34/standardized!K$17</f>
        <v>0.4884934834706674</v>
      </c>
    </row>
    <row r="21" spans="1:11" x14ac:dyDescent="0.2">
      <c r="A21" s="18" t="s">
        <v>44</v>
      </c>
      <c r="B21" s="14">
        <f>standardized!B35/standardized!B$17</f>
        <v>4.7191556052356649</v>
      </c>
      <c r="C21" s="14">
        <f>standardized!C35/standardized!C$17</f>
        <v>4.3353293413173652</v>
      </c>
      <c r="D21" s="14">
        <f>standardized!D35/standardized!D$17</f>
        <v>3.1316931982633864</v>
      </c>
      <c r="E21" s="14">
        <f>standardized!E35/standardized!E$17</f>
        <v>2.4665431336215771</v>
      </c>
      <c r="F21" s="14">
        <f>standardized!F35/standardized!F$17</f>
        <v>2.0757937862751792</v>
      </c>
      <c r="G21" s="14">
        <f>standardized!G35/standardized!G$17</f>
        <v>2.2311778714050194</v>
      </c>
      <c r="H21" s="14">
        <f>standardized!H35/standardized!H$17</f>
        <v>1.4800599700149926</v>
      </c>
      <c r="I21" s="14">
        <f>standardized!I35/standardized!I$17</f>
        <v>0.92739838002526565</v>
      </c>
      <c r="J21" s="14">
        <f>standardized!J35/standardized!J$17</f>
        <v>0.92199896196337217</v>
      </c>
      <c r="K21" s="14">
        <f>standardized!K35/standardized!K$17</f>
        <v>0.40527231541971703</v>
      </c>
    </row>
    <row r="22" spans="1:11" x14ac:dyDescent="0.2">
      <c r="A22" s="7" t="s">
        <v>45</v>
      </c>
      <c r="B22" s="14">
        <f>standardized!B36/standardized!B$17</f>
        <v>6.4081929173661388E-9</v>
      </c>
      <c r="C22" s="14">
        <f>standardized!C36/standardized!C$17</f>
        <v>5.9880239520958083E-9</v>
      </c>
      <c r="D22" s="14">
        <f>standardized!D36/standardized!D$17</f>
        <v>1.1577424023154848E-8</v>
      </c>
      <c r="E22" s="14">
        <f>standardized!E36/standardized!E$17</f>
        <v>1.3382746551369159E-8</v>
      </c>
      <c r="F22" s="14">
        <f>standardized!F36/standardized!F$17</f>
        <v>1.4510071696824856E-8</v>
      </c>
      <c r="G22" s="14">
        <f>standardized!G36/standardized!G$17</f>
        <v>1.0075105330646639E-8</v>
      </c>
      <c r="H22" s="14">
        <f>standardized!H36/standardized!H$17</f>
        <v>1.0794602698650674E-8</v>
      </c>
      <c r="I22" s="14">
        <f>standardized!I36/standardized!I$17</f>
        <v>1.4490599687894776E-8</v>
      </c>
      <c r="J22" s="14">
        <f>standardized!J36/standardized!J$17</f>
        <v>6.6730926076962995E-9</v>
      </c>
      <c r="K22" s="14">
        <f>standardized!K36/standardized!K$17</f>
        <v>1.9861462197564099E-8</v>
      </c>
    </row>
    <row r="23" spans="1:11" x14ac:dyDescent="0.2">
      <c r="A23" s="7" t="s">
        <v>46</v>
      </c>
      <c r="B23" s="14">
        <f>standardized!B37/standardized!B$17</f>
        <v>6.4081929173661388E-9</v>
      </c>
      <c r="C23" s="14">
        <f>standardized!C37/standardized!C$17</f>
        <v>5.9880239520958083E-9</v>
      </c>
      <c r="D23" s="14">
        <f>standardized!D37/standardized!D$17</f>
        <v>1.1577424023154848E-8</v>
      </c>
      <c r="E23" s="14">
        <f>standardized!E37/standardized!E$17</f>
        <v>1.3382746551369159E-8</v>
      </c>
      <c r="F23" s="14">
        <f>standardized!F37/standardized!F$17</f>
        <v>1.4510071696824856E-8</v>
      </c>
      <c r="G23" s="14">
        <f>standardized!G37/standardized!G$17</f>
        <v>1.0075105330646639E-8</v>
      </c>
      <c r="H23" s="14">
        <f>standardized!H37/standardized!H$17</f>
        <v>1.0794602698650674E-8</v>
      </c>
      <c r="I23" s="14">
        <f>standardized!I37/standardized!I$17</f>
        <v>1.4490599687894776E-8</v>
      </c>
      <c r="J23" s="14">
        <f>standardized!J37/standardized!J$17</f>
        <v>6.6730926076962995E-9</v>
      </c>
      <c r="K23" s="14">
        <f>standardized!K37/standardized!K$17</f>
        <v>1.9861462197564099E-8</v>
      </c>
    </row>
    <row r="24" spans="1:11" x14ac:dyDescent="0.2">
      <c r="A24" s="7" t="s">
        <v>47</v>
      </c>
      <c r="B24" s="14">
        <f>standardized!B38/standardized!B$17</f>
        <v>4.8109978261273563</v>
      </c>
      <c r="C24" s="14">
        <f>standardized!C38/standardized!C$17</f>
        <v>4.5429141716566868</v>
      </c>
      <c r="D24" s="14">
        <f>standardized!D38/standardized!D$17</f>
        <v>3.7568740955137483</v>
      </c>
      <c r="E24" s="14">
        <f>standardized!E38/standardized!E$17</f>
        <v>2.6024294832200949</v>
      </c>
      <c r="F24" s="14">
        <f>standardized!F38/standardized!F$17</f>
        <v>2.1338340730624785</v>
      </c>
      <c r="G24" s="14">
        <f>standardized!G38/standardized!G$17</f>
        <v>2.2641509433962264</v>
      </c>
      <c r="H24" s="14">
        <f>standardized!H38/standardized!H$17</f>
        <v>1.5064467766116942</v>
      </c>
      <c r="I24" s="14">
        <f>standardized!I38/standardized!I$17</f>
        <v>0.94188897971316043</v>
      </c>
      <c r="J24" s="14">
        <f>standardized!J38/standardized!J$17</f>
        <v>0.9294135093052569</v>
      </c>
      <c r="K24" s="14">
        <f>standardized!K38/standardized!K$17</f>
        <v>0.40937592331177569</v>
      </c>
    </row>
    <row r="25" spans="1:11" x14ac:dyDescent="0.2">
      <c r="A25" s="7" t="s">
        <v>48</v>
      </c>
      <c r="B25" s="14">
        <f>standardized!B39/standardized!B$17</f>
        <v>6.4081929173661388E-9</v>
      </c>
      <c r="C25" s="14">
        <f>standardized!C39/standardized!C$17</f>
        <v>5.9880239520958083E-9</v>
      </c>
      <c r="D25" s="14">
        <f>standardized!D39/standardized!D$17</f>
        <v>8.6830680173661351E-9</v>
      </c>
      <c r="E25" s="14">
        <f>standardized!E39/standardized!E$17</f>
        <v>1.2353304508956145E-8</v>
      </c>
      <c r="F25" s="14">
        <f>standardized!F39/standardized!F$17</f>
        <v>1.4510071696824856E-8</v>
      </c>
      <c r="G25" s="14">
        <f>standardized!G39/standardized!G$17</f>
        <v>1.0075105330646639E-8</v>
      </c>
      <c r="H25" s="14">
        <f>standardized!H39/standardized!H$17</f>
        <v>1.0194902548725638E-8</v>
      </c>
      <c r="I25" s="14">
        <f>standardized!I39/standardized!I$17</f>
        <v>1.4490599687894776E-8</v>
      </c>
      <c r="J25" s="14">
        <f>standardized!J39/standardized!J$17</f>
        <v>6.3023652406020617E-9</v>
      </c>
      <c r="K25" s="14">
        <f>standardized!K39/standardized!K$17</f>
        <v>1.9533173566199401E-8</v>
      </c>
    </row>
    <row r="26" spans="1:11" x14ac:dyDescent="0.2">
      <c r="A26" s="7" t="s">
        <v>49</v>
      </c>
      <c r="B26" s="14">
        <f>standardized!B40/standardized!B$17</f>
        <v>6.4081929173661388E-9</v>
      </c>
      <c r="C26" s="14">
        <f>standardized!C40/standardized!C$17</f>
        <v>5.9880239520958083E-9</v>
      </c>
      <c r="D26" s="14">
        <f>standardized!D40/standardized!D$17</f>
        <v>8.6830680173661351E-9</v>
      </c>
      <c r="E26" s="14">
        <f>standardized!E40/standardized!E$17</f>
        <v>1.2353304508956145E-8</v>
      </c>
      <c r="F26" s="14">
        <f>standardized!F40/standardized!F$17</f>
        <v>1.4510071696824856E-8</v>
      </c>
      <c r="G26" s="14">
        <f>standardized!G40/standardized!G$17</f>
        <v>1.0075105330646639E-8</v>
      </c>
      <c r="H26" s="14">
        <f>standardized!H40/standardized!H$17</f>
        <v>1.0194902548725638E-8</v>
      </c>
      <c r="I26" s="14">
        <f>standardized!I40/standardized!I$17</f>
        <v>1.4490599687894776E-8</v>
      </c>
      <c r="J26" s="14">
        <f>standardized!J40/standardized!J$17</f>
        <v>6.3023652406020617E-9</v>
      </c>
      <c r="K26" s="14">
        <f>standardized!K40/standardized!K$17</f>
        <v>1.9533173566199401E-8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standardized</vt:lpstr>
      <vt:lpstr>Sheet1</vt:lpstr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Manish Babu Palakurti</cp:lastModifiedBy>
  <dcterms:created xsi:type="dcterms:W3CDTF">2025-01-18T01:29:58Z</dcterms:created>
  <dcterms:modified xsi:type="dcterms:W3CDTF">2025-01-19T21:15:03Z</dcterms:modified>
  <cp:category/>
</cp:coreProperties>
</file>