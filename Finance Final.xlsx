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n/Desktop/Documents/Finance/Group project/"/>
    </mc:Choice>
  </mc:AlternateContent>
  <xr:revisionPtr revIDLastSave="0" documentId="13_ncr:1_{CB4CB5F8-8A34-7047-865F-8B35351DE9BA}" xr6:coauthVersionLast="47" xr6:coauthVersionMax="47" xr10:uidLastSave="{00000000-0000-0000-0000-000000000000}"/>
  <bookViews>
    <workbookView xWindow="0" yWindow="620" windowWidth="25600" windowHeight="15940" activeTab="4" xr2:uid="{00000000-000D-0000-FFFF-FFFF00000000}"/>
  </bookViews>
  <sheets>
    <sheet name="IS" sheetId="1" r:id="rId1"/>
    <sheet name="SalesGrowthRegression" sheetId="9" r:id="rId2"/>
    <sheet name="SalesRegression" sheetId="7" r:id="rId3"/>
    <sheet name="StockReturns" sheetId="11" r:id="rId4"/>
    <sheet name="Projections" sheetId="6" r:id="rId5"/>
    <sheet name="WACC,RV" sheetId="12" r:id="rId6"/>
    <sheet name="CS IS" sheetId="3" r:id="rId7"/>
    <sheet name="BS" sheetId="2" r:id="rId8"/>
    <sheet name="Financial Ratios" sheetId="4" r:id="rId9"/>
    <sheet name="Sheet2" sheetId="13" r:id="rId10"/>
    <sheet name="Sheet1" sheetId="5" r:id="rId11"/>
  </sheets>
  <definedNames>
    <definedName name="_xlchart.v1.0" hidden="1">IS!$C$16:$K$16</definedName>
    <definedName name="_xlchart.v1.1" hidden="1">IS!$C$51:$K$51</definedName>
    <definedName name="_xlchart.v1.10" hidden="1">'Financial Ratios'!$B$11:$K$11</definedName>
    <definedName name="_xlchart.v1.11" hidden="1">'Financial Ratios'!$B$34:$K$34</definedName>
    <definedName name="_xlchart.v1.12" hidden="1">'Financial Ratios'!$B$11:$K$11</definedName>
    <definedName name="_xlchart.v1.13" hidden="1">'Financial Ratios'!$B$34:$K$34</definedName>
    <definedName name="_xlchart.v1.14" hidden="1">'Financial Ratios'!$B$11:$K$11</definedName>
    <definedName name="_xlchart.v1.15" hidden="1">'Financial Ratios'!$B$35:$K$35</definedName>
    <definedName name="_xlchart.v1.2" hidden="1">Projections!$B$111</definedName>
    <definedName name="_xlchart.v1.3" hidden="1">Projections!$B$3</definedName>
    <definedName name="_xlchart.v1.4" hidden="1">Projections!$C$111:$M$111</definedName>
    <definedName name="_xlchart.v1.5" hidden="1">Projections!$C$3:$M$3</definedName>
    <definedName name="_xlchart.v1.6" hidden="1">Projections!$B$111</definedName>
    <definedName name="_xlchart.v1.7" hidden="1">Projections!$B$3</definedName>
    <definedName name="_xlchart.v1.8" hidden="1">Projections!$C$111:$M$111</definedName>
    <definedName name="_xlchart.v1.9" hidden="1">Projections!$C$3:$M$3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6" l="1"/>
  <c r="E412" i="11"/>
  <c r="M111" i="6"/>
  <c r="H111" i="6"/>
  <c r="I111" i="6"/>
  <c r="J111" i="6"/>
  <c r="K111" i="6"/>
  <c r="L111" i="6"/>
  <c r="G111" i="6"/>
  <c r="C4" i="12" l="1"/>
  <c r="C42" i="4"/>
  <c r="D42" i="4"/>
  <c r="E42" i="4"/>
  <c r="F42" i="4"/>
  <c r="G42" i="4"/>
  <c r="H42" i="4"/>
  <c r="I42" i="4"/>
  <c r="J42" i="4"/>
  <c r="K42" i="4"/>
  <c r="B42" i="4"/>
  <c r="I13" i="12"/>
  <c r="I12" i="12"/>
  <c r="I11" i="12"/>
  <c r="I10" i="12"/>
  <c r="G10" i="12"/>
  <c r="G13" i="12"/>
  <c r="G12" i="12"/>
  <c r="G11" i="12"/>
  <c r="H12" i="12"/>
  <c r="H11" i="12"/>
  <c r="H10" i="12"/>
  <c r="F13" i="12"/>
  <c r="F12" i="12"/>
  <c r="F11" i="12"/>
  <c r="F10" i="12"/>
  <c r="E13" i="12"/>
  <c r="E11" i="12"/>
  <c r="E10" i="12"/>
  <c r="E12" i="12"/>
  <c r="F29" i="6"/>
  <c r="E29" i="6"/>
  <c r="E68" i="6"/>
  <c r="F68" i="6" s="1"/>
  <c r="G68" i="6" s="1"/>
  <c r="H68" i="6" s="1"/>
  <c r="I68" i="6" s="1"/>
  <c r="J68" i="6" s="1"/>
  <c r="K68" i="6" s="1"/>
  <c r="L68" i="6" s="1"/>
  <c r="M68" i="6" s="1"/>
  <c r="D108" i="6" l="1"/>
  <c r="D95" i="6"/>
  <c r="D81" i="6"/>
  <c r="D80" i="6"/>
  <c r="C80" i="6"/>
  <c r="C41" i="6"/>
  <c r="C3" i="12" s="1"/>
  <c r="D129" i="6"/>
  <c r="C129" i="6"/>
  <c r="D70" i="6"/>
  <c r="C70" i="6"/>
  <c r="C128" i="6" s="1"/>
  <c r="G29" i="6"/>
  <c r="H29" i="6"/>
  <c r="I29" i="6"/>
  <c r="J29" i="6"/>
  <c r="K29" i="6"/>
  <c r="L29" i="6"/>
  <c r="M29" i="6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" i="11"/>
  <c r="G28" i="6"/>
  <c r="H28" i="6"/>
  <c r="I28" i="6"/>
  <c r="J28" i="6"/>
  <c r="K28" i="6"/>
  <c r="L28" i="6"/>
  <c r="M28" i="6"/>
  <c r="F28" i="6"/>
  <c r="C13" i="12" l="1"/>
  <c r="J13" i="12" s="1"/>
  <c r="C20" i="12" s="1"/>
  <c r="D20" i="12" s="1"/>
  <c r="C11" i="12"/>
  <c r="J11" i="12" s="1"/>
  <c r="C18" i="12" s="1"/>
  <c r="D18" i="12" s="1"/>
  <c r="C12" i="12"/>
  <c r="J12" i="12" s="1"/>
  <c r="C19" i="12" s="1"/>
  <c r="D19" i="12" s="1"/>
  <c r="C10" i="12"/>
  <c r="J10" i="12" s="1"/>
  <c r="C17" i="12" s="1"/>
  <c r="D17" i="12" s="1"/>
  <c r="D22" i="12" s="1"/>
  <c r="D128" i="6"/>
  <c r="C54" i="6" l="1"/>
  <c r="M26" i="2"/>
  <c r="N26" i="2"/>
  <c r="O26" i="2"/>
  <c r="P26" i="2"/>
  <c r="Q26" i="2"/>
  <c r="R26" i="2"/>
  <c r="S26" i="2"/>
  <c r="T26" i="2"/>
  <c r="U26" i="2"/>
  <c r="V26" i="2"/>
  <c r="D11" i="1"/>
  <c r="E11" i="1"/>
  <c r="F11" i="1"/>
  <c r="G11" i="1"/>
  <c r="H11" i="1"/>
  <c r="I11" i="1"/>
  <c r="J11" i="1"/>
  <c r="K11" i="1"/>
  <c r="C11" i="1"/>
  <c r="M25" i="2"/>
  <c r="N25" i="2"/>
  <c r="O25" i="2"/>
  <c r="P25" i="2"/>
  <c r="Q25" i="2"/>
  <c r="R25" i="2"/>
  <c r="S25" i="2"/>
  <c r="T25" i="2"/>
  <c r="U25" i="2"/>
  <c r="V25" i="2"/>
  <c r="M27" i="2"/>
  <c r="N27" i="2"/>
  <c r="O27" i="2"/>
  <c r="P27" i="2"/>
  <c r="Q27" i="2"/>
  <c r="R27" i="2"/>
  <c r="S27" i="2"/>
  <c r="T27" i="2"/>
  <c r="U27" i="2"/>
  <c r="V27" i="2"/>
  <c r="M31" i="2"/>
  <c r="N31" i="2"/>
  <c r="O31" i="2"/>
  <c r="P31" i="2"/>
  <c r="Q31" i="2"/>
  <c r="R31" i="2"/>
  <c r="S31" i="2"/>
  <c r="T31" i="2"/>
  <c r="U31" i="2"/>
  <c r="V31" i="2"/>
  <c r="M32" i="2"/>
  <c r="N32" i="2"/>
  <c r="O32" i="2"/>
  <c r="P32" i="2"/>
  <c r="Q32" i="2"/>
  <c r="R32" i="2"/>
  <c r="S32" i="2"/>
  <c r="T32" i="2"/>
  <c r="U32" i="2"/>
  <c r="V32" i="2"/>
  <c r="M33" i="2"/>
  <c r="N33" i="2"/>
  <c r="O33" i="2"/>
  <c r="P33" i="2"/>
  <c r="Q33" i="2"/>
  <c r="R33" i="2"/>
  <c r="S33" i="2"/>
  <c r="T33" i="2"/>
  <c r="U33" i="2"/>
  <c r="V33" i="2"/>
  <c r="M34" i="2"/>
  <c r="N34" i="2"/>
  <c r="O34" i="2"/>
  <c r="P34" i="2"/>
  <c r="Q34" i="2"/>
  <c r="R34" i="2"/>
  <c r="S34" i="2"/>
  <c r="T34" i="2"/>
  <c r="U34" i="2"/>
  <c r="V34" i="2"/>
  <c r="M35" i="2"/>
  <c r="N35" i="2"/>
  <c r="O35" i="2"/>
  <c r="P35" i="2"/>
  <c r="Q35" i="2"/>
  <c r="R35" i="2"/>
  <c r="S35" i="2"/>
  <c r="T35" i="2"/>
  <c r="U35" i="2"/>
  <c r="V35" i="2"/>
  <c r="M39" i="2"/>
  <c r="N39" i="2"/>
  <c r="O39" i="2"/>
  <c r="P39" i="2"/>
  <c r="Q39" i="2"/>
  <c r="R39" i="2"/>
  <c r="S39" i="2"/>
  <c r="T39" i="2"/>
  <c r="U39" i="2"/>
  <c r="V39" i="2"/>
  <c r="M40" i="2"/>
  <c r="N40" i="2"/>
  <c r="O40" i="2"/>
  <c r="P40" i="2"/>
  <c r="Q40" i="2"/>
  <c r="R40" i="2"/>
  <c r="S40" i="2"/>
  <c r="T40" i="2"/>
  <c r="U40" i="2"/>
  <c r="V40" i="2"/>
  <c r="M41" i="2"/>
  <c r="N41" i="2"/>
  <c r="O41" i="2"/>
  <c r="P41" i="2"/>
  <c r="Q41" i="2"/>
  <c r="R41" i="2"/>
  <c r="S41" i="2"/>
  <c r="T41" i="2"/>
  <c r="U41" i="2"/>
  <c r="V41" i="2"/>
  <c r="M44" i="2"/>
  <c r="N44" i="2"/>
  <c r="O44" i="2"/>
  <c r="P44" i="2"/>
  <c r="Q44" i="2"/>
  <c r="R44" i="2"/>
  <c r="S44" i="2"/>
  <c r="T44" i="2"/>
  <c r="U44" i="2"/>
  <c r="V44" i="2"/>
  <c r="M46" i="2"/>
  <c r="N46" i="2"/>
  <c r="O46" i="2"/>
  <c r="P46" i="2"/>
  <c r="Q46" i="2"/>
  <c r="R46" i="2"/>
  <c r="S46" i="2"/>
  <c r="T46" i="2"/>
  <c r="U46" i="2"/>
  <c r="V46" i="2"/>
  <c r="M47" i="2"/>
  <c r="N47" i="2"/>
  <c r="O47" i="2"/>
  <c r="P47" i="2"/>
  <c r="Q47" i="2"/>
  <c r="R47" i="2"/>
  <c r="S47" i="2"/>
  <c r="T47" i="2"/>
  <c r="U47" i="2"/>
  <c r="V47" i="2"/>
  <c r="M49" i="2"/>
  <c r="N49" i="2"/>
  <c r="O49" i="2"/>
  <c r="P49" i="2"/>
  <c r="Q49" i="2"/>
  <c r="R49" i="2"/>
  <c r="S49" i="2"/>
  <c r="T49" i="2"/>
  <c r="U49" i="2"/>
  <c r="V49" i="2"/>
  <c r="M50" i="2"/>
  <c r="N50" i="2"/>
  <c r="O50" i="2"/>
  <c r="P50" i="2"/>
  <c r="Q50" i="2"/>
  <c r="R50" i="2"/>
  <c r="S50" i="2"/>
  <c r="T50" i="2"/>
  <c r="U50" i="2"/>
  <c r="V50" i="2"/>
  <c r="M54" i="2"/>
  <c r="N54" i="2"/>
  <c r="O54" i="2"/>
  <c r="P54" i="2"/>
  <c r="Q54" i="2"/>
  <c r="R54" i="2"/>
  <c r="S54" i="2"/>
  <c r="T54" i="2"/>
  <c r="U54" i="2"/>
  <c r="V54" i="2"/>
  <c r="M55" i="2"/>
  <c r="N55" i="2"/>
  <c r="O55" i="2"/>
  <c r="P55" i="2"/>
  <c r="Q55" i="2"/>
  <c r="R55" i="2"/>
  <c r="S55" i="2"/>
  <c r="T55" i="2"/>
  <c r="U55" i="2"/>
  <c r="V55" i="2"/>
  <c r="M24" i="2"/>
  <c r="M19" i="2"/>
  <c r="N19" i="2"/>
  <c r="O19" i="2"/>
  <c r="P19" i="2"/>
  <c r="Q19" i="2"/>
  <c r="R19" i="2"/>
  <c r="S19" i="2"/>
  <c r="T19" i="2"/>
  <c r="U19" i="2"/>
  <c r="V19" i="2"/>
  <c r="N24" i="2"/>
  <c r="O24" i="2"/>
  <c r="P24" i="2"/>
  <c r="Q24" i="2"/>
  <c r="R24" i="2"/>
  <c r="S24" i="2"/>
  <c r="T24" i="2"/>
  <c r="U24" i="2"/>
  <c r="V24" i="2"/>
  <c r="N18" i="2"/>
  <c r="O18" i="2"/>
  <c r="P18" i="2"/>
  <c r="Q18" i="2"/>
  <c r="R18" i="2"/>
  <c r="S18" i="2"/>
  <c r="T18" i="2"/>
  <c r="U18" i="2"/>
  <c r="V18" i="2"/>
  <c r="M18" i="2"/>
  <c r="N17" i="2"/>
  <c r="O17" i="2"/>
  <c r="P17" i="2"/>
  <c r="Q17" i="2"/>
  <c r="R17" i="2"/>
  <c r="S17" i="2"/>
  <c r="T17" i="2"/>
  <c r="U17" i="2"/>
  <c r="V17" i="2"/>
  <c r="M17" i="2"/>
  <c r="O11" i="2"/>
  <c r="P11" i="2" s="1"/>
  <c r="Q11" i="2" s="1"/>
  <c r="R11" i="2" s="1"/>
  <c r="S11" i="2" s="1"/>
  <c r="T11" i="2" s="1"/>
  <c r="U11" i="2" s="1"/>
  <c r="V11" i="2" s="1"/>
  <c r="N11" i="2"/>
  <c r="B22" i="9"/>
  <c r="C9" i="2"/>
  <c r="D10" i="1"/>
  <c r="E10" i="1"/>
  <c r="F10" i="1"/>
  <c r="G10" i="1"/>
  <c r="H10" i="1"/>
  <c r="I10" i="1"/>
  <c r="J10" i="1"/>
  <c r="K10" i="1"/>
  <c r="C10" i="1"/>
  <c r="C9" i="1"/>
  <c r="C3" i="6"/>
  <c r="D3" i="6"/>
  <c r="F6" i="6"/>
  <c r="G6" i="6" s="1"/>
  <c r="H6" i="6" s="1"/>
  <c r="I6" i="6" s="1"/>
  <c r="J6" i="6" s="1"/>
  <c r="K6" i="6" s="1"/>
  <c r="L6" i="6" s="1"/>
  <c r="M6" i="6" s="1"/>
  <c r="D14" i="7"/>
  <c r="C14" i="7"/>
  <c r="C13" i="7"/>
  <c r="D13" i="7"/>
  <c r="B5" i="7"/>
  <c r="B6" i="7" s="1"/>
  <c r="B7" i="7" s="1"/>
  <c r="B8" i="7" s="1"/>
  <c r="B9" i="7" s="1"/>
  <c r="B10" i="7" s="1"/>
  <c r="B11" i="7" s="1"/>
  <c r="B12" i="7" s="1"/>
  <c r="D9" i="1"/>
  <c r="E9" i="1"/>
  <c r="F9" i="1"/>
  <c r="G9" i="1"/>
  <c r="H9" i="1"/>
  <c r="I9" i="1"/>
  <c r="J9" i="1"/>
  <c r="K9" i="1"/>
  <c r="D9" i="2"/>
  <c r="E9" i="2"/>
  <c r="F9" i="2"/>
  <c r="G9" i="2"/>
  <c r="H9" i="2"/>
  <c r="I9" i="2"/>
  <c r="J9" i="2"/>
  <c r="K9" i="2"/>
  <c r="D8" i="1"/>
  <c r="E8" i="1"/>
  <c r="F8" i="1"/>
  <c r="G8" i="1"/>
  <c r="H8" i="1"/>
  <c r="I8" i="1"/>
  <c r="J8" i="1"/>
  <c r="K8" i="1"/>
  <c r="C8" i="1"/>
  <c r="B19" i="3"/>
  <c r="C46" i="6"/>
  <c r="D46" i="6"/>
  <c r="C47" i="6"/>
  <c r="D47" i="6"/>
  <c r="E47" i="6" s="1"/>
  <c r="C48" i="6"/>
  <c r="D48" i="6"/>
  <c r="C49" i="6"/>
  <c r="D49" i="6"/>
  <c r="C50" i="6"/>
  <c r="D50" i="6"/>
  <c r="C51" i="6"/>
  <c r="C82" i="6" s="1"/>
  <c r="C91" i="6" s="1"/>
  <c r="D51" i="6"/>
  <c r="C52" i="6"/>
  <c r="D52" i="6"/>
  <c r="C53" i="6"/>
  <c r="D53" i="6"/>
  <c r="D54" i="6"/>
  <c r="D106" i="6" s="1"/>
  <c r="C55" i="6"/>
  <c r="D55" i="6"/>
  <c r="C56" i="6"/>
  <c r="D56" i="6"/>
  <c r="D93" i="6" s="1"/>
  <c r="D45" i="6"/>
  <c r="C45" i="6"/>
  <c r="B46" i="6"/>
  <c r="B47" i="6"/>
  <c r="B48" i="6"/>
  <c r="B49" i="6"/>
  <c r="B50" i="6"/>
  <c r="B51" i="6"/>
  <c r="B52" i="6"/>
  <c r="B53" i="6"/>
  <c r="B54" i="6"/>
  <c r="B55" i="6"/>
  <c r="B56" i="6"/>
  <c r="B45" i="6"/>
  <c r="C41" i="4"/>
  <c r="D41" i="4"/>
  <c r="E41" i="4"/>
  <c r="F41" i="4"/>
  <c r="G41" i="4"/>
  <c r="H41" i="4"/>
  <c r="I41" i="4"/>
  <c r="J41" i="4"/>
  <c r="K41" i="4"/>
  <c r="B41" i="4"/>
  <c r="B34" i="4"/>
  <c r="C34" i="4"/>
  <c r="D34" i="4"/>
  <c r="E34" i="4"/>
  <c r="F34" i="4"/>
  <c r="G34" i="4"/>
  <c r="H34" i="4"/>
  <c r="I34" i="4"/>
  <c r="J34" i="4"/>
  <c r="K34" i="4"/>
  <c r="C30" i="4"/>
  <c r="D30" i="4"/>
  <c r="E30" i="4"/>
  <c r="F30" i="4"/>
  <c r="G30" i="4"/>
  <c r="H30" i="4"/>
  <c r="I30" i="4"/>
  <c r="J30" i="4"/>
  <c r="K30" i="4"/>
  <c r="B30" i="4"/>
  <c r="B26" i="4"/>
  <c r="C26" i="4"/>
  <c r="D26" i="4"/>
  <c r="E26" i="4"/>
  <c r="F26" i="4"/>
  <c r="G26" i="4"/>
  <c r="H26" i="4"/>
  <c r="I26" i="4"/>
  <c r="J26" i="4"/>
  <c r="K26" i="4"/>
  <c r="C25" i="4"/>
  <c r="D25" i="4"/>
  <c r="E25" i="4"/>
  <c r="F25" i="4"/>
  <c r="G25" i="4"/>
  <c r="H25" i="4"/>
  <c r="I25" i="4"/>
  <c r="J25" i="4"/>
  <c r="K25" i="4"/>
  <c r="B25" i="4"/>
  <c r="B24" i="4"/>
  <c r="C24" i="4"/>
  <c r="D24" i="4"/>
  <c r="E24" i="4"/>
  <c r="F24" i="4"/>
  <c r="G24" i="4"/>
  <c r="H24" i="4"/>
  <c r="I24" i="4"/>
  <c r="J24" i="4"/>
  <c r="K24" i="4"/>
  <c r="D20" i="4"/>
  <c r="E20" i="4"/>
  <c r="F20" i="4"/>
  <c r="G20" i="4"/>
  <c r="H20" i="4"/>
  <c r="I20" i="4"/>
  <c r="J20" i="4"/>
  <c r="K20" i="4"/>
  <c r="C20" i="4"/>
  <c r="D19" i="4"/>
  <c r="D21" i="4" s="1"/>
  <c r="E19" i="4"/>
  <c r="E21" i="4" s="1"/>
  <c r="F19" i="4"/>
  <c r="F21" i="4" s="1"/>
  <c r="G19" i="4"/>
  <c r="G21" i="4" s="1"/>
  <c r="H19" i="4"/>
  <c r="H21" i="4" s="1"/>
  <c r="I19" i="4"/>
  <c r="I21" i="4" s="1"/>
  <c r="J19" i="4"/>
  <c r="J21" i="4" s="1"/>
  <c r="K19" i="4"/>
  <c r="K21" i="4" s="1"/>
  <c r="C19" i="4"/>
  <c r="C21" i="4" s="1"/>
  <c r="C15" i="4"/>
  <c r="D15" i="4"/>
  <c r="E15" i="4"/>
  <c r="F15" i="4"/>
  <c r="G15" i="4"/>
  <c r="H15" i="4"/>
  <c r="I15" i="4"/>
  <c r="J15" i="4"/>
  <c r="K15" i="4"/>
  <c r="B15" i="4"/>
  <c r="D51" i="1"/>
  <c r="E51" i="1"/>
  <c r="F51" i="1"/>
  <c r="G51" i="1"/>
  <c r="H51" i="1"/>
  <c r="I51" i="1"/>
  <c r="J51" i="1"/>
  <c r="K51" i="1"/>
  <c r="C51" i="1"/>
  <c r="C40" i="4"/>
  <c r="C39" i="4" s="1"/>
  <c r="D40" i="4"/>
  <c r="D39" i="4" s="1"/>
  <c r="E40" i="4"/>
  <c r="E39" i="4" s="1"/>
  <c r="F40" i="4"/>
  <c r="F39" i="4" s="1"/>
  <c r="G40" i="4"/>
  <c r="G39" i="4" s="1"/>
  <c r="H40" i="4"/>
  <c r="H39" i="4" s="1"/>
  <c r="I40" i="4"/>
  <c r="I39" i="4" s="1"/>
  <c r="J40" i="4"/>
  <c r="J39" i="4" s="1"/>
  <c r="K40" i="4"/>
  <c r="K39" i="4" s="1"/>
  <c r="B40" i="4"/>
  <c r="B39" i="4" s="1"/>
  <c r="C35" i="4"/>
  <c r="D35" i="4"/>
  <c r="E35" i="4"/>
  <c r="F35" i="4"/>
  <c r="G35" i="4"/>
  <c r="H35" i="4"/>
  <c r="I35" i="4"/>
  <c r="J35" i="4"/>
  <c r="K35" i="4"/>
  <c r="B35" i="4"/>
  <c r="C31" i="4"/>
  <c r="D31" i="4"/>
  <c r="E31" i="4"/>
  <c r="F31" i="4"/>
  <c r="G31" i="4"/>
  <c r="H31" i="4"/>
  <c r="I31" i="4"/>
  <c r="J31" i="4"/>
  <c r="K31" i="4"/>
  <c r="B31" i="4"/>
  <c r="C29" i="4"/>
  <c r="D29" i="4"/>
  <c r="E29" i="4"/>
  <c r="F29" i="4"/>
  <c r="G29" i="4"/>
  <c r="H29" i="4"/>
  <c r="I29" i="4"/>
  <c r="J29" i="4"/>
  <c r="K29" i="4"/>
  <c r="B29" i="4"/>
  <c r="C16" i="4"/>
  <c r="D16" i="4"/>
  <c r="E16" i="4"/>
  <c r="F16" i="4"/>
  <c r="G16" i="4"/>
  <c r="H16" i="4"/>
  <c r="I16" i="4"/>
  <c r="J16" i="4"/>
  <c r="K16" i="4"/>
  <c r="B16" i="4"/>
  <c r="C14" i="4"/>
  <c r="D14" i="4"/>
  <c r="E14" i="4"/>
  <c r="F14" i="4"/>
  <c r="G14" i="4"/>
  <c r="H14" i="4"/>
  <c r="I14" i="4"/>
  <c r="J14" i="4"/>
  <c r="K14" i="4"/>
  <c r="B14" i="4"/>
  <c r="C25" i="3"/>
  <c r="D25" i="3"/>
  <c r="E25" i="3"/>
  <c r="F25" i="3"/>
  <c r="G25" i="3"/>
  <c r="H25" i="3"/>
  <c r="I25" i="3"/>
  <c r="J25" i="3"/>
  <c r="K25" i="3"/>
  <c r="B25" i="3"/>
  <c r="C24" i="3"/>
  <c r="D24" i="3"/>
  <c r="E24" i="3"/>
  <c r="F24" i="3"/>
  <c r="G24" i="3"/>
  <c r="H24" i="3"/>
  <c r="I24" i="3"/>
  <c r="J24" i="3"/>
  <c r="K24" i="3"/>
  <c r="B24" i="3"/>
  <c r="C23" i="3"/>
  <c r="D23" i="3"/>
  <c r="E23" i="3"/>
  <c r="F23" i="3"/>
  <c r="G23" i="3"/>
  <c r="H23" i="3"/>
  <c r="I23" i="3"/>
  <c r="J23" i="3"/>
  <c r="K23" i="3"/>
  <c r="B23" i="3"/>
  <c r="I31" i="3"/>
  <c r="J31" i="3"/>
  <c r="K31" i="3"/>
  <c r="H31" i="3"/>
  <c r="C31" i="3"/>
  <c r="D31" i="3"/>
  <c r="E31" i="3"/>
  <c r="F31" i="3"/>
  <c r="G31" i="3"/>
  <c r="B16" i="3"/>
  <c r="C16" i="3"/>
  <c r="D16" i="3"/>
  <c r="E16" i="3"/>
  <c r="F16" i="3"/>
  <c r="G16" i="3"/>
  <c r="H16" i="3"/>
  <c r="I16" i="3"/>
  <c r="J16" i="3"/>
  <c r="K16" i="3"/>
  <c r="F17" i="3"/>
  <c r="G17" i="3"/>
  <c r="H17" i="3"/>
  <c r="I17" i="3"/>
  <c r="J17" i="3"/>
  <c r="K17" i="3"/>
  <c r="C18" i="3"/>
  <c r="D18" i="3"/>
  <c r="E18" i="3"/>
  <c r="F18" i="3"/>
  <c r="G18" i="3"/>
  <c r="H18" i="3"/>
  <c r="I18" i="3"/>
  <c r="J18" i="3"/>
  <c r="K18" i="3"/>
  <c r="C19" i="3"/>
  <c r="D19" i="3"/>
  <c r="E19" i="3"/>
  <c r="F19" i="3"/>
  <c r="G19" i="3"/>
  <c r="H19" i="3"/>
  <c r="I19" i="3"/>
  <c r="J19" i="3"/>
  <c r="K19" i="3"/>
  <c r="C20" i="3"/>
  <c r="D20" i="3"/>
  <c r="E20" i="3"/>
  <c r="F20" i="3"/>
  <c r="G20" i="3"/>
  <c r="H20" i="3"/>
  <c r="I20" i="3"/>
  <c r="J20" i="3"/>
  <c r="K20" i="3"/>
  <c r="C21" i="3"/>
  <c r="D21" i="3"/>
  <c r="E21" i="3"/>
  <c r="F21" i="3"/>
  <c r="G21" i="3"/>
  <c r="H21" i="3"/>
  <c r="I21" i="3"/>
  <c r="J21" i="3"/>
  <c r="K21" i="3"/>
  <c r="C22" i="3"/>
  <c r="D22" i="3"/>
  <c r="E22" i="3"/>
  <c r="F22" i="3"/>
  <c r="G22" i="3"/>
  <c r="H22" i="3"/>
  <c r="I22" i="3"/>
  <c r="J22" i="3"/>
  <c r="K22" i="3"/>
  <c r="C26" i="3"/>
  <c r="C27" i="3"/>
  <c r="D27" i="3"/>
  <c r="E27" i="3"/>
  <c r="F27" i="3"/>
  <c r="G27" i="3"/>
  <c r="H27" i="3"/>
  <c r="I27" i="3"/>
  <c r="J27" i="3"/>
  <c r="K27" i="3"/>
  <c r="C28" i="3"/>
  <c r="D28" i="3"/>
  <c r="E28" i="3"/>
  <c r="F28" i="3"/>
  <c r="G28" i="3"/>
  <c r="H28" i="3"/>
  <c r="I28" i="3"/>
  <c r="J28" i="3"/>
  <c r="K28" i="3"/>
  <c r="C29" i="3"/>
  <c r="D29" i="3"/>
  <c r="E29" i="3"/>
  <c r="F29" i="3"/>
  <c r="G29" i="3"/>
  <c r="H29" i="3"/>
  <c r="I29" i="3"/>
  <c r="J29" i="3"/>
  <c r="K29" i="3"/>
  <c r="C30" i="3"/>
  <c r="D30" i="3"/>
  <c r="E30" i="3"/>
  <c r="F30" i="3"/>
  <c r="G30" i="3"/>
  <c r="H30" i="3"/>
  <c r="I30" i="3"/>
  <c r="J30" i="3"/>
  <c r="K30" i="3"/>
  <c r="C32" i="3"/>
  <c r="D32" i="3"/>
  <c r="E32" i="3"/>
  <c r="F32" i="3"/>
  <c r="G32" i="3"/>
  <c r="H32" i="3"/>
  <c r="I32" i="3"/>
  <c r="J32" i="3"/>
  <c r="K32" i="3"/>
  <c r="B20" i="3"/>
  <c r="B21" i="3"/>
  <c r="B22" i="3"/>
  <c r="B27" i="3"/>
  <c r="B28" i="3"/>
  <c r="B29" i="3"/>
  <c r="B30" i="3"/>
  <c r="B31" i="3"/>
  <c r="B32" i="3"/>
  <c r="B18" i="3"/>
  <c r="C11" i="3"/>
  <c r="D11" i="3"/>
  <c r="E11" i="3"/>
  <c r="F11" i="3"/>
  <c r="G11" i="3"/>
  <c r="H11" i="3"/>
  <c r="I11" i="3"/>
  <c r="J11" i="3"/>
  <c r="K11" i="3"/>
  <c r="B11" i="3"/>
  <c r="O56" i="6" l="1"/>
  <c r="C90" i="6"/>
  <c r="C92" i="6" s="1"/>
  <c r="C93" i="6"/>
  <c r="D107" i="6"/>
  <c r="D110" i="6" s="1"/>
  <c r="D82" i="6"/>
  <c r="D83" i="6" s="1"/>
  <c r="D84" i="6" s="1"/>
  <c r="D88" i="6" s="1"/>
  <c r="C106" i="6"/>
  <c r="E48" i="6"/>
  <c r="E49" i="6" s="1"/>
  <c r="E50" i="6"/>
  <c r="P56" i="6"/>
  <c r="D90" i="6"/>
  <c r="E72" i="6"/>
  <c r="E73" i="6"/>
  <c r="W18" i="2"/>
  <c r="W49" i="2"/>
  <c r="W41" i="2"/>
  <c r="W35" i="2"/>
  <c r="W31" i="2"/>
  <c r="W55" i="2"/>
  <c r="W47" i="2"/>
  <c r="W40" i="2"/>
  <c r="W34" i="2"/>
  <c r="W27" i="2"/>
  <c r="W19" i="2"/>
  <c r="W54" i="2"/>
  <c r="W46" i="2"/>
  <c r="W44" i="2"/>
  <c r="W39" i="2"/>
  <c r="W33" i="2"/>
  <c r="W32" i="2"/>
  <c r="W26" i="2"/>
  <c r="W24" i="2"/>
  <c r="W17" i="2"/>
  <c r="W50" i="2"/>
  <c r="W25" i="2"/>
  <c r="L30" i="3"/>
  <c r="L28" i="3"/>
  <c r="L31" i="3"/>
  <c r="L25" i="3"/>
  <c r="L19" i="3"/>
  <c r="L29" i="3"/>
  <c r="L27" i="3"/>
  <c r="L23" i="3"/>
  <c r="L24" i="3"/>
  <c r="L22" i="3"/>
  <c r="L21" i="3"/>
  <c r="L20" i="3"/>
  <c r="D91" i="6" l="1"/>
  <c r="D92" i="6" s="1"/>
  <c r="D94" i="6" s="1"/>
  <c r="D96" i="6" s="1"/>
  <c r="C94" i="6"/>
  <c r="C96" i="6" s="1"/>
  <c r="E58" i="6"/>
  <c r="E67" i="6"/>
  <c r="E69" i="6" s="1"/>
  <c r="E51" i="6"/>
  <c r="E63" i="6" s="1"/>
  <c r="E60" i="6"/>
  <c r="E62" i="6"/>
  <c r="E81" i="6" s="1"/>
  <c r="F47" i="6"/>
  <c r="F73" i="6" s="1"/>
  <c r="E65" i="6"/>
  <c r="E59" i="6"/>
  <c r="D101" i="6" l="1"/>
  <c r="D97" i="6"/>
  <c r="E80" i="6"/>
  <c r="E61" i="6"/>
  <c r="E107" i="6"/>
  <c r="E82" i="6"/>
  <c r="E91" i="6" s="1"/>
  <c r="E52" i="6"/>
  <c r="E53" i="6" s="1"/>
  <c r="G47" i="6"/>
  <c r="G50" i="6" s="1"/>
  <c r="F59" i="6"/>
  <c r="F48" i="6"/>
  <c r="F49" i="6" s="1"/>
  <c r="F51" i="6"/>
  <c r="F82" i="6" s="1"/>
  <c r="F91" i="6" s="1"/>
  <c r="F50" i="6"/>
  <c r="F60" i="6"/>
  <c r="F67" i="6"/>
  <c r="F58" i="6"/>
  <c r="F65" i="6"/>
  <c r="F62" i="6"/>
  <c r="F81" i="6" s="1"/>
  <c r="F72" i="6"/>
  <c r="E64" i="6"/>
  <c r="E66" i="6" l="1"/>
  <c r="E75" i="6" s="1"/>
  <c r="F83" i="6"/>
  <c r="F80" i="6"/>
  <c r="G59" i="6"/>
  <c r="F84" i="6"/>
  <c r="G62" i="6"/>
  <c r="G81" i="6" s="1"/>
  <c r="G51" i="6"/>
  <c r="G82" i="6" s="1"/>
  <c r="G91" i="6" s="1"/>
  <c r="H47" i="6"/>
  <c r="I47" i="6" s="1"/>
  <c r="I50" i="6" s="1"/>
  <c r="G67" i="6"/>
  <c r="G69" i="6" s="1"/>
  <c r="G65" i="6"/>
  <c r="G73" i="6"/>
  <c r="E108" i="6"/>
  <c r="E95" i="6"/>
  <c r="F69" i="6"/>
  <c r="F95" i="6" s="1"/>
  <c r="G72" i="6"/>
  <c r="G48" i="6"/>
  <c r="G49" i="6" s="1"/>
  <c r="E83" i="6"/>
  <c r="G60" i="6"/>
  <c r="G58" i="6"/>
  <c r="F61" i="6"/>
  <c r="F88" i="6"/>
  <c r="F107" i="6"/>
  <c r="E54" i="6"/>
  <c r="F52" i="6"/>
  <c r="F63" i="6"/>
  <c r="F64" i="6" s="1"/>
  <c r="G80" i="6" l="1"/>
  <c r="H65" i="6"/>
  <c r="I59" i="6"/>
  <c r="I60" i="6"/>
  <c r="I65" i="6"/>
  <c r="I58" i="6"/>
  <c r="H72" i="6"/>
  <c r="G107" i="6"/>
  <c r="I67" i="6"/>
  <c r="I69" i="6" s="1"/>
  <c r="I62" i="6"/>
  <c r="H59" i="6"/>
  <c r="H51" i="6"/>
  <c r="H52" i="6" s="1"/>
  <c r="H53" i="6" s="1"/>
  <c r="H54" i="6" s="1"/>
  <c r="H62" i="6"/>
  <c r="H81" i="6" s="1"/>
  <c r="J47" i="6"/>
  <c r="J50" i="6" s="1"/>
  <c r="G52" i="6"/>
  <c r="G53" i="6" s="1"/>
  <c r="G54" i="6" s="1"/>
  <c r="G55" i="6" s="1"/>
  <c r="H73" i="6"/>
  <c r="H67" i="6"/>
  <c r="H69" i="6" s="1"/>
  <c r="H48" i="6"/>
  <c r="H49" i="6" s="1"/>
  <c r="I72" i="6"/>
  <c r="G83" i="6"/>
  <c r="G84" i="6" s="1"/>
  <c r="G88" i="6" s="1"/>
  <c r="H60" i="6"/>
  <c r="I48" i="6"/>
  <c r="I49" i="6" s="1"/>
  <c r="H58" i="6"/>
  <c r="H61" i="6" s="1"/>
  <c r="I73" i="6"/>
  <c r="I51" i="6"/>
  <c r="I82" i="6" s="1"/>
  <c r="I91" i="6" s="1"/>
  <c r="H50" i="6"/>
  <c r="F108" i="6"/>
  <c r="E84" i="6"/>
  <c r="E88" i="6" s="1"/>
  <c r="G61" i="6"/>
  <c r="G108" i="6" s="1"/>
  <c r="F66" i="6"/>
  <c r="F75" i="6" s="1"/>
  <c r="F53" i="6"/>
  <c r="F54" i="6" s="1"/>
  <c r="G95" i="6"/>
  <c r="E55" i="6"/>
  <c r="E106" i="6" s="1"/>
  <c r="E110" i="6" s="1"/>
  <c r="G63" i="6"/>
  <c r="G64" i="6" s="1"/>
  <c r="I61" i="6" l="1"/>
  <c r="I80" i="6"/>
  <c r="H82" i="6"/>
  <c r="H91" i="6" s="1"/>
  <c r="J48" i="6"/>
  <c r="J49" i="6" s="1"/>
  <c r="K47" i="6"/>
  <c r="K73" i="6" s="1"/>
  <c r="J73" i="6"/>
  <c r="J67" i="6"/>
  <c r="J69" i="6" s="1"/>
  <c r="I107" i="6"/>
  <c r="J58" i="6"/>
  <c r="J60" i="6"/>
  <c r="J72" i="6"/>
  <c r="J62" i="6"/>
  <c r="J81" i="6" s="1"/>
  <c r="J65" i="6"/>
  <c r="J51" i="6"/>
  <c r="J82" i="6" s="1"/>
  <c r="J91" i="6" s="1"/>
  <c r="H107" i="6"/>
  <c r="J59" i="6"/>
  <c r="I52" i="6"/>
  <c r="I53" i="6" s="1"/>
  <c r="I54" i="6" s="1"/>
  <c r="I55" i="6" s="1"/>
  <c r="I81" i="6"/>
  <c r="I83" i="6" s="1"/>
  <c r="I84" i="6" s="1"/>
  <c r="I88" i="6" s="1"/>
  <c r="H108" i="6"/>
  <c r="H80" i="6"/>
  <c r="I108" i="6"/>
  <c r="G56" i="6"/>
  <c r="G93" i="6" s="1"/>
  <c r="F55" i="6"/>
  <c r="S56" i="6"/>
  <c r="G106" i="6"/>
  <c r="G110" i="6" s="1"/>
  <c r="H55" i="6"/>
  <c r="E56" i="6"/>
  <c r="I95" i="6"/>
  <c r="G66" i="6"/>
  <c r="G75" i="6" s="1"/>
  <c r="H95" i="6"/>
  <c r="H83" i="6"/>
  <c r="H63" i="6"/>
  <c r="H64" i="6" s="1"/>
  <c r="H66" i="6" s="1"/>
  <c r="H75" i="6" s="1"/>
  <c r="K59" i="6" l="1"/>
  <c r="K60" i="6"/>
  <c r="K65" i="6"/>
  <c r="K62" i="6"/>
  <c r="K48" i="6"/>
  <c r="K49" i="6" s="1"/>
  <c r="K51" i="6"/>
  <c r="K82" i="6" s="1"/>
  <c r="K91" i="6" s="1"/>
  <c r="J61" i="6"/>
  <c r="J108" i="6" s="1"/>
  <c r="L47" i="6"/>
  <c r="L51" i="6" s="1"/>
  <c r="K67" i="6"/>
  <c r="K69" i="6" s="1"/>
  <c r="G90" i="6"/>
  <c r="G92" i="6" s="1"/>
  <c r="K58" i="6"/>
  <c r="K61" i="6" s="1"/>
  <c r="K72" i="6"/>
  <c r="K50" i="6"/>
  <c r="J83" i="6"/>
  <c r="J107" i="6"/>
  <c r="J52" i="6"/>
  <c r="J53" i="6" s="1"/>
  <c r="J54" i="6" s="1"/>
  <c r="J55" i="6" s="1"/>
  <c r="J80" i="6"/>
  <c r="K80" i="6"/>
  <c r="H84" i="6"/>
  <c r="H88" i="6" s="1"/>
  <c r="G94" i="6"/>
  <c r="G96" i="6" s="1"/>
  <c r="G97" i="6" s="1"/>
  <c r="G98" i="6" s="1"/>
  <c r="G100" i="6" s="1"/>
  <c r="G101" i="6" s="1"/>
  <c r="I56" i="6"/>
  <c r="I93" i="6" s="1"/>
  <c r="H56" i="6"/>
  <c r="H93" i="6" s="1"/>
  <c r="F56" i="6"/>
  <c r="F93" i="6" s="1"/>
  <c r="F106" i="6"/>
  <c r="F110" i="6" s="1"/>
  <c r="I106" i="6"/>
  <c r="I110" i="6" s="1"/>
  <c r="H106" i="6"/>
  <c r="H110" i="6" s="1"/>
  <c r="E93" i="6"/>
  <c r="Q56" i="6"/>
  <c r="E90" i="6"/>
  <c r="E92" i="6" s="1"/>
  <c r="K81" i="6"/>
  <c r="I63" i="6"/>
  <c r="J63" i="6" s="1"/>
  <c r="J64" i="6" s="1"/>
  <c r="J66" i="6" s="1"/>
  <c r="J75" i="6" s="1"/>
  <c r="J95" i="6"/>
  <c r="L60" i="6" l="1"/>
  <c r="L48" i="6"/>
  <c r="L49" i="6" s="1"/>
  <c r="L67" i="6"/>
  <c r="L69" i="6" s="1"/>
  <c r="K83" i="6"/>
  <c r="K84" i="6" s="1"/>
  <c r="K88" i="6" s="1"/>
  <c r="L65" i="6"/>
  <c r="L59" i="6"/>
  <c r="L80" i="6" s="1"/>
  <c r="K107" i="6"/>
  <c r="L50" i="6"/>
  <c r="L52" i="6" s="1"/>
  <c r="L53" i="6" s="1"/>
  <c r="L54" i="6" s="1"/>
  <c r="L58" i="6"/>
  <c r="J84" i="6"/>
  <c r="J88" i="6" s="1"/>
  <c r="M47" i="6"/>
  <c r="M73" i="6" s="1"/>
  <c r="K52" i="6"/>
  <c r="K53" i="6" s="1"/>
  <c r="K54" i="6" s="1"/>
  <c r="K55" i="6" s="1"/>
  <c r="L73" i="6"/>
  <c r="L62" i="6"/>
  <c r="L81" i="6" s="1"/>
  <c r="L72" i="6"/>
  <c r="K108" i="6"/>
  <c r="U56" i="6"/>
  <c r="I90" i="6"/>
  <c r="I92" i="6" s="1"/>
  <c r="I94" i="6" s="1"/>
  <c r="I96" i="6" s="1"/>
  <c r="I97" i="6" s="1"/>
  <c r="I98" i="6" s="1"/>
  <c r="I100" i="6" s="1"/>
  <c r="I101" i="6" s="1"/>
  <c r="T56" i="6"/>
  <c r="H90" i="6"/>
  <c r="J56" i="6"/>
  <c r="J93" i="6" s="1"/>
  <c r="R56" i="6"/>
  <c r="E94" i="6"/>
  <c r="E96" i="6" s="1"/>
  <c r="E97" i="6" s="1"/>
  <c r="E98" i="6" s="1"/>
  <c r="E128" i="6" s="1"/>
  <c r="E127" i="6" s="1"/>
  <c r="F90" i="6"/>
  <c r="F92" i="6" s="1"/>
  <c r="F94" i="6" s="1"/>
  <c r="J106" i="6"/>
  <c r="J110" i="6" s="1"/>
  <c r="K63" i="6"/>
  <c r="K64" i="6" s="1"/>
  <c r="K66" i="6" s="1"/>
  <c r="K75" i="6" s="1"/>
  <c r="K95" i="6"/>
  <c r="I64" i="6"/>
  <c r="I66" i="6" s="1"/>
  <c r="I75" i="6" s="1"/>
  <c r="L82" i="6"/>
  <c r="L91" i="6" s="1"/>
  <c r="L107" i="6" l="1"/>
  <c r="M65" i="6"/>
  <c r="L61" i="6"/>
  <c r="M72" i="6"/>
  <c r="M62" i="6"/>
  <c r="M51" i="6"/>
  <c r="M82" i="6" s="1"/>
  <c r="M60" i="6"/>
  <c r="M59" i="6"/>
  <c r="M80" i="6" s="1"/>
  <c r="M48" i="6"/>
  <c r="M49" i="6" s="1"/>
  <c r="M50" i="6"/>
  <c r="M58" i="6"/>
  <c r="M67" i="6"/>
  <c r="M69" i="6" s="1"/>
  <c r="J90" i="6"/>
  <c r="J92" i="6" s="1"/>
  <c r="J94" i="6" s="1"/>
  <c r="J96" i="6" s="1"/>
  <c r="J97" i="6" s="1"/>
  <c r="J98" i="6" s="1"/>
  <c r="J100" i="6" s="1"/>
  <c r="J101" i="6" s="1"/>
  <c r="L108" i="6"/>
  <c r="F96" i="6"/>
  <c r="F97" i="6" s="1"/>
  <c r="F98" i="6" s="1"/>
  <c r="H92" i="6"/>
  <c r="H94" i="6" s="1"/>
  <c r="H96" i="6" s="1"/>
  <c r="H97" i="6" s="1"/>
  <c r="H98" i="6" s="1"/>
  <c r="H100" i="6" s="1"/>
  <c r="H101" i="6" s="1"/>
  <c r="E100" i="6"/>
  <c r="E101" i="6" s="1"/>
  <c r="E70" i="6"/>
  <c r="E30" i="6" s="1"/>
  <c r="E31" i="6" s="1"/>
  <c r="V56" i="6"/>
  <c r="K56" i="6"/>
  <c r="K93" i="6" s="1"/>
  <c r="L63" i="6"/>
  <c r="L64" i="6" s="1"/>
  <c r="L66" i="6" s="1"/>
  <c r="L75" i="6" s="1"/>
  <c r="L95" i="6"/>
  <c r="M81" i="6"/>
  <c r="L55" i="6"/>
  <c r="K106" i="6"/>
  <c r="K110" i="6" s="1"/>
  <c r="L83" i="6"/>
  <c r="L84" i="6" s="1"/>
  <c r="L88" i="6" s="1"/>
  <c r="M107" i="6" l="1"/>
  <c r="M52" i="6"/>
  <c r="M53" i="6" s="1"/>
  <c r="M54" i="6" s="1"/>
  <c r="M61" i="6"/>
  <c r="M108" i="6"/>
  <c r="F100" i="6"/>
  <c r="F101" i="6" s="1"/>
  <c r="F128" i="6"/>
  <c r="G128" i="6" s="1"/>
  <c r="H128" i="6" s="1"/>
  <c r="I128" i="6" s="1"/>
  <c r="J128" i="6" s="1"/>
  <c r="E114" i="6"/>
  <c r="F30" i="6"/>
  <c r="W56" i="6"/>
  <c r="F70" i="6"/>
  <c r="E71" i="6"/>
  <c r="C119" i="6" s="1"/>
  <c r="K90" i="6"/>
  <c r="K92" i="6" s="1"/>
  <c r="K94" i="6" s="1"/>
  <c r="K96" i="6" s="1"/>
  <c r="K97" i="6" s="1"/>
  <c r="K98" i="6" s="1"/>
  <c r="K100" i="6" s="1"/>
  <c r="K101" i="6" s="1"/>
  <c r="M63" i="6"/>
  <c r="M64" i="6" s="1"/>
  <c r="M66" i="6" s="1"/>
  <c r="M75" i="6" s="1"/>
  <c r="L56" i="6"/>
  <c r="L93" i="6" s="1"/>
  <c r="L106" i="6"/>
  <c r="L110" i="6" s="1"/>
  <c r="M55" i="6"/>
  <c r="M56" i="6" s="1"/>
  <c r="M93" i="6" s="1"/>
  <c r="M95" i="6"/>
  <c r="M83" i="6"/>
  <c r="M84" i="6" s="1"/>
  <c r="M88" i="6" s="1"/>
  <c r="M91" i="6"/>
  <c r="K128" i="6" l="1"/>
  <c r="E129" i="6"/>
  <c r="F31" i="6"/>
  <c r="F114" i="6" s="1"/>
  <c r="G30" i="6"/>
  <c r="E74" i="6"/>
  <c r="L90" i="6"/>
  <c r="L92" i="6" s="1"/>
  <c r="L94" i="6" s="1"/>
  <c r="L96" i="6" s="1"/>
  <c r="L97" i="6" s="1"/>
  <c r="L98" i="6" s="1"/>
  <c r="L100" i="6" s="1"/>
  <c r="L101" i="6" s="1"/>
  <c r="G70" i="6"/>
  <c r="F127" i="6"/>
  <c r="F71" i="6"/>
  <c r="Y56" i="6"/>
  <c r="M106" i="6"/>
  <c r="M110" i="6" s="1"/>
  <c r="M90" i="6"/>
  <c r="M92" i="6" s="1"/>
  <c r="M94" i="6" s="1"/>
  <c r="M96" i="6" s="1"/>
  <c r="M97" i="6" s="1"/>
  <c r="M98" i="6" s="1"/>
  <c r="M100" i="6" s="1"/>
  <c r="M101" i="6" s="1"/>
  <c r="X56" i="6"/>
  <c r="L128" i="6" l="1"/>
  <c r="M128" i="6" s="1"/>
  <c r="G31" i="6"/>
  <c r="G114" i="6" s="1"/>
  <c r="H30" i="6"/>
  <c r="F129" i="6"/>
  <c r="F74" i="6"/>
  <c r="H70" i="6"/>
  <c r="G127" i="6"/>
  <c r="G71" i="6"/>
  <c r="H31" i="6" l="1"/>
  <c r="H114" i="6" s="1"/>
  <c r="I30" i="6"/>
  <c r="G129" i="6"/>
  <c r="G74" i="6"/>
  <c r="I70" i="6"/>
  <c r="H127" i="6"/>
  <c r="H71" i="6"/>
  <c r="I31" i="6" l="1"/>
  <c r="I114" i="6" s="1"/>
  <c r="J30" i="6"/>
  <c r="H129" i="6"/>
  <c r="H74" i="6"/>
  <c r="J70" i="6"/>
  <c r="I127" i="6"/>
  <c r="I71" i="6"/>
  <c r="J31" i="6" l="1"/>
  <c r="J114" i="6" s="1"/>
  <c r="K30" i="6"/>
  <c r="I129" i="6"/>
  <c r="I74" i="6"/>
  <c r="K70" i="6"/>
  <c r="J127" i="6"/>
  <c r="J71" i="6"/>
  <c r="K31" i="6" l="1"/>
  <c r="K114" i="6" s="1"/>
  <c r="L30" i="6"/>
  <c r="J129" i="6"/>
  <c r="J74" i="6"/>
  <c r="L70" i="6"/>
  <c r="K127" i="6"/>
  <c r="K71" i="6"/>
  <c r="L31" i="6" l="1"/>
  <c r="L114" i="6" s="1"/>
  <c r="M30" i="6"/>
  <c r="M31" i="6" s="1"/>
  <c r="E33" i="6" s="1"/>
  <c r="K129" i="6"/>
  <c r="K74" i="6"/>
  <c r="M70" i="6"/>
  <c r="L127" i="6"/>
  <c r="L71" i="6"/>
  <c r="M112" i="6" l="1"/>
  <c r="M113" i="6" s="1"/>
  <c r="M114" i="6" s="1"/>
  <c r="C115" i="6" s="1"/>
  <c r="C121" i="6" s="1"/>
  <c r="L129" i="6"/>
  <c r="L74" i="6"/>
  <c r="M127" i="6"/>
  <c r="M71" i="6"/>
  <c r="C117" i="6" l="1"/>
  <c r="M129" i="6"/>
  <c r="M74" i="6"/>
</calcChain>
</file>

<file path=xl/sharedStrings.xml><?xml version="1.0" encoding="utf-8"?>
<sst xmlns="http://schemas.openxmlformats.org/spreadsheetml/2006/main" count="544" uniqueCount="266">
  <si>
    <t>Powered by Clearbit</t>
  </si>
  <si>
    <t>Target Corp (NYS: TGT)</t>
  </si>
  <si>
    <t xml:space="preserve">Exchange rate used is that of the Year End reported date </t>
  </si>
  <si>
    <t xml:space="preserve">Standardized Annual Income Statement </t>
  </si>
  <si>
    <t>Report Date</t>
  </si>
  <si>
    <t>02/03/2024</t>
  </si>
  <si>
    <t>01/28/2023</t>
  </si>
  <si>
    <t>01/29/2022</t>
  </si>
  <si>
    <t>01/30/2021</t>
  </si>
  <si>
    <t>02/01/2020</t>
  </si>
  <si>
    <t>02/02/2019</t>
  </si>
  <si>
    <t>02/03/2018</t>
  </si>
  <si>
    <t>01/28/2017</t>
  </si>
  <si>
    <t>01/30/2016</t>
  </si>
  <si>
    <t>01/31/2015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</si>
  <si>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</si>
  <si>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</si>
  <si>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</si>
  <si>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</si>
  <si>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</si>
  <si>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</si>
  <si>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</si>
  <si>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</si>
  <si>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Sales Revenue</t>
  </si>
  <si>
    <t>Other Revenue</t>
  </si>
  <si>
    <t>-</t>
  </si>
  <si>
    <t>Total Revenue</t>
  </si>
  <si>
    <t>Direct Costs</t>
  </si>
  <si>
    <t>Gross Profit</t>
  </si>
  <si>
    <t>Selling General &amp; Admin</t>
  </si>
  <si>
    <t>Depreciation &amp; Amortization</t>
  </si>
  <si>
    <t>Other Operating Expense</t>
  </si>
  <si>
    <t>Total Indirect Operating Costs</t>
  </si>
  <si>
    <t>Operating Income</t>
  </si>
  <si>
    <t>Interest Income</t>
  </si>
  <si>
    <t>Gains on Sale of Assets</t>
  </si>
  <si>
    <t>Other Non-Operating Income</t>
  </si>
  <si>
    <t>Total Non-Operating Income</t>
  </si>
  <si>
    <t>Earnings Before Tax</t>
  </si>
  <si>
    <t>Taxation</t>
  </si>
  <si>
    <t>Discontinued Operations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</si>
  <si>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</si>
  <si>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</si>
  <si>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</si>
  <si>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</si>
  <si>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</si>
  <si>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</si>
  <si>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</si>
  <si>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</si>
  <si>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</si>
  <si>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</si>
  <si>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</si>
  <si>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</si>
  <si>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 xml:space="preserve">Standardized Annual Balance Sheet </t>
  </si>
  <si>
    <t>Cash &amp; Equivalents</t>
  </si>
  <si>
    <t>Cash &amp; Equivs &amp; ST Investments</t>
  </si>
  <si>
    <t>Receivables (ST)</t>
  </si>
  <si>
    <t>Inventories</t>
  </si>
  <si>
    <t>Current Tax Assets</t>
  </si>
  <si>
    <t>Prepayments (ST)</t>
  </si>
  <si>
    <t>Discontinued Ops (ST Asset)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</si>
  <si>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</si>
  <si>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</si>
  <si>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</si>
  <si>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</si>
  <si>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</si>
  <si>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</si>
  <si>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Prepayments (LT)</t>
  </si>
  <si>
    <t>Discontinued Ops (LT Asset)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</si>
  <si>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</si>
  <si>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</si>
  <si>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</si>
  <si>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</si>
  <si>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</si>
  <si>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</si>
  <si>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</si>
  <si>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Discontinued Ops (ST Liab)</t>
  </si>
  <si>
    <t>Other Current Liabilities</t>
  </si>
  <si>
    <t>Total Current Liabilities</t>
  </si>
  <si>
    <t>LT Debt &amp; Leases</t>
  </si>
  <si>
    <t>Pensions &amp; OPEB</t>
  </si>
  <si>
    <t>Discontinued Ops (LT Liab)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</si>
  <si>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</si>
  <si>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</si>
  <si>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</si>
  <si>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</si>
  <si>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</si>
  <si>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</si>
  <si>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</si>
  <si>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</si>
  <si>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</si>
  <si>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</si>
  <si>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</si>
  <si>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</si>
  <si>
    <t>Current ratio</t>
  </si>
  <si>
    <t>Quick ratio</t>
  </si>
  <si>
    <t>Inventory Turnover</t>
  </si>
  <si>
    <t>Cash Ratio</t>
  </si>
  <si>
    <t>fixed asset turnover</t>
  </si>
  <si>
    <t>debt ratio</t>
  </si>
  <si>
    <t>debt-equity ratio</t>
  </si>
  <si>
    <t>interest coverage</t>
  </si>
  <si>
    <t>gross profit margin</t>
  </si>
  <si>
    <t>operating profit margin</t>
  </si>
  <si>
    <t>net profit margin</t>
  </si>
  <si>
    <t>return on assets</t>
  </si>
  <si>
    <t>return on equity</t>
  </si>
  <si>
    <t>price/earning ratio</t>
  </si>
  <si>
    <t>earnings per share</t>
  </si>
  <si>
    <t>Share price</t>
  </si>
  <si>
    <t>Growth in sales</t>
  </si>
  <si>
    <t>Short Term Liabilities</t>
  </si>
  <si>
    <t>Days in Inventory</t>
  </si>
  <si>
    <t>Long term Solvency</t>
  </si>
  <si>
    <t>Profitability Ratios</t>
  </si>
  <si>
    <t>Management Efficiency</t>
  </si>
  <si>
    <t>Efficiency</t>
  </si>
  <si>
    <t>Valuation</t>
  </si>
  <si>
    <t>price/sales</t>
  </si>
  <si>
    <t>price/EBITDA</t>
  </si>
  <si>
    <t>Liquidity ratios</t>
  </si>
  <si>
    <t>current ratio</t>
  </si>
  <si>
    <t>Quick asset ratio</t>
  </si>
  <si>
    <t>cash ratio</t>
  </si>
  <si>
    <t>Asset Management Ratios</t>
  </si>
  <si>
    <t>average collection period</t>
  </si>
  <si>
    <t>inventory turnover</t>
  </si>
  <si>
    <t>cash conversion cycle</t>
  </si>
  <si>
    <t>Leverage Ratios</t>
  </si>
  <si>
    <t>debt equity ratio</t>
  </si>
  <si>
    <t>gross profit</t>
  </si>
  <si>
    <t>Sales Growth</t>
  </si>
  <si>
    <t>COGS/sales</t>
  </si>
  <si>
    <t>Year</t>
  </si>
  <si>
    <t>SalesGrowth</t>
  </si>
  <si>
    <t>SGAgrowth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</si>
  <si>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</si>
  <si>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</si>
  <si>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</si>
  <si>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</si>
  <si>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</si>
  <si>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</si>
  <si>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</si>
  <si>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</si>
  <si>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</si>
  <si>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</si>
  <si>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</si>
  <si>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</si>
  <si>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</si>
  <si>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</si>
  <si>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</si>
  <si>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</si>
  <si>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</si>
  <si>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</si>
  <si>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</si>
  <si>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</si>
  <si>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</si>
  <si>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</si>
  <si>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</si>
  <si>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</si>
  <si>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Avg</t>
  </si>
  <si>
    <t>StdDev</t>
  </si>
  <si>
    <t>SGA/Sales</t>
  </si>
  <si>
    <t>Average</t>
  </si>
  <si>
    <t>Depreciation/sales</t>
  </si>
  <si>
    <t>Taxation/EBIT</t>
  </si>
  <si>
    <t>SGA Growth</t>
  </si>
  <si>
    <t>tax/Ebit</t>
  </si>
  <si>
    <t>Cash/Sales</t>
  </si>
  <si>
    <t>S&amp;P</t>
  </si>
  <si>
    <t>Depreciation/Sales</t>
  </si>
  <si>
    <t>Receivables/Sales</t>
  </si>
  <si>
    <t>Inventories/Sales</t>
  </si>
  <si>
    <t>FA/Sales</t>
  </si>
  <si>
    <t>Income statement</t>
  </si>
  <si>
    <t>Balance statement</t>
  </si>
  <si>
    <t>Other Assets/Sales</t>
  </si>
  <si>
    <t>Common Size IS as percent of Total revenue</t>
  </si>
  <si>
    <t>Accounts Payable/sales</t>
  </si>
  <si>
    <t>Other Current Liabilities/Sales</t>
  </si>
  <si>
    <t>LT debt/Slales</t>
  </si>
  <si>
    <t>Deferred LT liabilities/Sales</t>
  </si>
  <si>
    <t>Other Liabilites/Sales</t>
  </si>
  <si>
    <t>Paid in Capital/Slaes</t>
  </si>
  <si>
    <t>Retained Earnings/Sales</t>
  </si>
  <si>
    <t>Investing Module</t>
  </si>
  <si>
    <t>Current Asset Investment</t>
  </si>
  <si>
    <t>Investment in new Fixed Assets</t>
  </si>
  <si>
    <t>Replacement of Depreciated Assets</t>
  </si>
  <si>
    <t>Fixed Asset Investment</t>
  </si>
  <si>
    <t>Total Investment</t>
  </si>
  <si>
    <t>Financiang Module</t>
  </si>
  <si>
    <t>Required financing</t>
  </si>
  <si>
    <t>Sources of funds:</t>
  </si>
  <si>
    <t>Net income</t>
  </si>
  <si>
    <t>Depreciation</t>
  </si>
  <si>
    <t>Earnings CF</t>
  </si>
  <si>
    <t>Minimum Dividend</t>
  </si>
  <si>
    <t>Internal Financing</t>
  </si>
  <si>
    <t>Spontaneous Financiang (CL)</t>
  </si>
  <si>
    <t>Total int and spont financing</t>
  </si>
  <si>
    <t>Required external financing</t>
  </si>
  <si>
    <t>Debt issued</t>
  </si>
  <si>
    <t>Equity issued</t>
  </si>
  <si>
    <t>Total discretionary financing</t>
  </si>
  <si>
    <t>Total financing</t>
  </si>
  <si>
    <t>Payout and financing</t>
  </si>
  <si>
    <t>Debt portion to fin operations</t>
  </si>
  <si>
    <t>Payout ratio</t>
  </si>
  <si>
    <t>Cashflow</t>
  </si>
  <si>
    <t>Year in the Future</t>
  </si>
  <si>
    <t>Operating CF</t>
  </si>
  <si>
    <t>Net CAPEX</t>
  </si>
  <si>
    <t>Net NWC</t>
  </si>
  <si>
    <t>Free cash flow`</t>
  </si>
  <si>
    <t>Interest expense</t>
  </si>
  <si>
    <t>Total Interest bearing debt</t>
  </si>
  <si>
    <t>Total debt</t>
  </si>
  <si>
    <t>Enterprise Value</t>
  </si>
  <si>
    <t>EV/share</t>
  </si>
  <si>
    <t>Net Debt</t>
  </si>
  <si>
    <t>Equity Value</t>
  </si>
  <si>
    <t>Proj Stock Price</t>
  </si>
  <si>
    <t>Interest and Debt Service</t>
  </si>
  <si>
    <t>External Factors</t>
  </si>
  <si>
    <t>Risk Free Rate</t>
  </si>
  <si>
    <t>Market risk premium</t>
  </si>
  <si>
    <t>Interest rate on debt (cost of debt)</t>
  </si>
  <si>
    <t>Annual sales growth</t>
  </si>
  <si>
    <t>Cost of equity</t>
  </si>
  <si>
    <t>Capital Structure (% debt)</t>
  </si>
  <si>
    <t>WACC (discount rate)</t>
  </si>
  <si>
    <t>Perpetual CF growth</t>
  </si>
  <si>
    <t>Perpetual discount</t>
  </si>
  <si>
    <t>beta</t>
  </si>
  <si>
    <t>Date</t>
  </si>
  <si>
    <t>Adj Close </t>
  </si>
  <si>
    <t>Stock monthly returns</t>
  </si>
  <si>
    <t>S&amp;P Monthy Return</t>
  </si>
  <si>
    <t>Rf</t>
  </si>
  <si>
    <t>Stock excess returns</t>
  </si>
  <si>
    <t>S&amp;P Excess returns</t>
  </si>
  <si>
    <t>Number of shares</t>
  </si>
  <si>
    <t>Market cap</t>
  </si>
  <si>
    <t>Terminal Value</t>
  </si>
  <si>
    <t>Market Cap</t>
  </si>
  <si>
    <t>Shares outstanding</t>
  </si>
  <si>
    <t xml:space="preserve">NET INCOME </t>
  </si>
  <si>
    <t>EBITDA</t>
  </si>
  <si>
    <t>SALES</t>
  </si>
  <si>
    <t>BOOK VALUE (EQUITY)</t>
  </si>
  <si>
    <t>Target</t>
  </si>
  <si>
    <t xml:space="preserve">P/E </t>
  </si>
  <si>
    <t>P/E (forward or last earnings)</t>
  </si>
  <si>
    <t>EBITDA multiplier</t>
  </si>
  <si>
    <t>Sales multiplier</t>
  </si>
  <si>
    <t>Book Value multiplier</t>
  </si>
  <si>
    <t>Walmart</t>
  </si>
  <si>
    <t>Kroger</t>
  </si>
  <si>
    <t>Costco</t>
  </si>
  <si>
    <t>Lowes</t>
  </si>
  <si>
    <t>Kohl's</t>
  </si>
  <si>
    <t>Cap Based on AVG</t>
  </si>
  <si>
    <t>Price per share</t>
  </si>
  <si>
    <t>ASSUMPTIONS</t>
  </si>
  <si>
    <t>%Free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</si>
</sst>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0.000"/>
    <numFmt numFmtId="166" formatCode="0.0000000000000000%"/>
    <numFmt numFmtId="167" formatCode="&quot;$&quot;#,##0.00"/>
    <numFmt numFmtId="168" formatCode="0.0%"/>
  </numFmts>
  <fonts count="28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57"/>
      <name val="Arial"/>
      <family val="2"/>
    </font>
    <font>
      <b/>
      <sz val="10"/>
      <color theme="5" tint="-0.249977111117893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rgb="FF232A31"/>
      <name val="Helvetica Neue"/>
      <family val="2"/>
    </font>
    <font>
      <sz val="14"/>
      <color rgb="FF232A31"/>
      <name val="Helvetica Neue"/>
      <family val="2"/>
    </font>
    <font>
      <b/>
      <sz val="14"/>
      <color theme="1"/>
      <name val="Calibri"/>
      <family val="2"/>
      <scheme val="minor"/>
    </font>
    <font>
      <sz val="10"/>
      <color rgb="FF00B050"/>
      <name val="Arial"/>
      <family val="2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0" fontId="4" fillId="0" borderId="0" xfId="0" applyFont="1" applyAlignment="1">
      <alignment horizontal="left" vertical="top"/>
    </xf>
    <xf numFmtId="2" fontId="0" fillId="0" borderId="0" xfId="1" applyNumberFormat="1" applyFont="1"/>
    <xf numFmtId="0" fontId="4" fillId="0" borderId="0" xfId="0" applyFont="1"/>
    <xf numFmtId="44" fontId="0" fillId="0" borderId="0" xfId="2" applyFont="1"/>
    <xf numFmtId="9" fontId="0" fillId="0" borderId="0" xfId="1" applyFont="1"/>
    <xf numFmtId="44" fontId="0" fillId="0" borderId="0" xfId="0" applyNumberForma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Continuous"/>
    </xf>
    <xf numFmtId="168" fontId="0" fillId="0" borderId="0" xfId="1" applyNumberFormat="1" applyFont="1"/>
    <xf numFmtId="9" fontId="0" fillId="0" borderId="0" xfId="0" applyNumberFormat="1"/>
    <xf numFmtId="0" fontId="3" fillId="0" borderId="0" xfId="0" applyFont="1"/>
    <xf numFmtId="10" fontId="3" fillId="0" borderId="0" xfId="0" applyNumberFormat="1" applyFont="1"/>
    <xf numFmtId="9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4" fillId="0" borderId="0" xfId="0" applyFont="1"/>
    <xf numFmtId="9" fontId="14" fillId="0" borderId="0" xfId="0" applyNumberFormat="1" applyFont="1"/>
    <xf numFmtId="10" fontId="14" fillId="0" borderId="0" xfId="0" applyNumberFormat="1" applyFont="1"/>
    <xf numFmtId="0" fontId="15" fillId="0" borderId="0" xfId="0" applyFont="1"/>
    <xf numFmtId="9" fontId="15" fillId="0" borderId="0" xfId="1" applyFont="1" applyFill="1"/>
    <xf numFmtId="10" fontId="0" fillId="0" borderId="0" xfId="1" applyNumberFormat="1" applyFont="1" applyFill="1"/>
    <xf numFmtId="0" fontId="16" fillId="0" borderId="0" xfId="0" applyFont="1"/>
    <xf numFmtId="0" fontId="17" fillId="0" borderId="0" xfId="0" applyFont="1"/>
    <xf numFmtId="9" fontId="14" fillId="0" borderId="0" xfId="1" applyFont="1" applyFill="1"/>
    <xf numFmtId="10" fontId="14" fillId="0" borderId="0" xfId="1" applyNumberFormat="1" applyFont="1" applyFill="1"/>
    <xf numFmtId="168" fontId="14" fillId="0" borderId="0" xfId="0" applyNumberFormat="1" applyFont="1"/>
    <xf numFmtId="10" fontId="15" fillId="0" borderId="0" xfId="1" applyNumberFormat="1" applyFont="1" applyFill="1"/>
    <xf numFmtId="0" fontId="18" fillId="0" borderId="0" xfId="0" applyFont="1"/>
    <xf numFmtId="15" fontId="19" fillId="0" borderId="0" xfId="0" applyNumberFormat="1" applyFont="1"/>
    <xf numFmtId="0" fontId="19" fillId="0" borderId="0" xfId="0" applyFont="1"/>
    <xf numFmtId="0" fontId="20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4" fontId="24" fillId="0" borderId="0" xfId="0" applyNumberFormat="1" applyFont="1"/>
    <xf numFmtId="0" fontId="24" fillId="0" borderId="0" xfId="0" applyFont="1"/>
    <xf numFmtId="3" fontId="24" fillId="0" borderId="0" xfId="0" applyNumberFormat="1" applyFont="1"/>
    <xf numFmtId="2" fontId="24" fillId="0" borderId="0" xfId="0" applyNumberFormat="1" applyFont="1"/>
    <xf numFmtId="2" fontId="25" fillId="0" borderId="0" xfId="0" applyNumberFormat="1" applyFont="1"/>
    <xf numFmtId="44" fontId="24" fillId="0" borderId="0" xfId="0" applyNumberFormat="1" applyFont="1"/>
    <xf numFmtId="44" fontId="26" fillId="0" borderId="0" xfId="0" applyNumberFormat="1" applyFont="1"/>
    <xf numFmtId="44" fontId="26" fillId="0" borderId="3" xfId="0" applyNumberFormat="1" applyFont="1" applyBorder="1"/>
    <xf numFmtId="0" fontId="4" fillId="0" borderId="4" xfId="0" applyFont="1" applyBorder="1"/>
    <xf numFmtId="0" fontId="10" fillId="0" borderId="4" xfId="0" applyFont="1" applyBorder="1"/>
    <xf numFmtId="0" fontId="0" fillId="0" borderId="4" xfId="0" applyBorder="1"/>
    <xf numFmtId="0" fontId="14" fillId="0" borderId="4" xfId="0" applyFont="1" applyBorder="1"/>
    <xf numFmtId="0" fontId="15" fillId="0" borderId="4" xfId="0" applyFont="1" applyBorder="1"/>
    <xf numFmtId="0" fontId="9" fillId="0" borderId="4" xfId="0" applyFont="1" applyBorder="1"/>
    <xf numFmtId="0" fontId="16" fillId="0" borderId="4" xfId="0" applyFont="1" applyBorder="1"/>
    <xf numFmtId="0" fontId="17" fillId="0" borderId="4" xfId="0" applyFont="1" applyBorder="1"/>
    <xf numFmtId="0" fontId="3" fillId="0" borderId="4" xfId="0" applyFont="1" applyBorder="1"/>
    <xf numFmtId="0" fontId="0" fillId="0" borderId="4" xfId="0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1" fillId="0" borderId="4" xfId="0" applyFont="1" applyBorder="1"/>
    <xf numFmtId="0" fontId="12" fillId="0" borderId="4" xfId="0" applyFont="1" applyBorder="1"/>
    <xf numFmtId="0" fontId="13" fillId="0" borderId="4" xfId="0" applyFont="1" applyBorder="1"/>
    <xf numFmtId="0" fontId="3" fillId="0" borderId="5" xfId="0" applyFont="1" applyBorder="1"/>
    <xf numFmtId="0" fontId="4" fillId="0" borderId="6" xfId="0" applyFont="1" applyBorder="1"/>
    <xf numFmtId="0" fontId="27" fillId="0" borderId="0" xfId="0" applyFont="1" applyAlignment="1">
      <alignment horizontal="center"/>
    </xf>
    <xf numFmtId="44" fontId="26" fillId="0" borderId="4" xfId="0" applyNumberFormat="1" applyFon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IS!$B$16:$K$16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IS!$B$23:$K$23</c:f>
              <c:numCache>
                <c:formatCode>0</c:formatCode>
                <c:ptCount val="10"/>
                <c:pt idx="0">
                  <c:v>72618</c:v>
                </c:pt>
                <c:pt idx="1">
                  <c:v>73785</c:v>
                </c:pt>
                <c:pt idx="2">
                  <c:v>69495</c:v>
                </c:pt>
                <c:pt idx="3">
                  <c:v>71879</c:v>
                </c:pt>
                <c:pt idx="4">
                  <c:v>75356</c:v>
                </c:pt>
                <c:pt idx="5">
                  <c:v>78112</c:v>
                </c:pt>
                <c:pt idx="6">
                  <c:v>93561</c:v>
                </c:pt>
                <c:pt idx="7">
                  <c:v>106005</c:v>
                </c:pt>
                <c:pt idx="8">
                  <c:v>109120</c:v>
                </c:pt>
                <c:pt idx="9">
                  <c:v>107412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F-CB4A-863D-7E8178763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325983"/>
        <c:axId val="646501407"/>
      </c:lineChart>
      <c:catAx>
        <c:axId val="64632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01407"/>
        <c:crosses val="autoZero"/>
        <c:auto val="1"/>
        <c:lblAlgn val="ctr"/>
        <c:lblOffset val="100"/>
        <c:noMultiLvlLbl val="0"/>
      </c:catAx>
      <c:valAx>
        <c:axId val="6465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2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Income (% of Total Income)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Projections!$O$43:$Y$43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Projections!$O$56:$Y$56</c:f>
              <c:numCache>
                <c:formatCode>0.00%</c:formatCode>
                <c:ptCount val="11"/>
                <c:pt idx="0">
                  <c:v>2.5476539589442817E-2</c:v>
                </c:pt>
                <c:pt idx="1">
                  <c:v>3.8524559639518861E-2</c:v>
                </c:pt>
                <c:pt idx="2">
                  <c:v>5.6250000000000008E-2</c:v>
                </c:pt>
                <c:pt idx="3">
                  <c:v>5.5500000000000028E-2</c:v>
                </c:pt>
                <c:pt idx="4">
                  <c:v>5.3249999999999978E-2</c:v>
                </c:pt>
                <c:pt idx="5">
                  <c:v>5.2499999999999991E-2</c:v>
                </c:pt>
                <c:pt idx="6">
                  <c:v>5.025000000000001E-2</c:v>
                </c:pt>
                <c:pt idx="7">
                  <c:v>4.9500000000000044E-2</c:v>
                </c:pt>
                <c:pt idx="8">
                  <c:v>4.725E-2</c:v>
                </c:pt>
                <c:pt idx="9">
                  <c:v>4.6500000000000014E-2</c:v>
                </c:pt>
                <c:pt idx="10">
                  <c:v>4.5750000000000061E-2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1-ED4F-8EAB-298EF35E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672655"/>
        <c:axId val="1067140751"/>
      </c:lineChart>
      <c:catAx>
        <c:axId val="6726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40751"/>
        <c:crosses val="autoZero"/>
        <c:auto val="1"/>
        <c:lblAlgn val="ctr"/>
        <c:lblOffset val="100"/>
        <c:noMultiLvlLbl val="0"/>
      </c:catAx>
      <c:valAx>
        <c:axId val="10671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Projections!$B$110</c:f>
              <c:strCache>
                <c:ptCount val="1"/>
                <c:pt idx="0">
                  <c:v>Free cash flow`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Projections!$C$3:$M$3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Projections!$C$110:$M$110</c:f>
              <c:numCache>
                <c:formatCode>_("$"* #,##0.00_);_("$"* \(#,##0.00\);_("$"* "-"??_);_(@_)</c:formatCode>
                <c:ptCount val="11"/>
                <c:pt idx="1">
                  <c:v>620</c:v>
                </c:pt>
                <c:pt idx="2">
                  <c:v>3121.4851699999963</c:v>
                </c:pt>
                <c:pt idx="3">
                  <c:v>3910.7121650640047</c:v>
                </c:pt>
                <c:pt idx="4">
                  <c:v>3916.2366993494325</c:v>
                </c:pt>
                <c:pt idx="5">
                  <c:v>2716.8746321633289</c:v>
                </c:pt>
                <c:pt idx="6">
                  <c:v>3919.1256178285048</c:v>
                </c:pt>
                <c:pt idx="7">
                  <c:v>3966.1203104346532</c:v>
                </c:pt>
                <c:pt idx="8">
                  <c:v>3937.4324198976319</c:v>
                </c:pt>
                <c:pt idx="9">
                  <c:v>3969.7766923430772</c:v>
                </c:pt>
                <c:pt idx="10">
                  <c:v>4147.9165141514613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5-584D-A5DB-C6997662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909743"/>
        <c:axId val="1289911455"/>
      </c:lineChart>
      <c:catAx>
        <c:axId val="128990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11455"/>
        <c:crosses val="autoZero"/>
        <c:auto val="1"/>
        <c:lblAlgn val="ctr"/>
        <c:lblOffset val="100"/>
        <c:noMultiLvlLbl val="0"/>
      </c:catAx>
      <c:valAx>
        <c:axId val="128991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0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Projections!$B$111</c:f>
              <c:strCache>
                <c:ptCount val="1"/>
                <c:pt idx="0">
                  <c:v>%Free cash 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Projections!$C$3:$M$3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Projections!$C$111:$M$111</c:f>
              <c:numCache>
                <c:formatCode>_("$"* #,##0.00_);_("$"* \(#,##0.00\);_("$"* "-"??_);_(@_)</c:formatCode>
                <c:ptCount val="11"/>
                <c:pt idx="4" formatCode="0.0%">
                  <c:v>1.4126670673388908E-3</c:v>
                </c:pt>
                <c:pt idx="5" formatCode="0.0%">
                  <c:v>-0.30625372245383997</c:v>
                </c:pt>
                <c:pt idx="6" formatCode="0.0%">
                  <c:v>0.44251250000000031</c:v>
                </c:pt>
                <c:pt idx="7" formatCode="0.0%">
                  <c:v>1.1991116689999526E-2</c:v>
                </c:pt>
                <c:pt idx="8" formatCode="0.0%">
                  <c:v>-7.2332375953257921E-3</c:v>
                </c:pt>
                <c:pt idx="9" formatCode="0.0%">
                  <c:v>8.2145593869737965E-3</c:v>
                </c:pt>
                <c:pt idx="10" formatCode="0.0%">
                  <c:v>4.4874015748034735E-2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B-EE4D-A592-70E2CDA30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444351"/>
        <c:axId val="1998391968"/>
      </c:lineChart>
      <c:catAx>
        <c:axId val="14184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91968"/>
        <c:crossesAt val="0"/>
        <c:auto val="0"/>
        <c:lblAlgn val="ctr"/>
        <c:lblOffset val="100"/>
        <c:noMultiLvlLbl val="0"/>
      </c:catAx>
      <c:valAx>
        <c:axId val="19983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44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&amp; Other revenue (% of Total Revenue)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IS'!$B$16:$K$16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0.98775147300812149</c:v>
                </c:pt>
                <c:pt idx="5">
                  <c:v>0.98742830807046289</c:v>
                </c:pt>
                <c:pt idx="6">
                  <c:v>0.98759098342257989</c:v>
                </c:pt>
                <c:pt idx="7">
                  <c:v>0.98684967690203296</c:v>
                </c:pt>
                <c:pt idx="8">
                  <c:v>0.98596041055718475</c:v>
                </c:pt>
                <c:pt idx="9">
                  <c:v>0.9850202956839087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7-8C4C-9FF5-A32A8BB29C16}"/>
            </c:ext>
          </c:extLst>
        </c:ser>
        <c:ser>
          <c:idx val="1"/>
          <c:order val="1"/>
          <c:tx>
            <c:v>Other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IS'!$B$17:$K$17</c:f>
              <c:numCache>
                <c:formatCode>0.00%</c:formatCode>
                <c:ptCount val="10"/>
                <c:pt idx="4">
                  <c:v>1.2248526991878551E-2</c:v>
                </c:pt>
                <c:pt idx="5">
                  <c:v>1.2571691929537075E-2</c:v>
                </c:pt>
                <c:pt idx="6">
                  <c:v>1.2409016577420079E-2</c:v>
                </c:pt>
                <c:pt idx="7">
                  <c:v>1.3150323097967077E-2</c:v>
                </c:pt>
                <c:pt idx="8">
                  <c:v>1.403958944281525E-2</c:v>
                </c:pt>
                <c:pt idx="9">
                  <c:v>1.4979704316091313E-2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7-8C4C-9FF5-A32A8BB29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3263"/>
        <c:axId val="847572783"/>
      </c:barChart>
      <c:catAx>
        <c:axId val="206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72783"/>
        <c:crosses val="autoZero"/>
        <c:auto val="1"/>
        <c:lblAlgn val="ctr"/>
        <c:lblOffset val="100"/>
        <c:noMultiLvlLbl val="0"/>
      </c:catAx>
      <c:valAx>
        <c:axId val="8475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</a:t>
            </a:r>
            <a:r>
              <a:rPr lang="en-US" baseline="0"/>
              <a:t> cost &amp;  SGA (% of Total Revenue)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Direct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2B-DE4B-8D82-15D0F17260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IS'!$B$19:$K$19</c:f>
              <c:numCache>
                <c:formatCode>0.00%</c:formatCode>
                <c:ptCount val="10"/>
                <c:pt idx="0">
                  <c:v>0.70613346553196177</c:v>
                </c:pt>
                <c:pt idx="1">
                  <c:v>0.70470962932845427</c:v>
                </c:pt>
                <c:pt idx="2">
                  <c:v>0.70324483775811208</c:v>
                </c:pt>
                <c:pt idx="3">
                  <c:v>0.71126476439572062</c:v>
                </c:pt>
                <c:pt idx="4">
                  <c:v>0.70729603482138115</c:v>
                </c:pt>
                <c:pt idx="5">
                  <c:v>0.70237607537894309</c:v>
                </c:pt>
                <c:pt idx="6">
                  <c:v>0.70731394491294453</c:v>
                </c:pt>
                <c:pt idx="7">
                  <c:v>0.70716475637941612</c:v>
                </c:pt>
                <c:pt idx="8">
                  <c:v>0.75356488269794719</c:v>
                </c:pt>
                <c:pt idx="9">
                  <c:v>0.72371802033292365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7-6147-AA66-041360CBBBAF}"/>
            </c:ext>
          </c:extLst>
        </c:ser>
        <c:ser>
          <c:idx val="1"/>
          <c:order val="1"/>
          <c:tx>
            <c:v>SGA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6576" tIns="19050" rIns="3810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IS'!$B$21:$K$21</c:f>
              <c:numCache>
                <c:formatCode>0.00%</c:formatCode>
                <c:ptCount val="10"/>
                <c:pt idx="0">
                  <c:v>0.20209865322647277</c:v>
                </c:pt>
                <c:pt idx="1">
                  <c:v>0.19875313410584808</c:v>
                </c:pt>
                <c:pt idx="2">
                  <c:v>0.19218648823656378</c:v>
                </c:pt>
                <c:pt idx="3">
                  <c:v>0.19822201199237607</c:v>
                </c:pt>
                <c:pt idx="4">
                  <c:v>0.20864960985190298</c:v>
                </c:pt>
                <c:pt idx="5">
                  <c:v>0.20781698074559607</c:v>
                </c:pt>
                <c:pt idx="6">
                  <c:v>0.19896110558886715</c:v>
                </c:pt>
                <c:pt idx="7">
                  <c:v>0.18633083345125229</c:v>
                </c:pt>
                <c:pt idx="8">
                  <c:v>0.18931451612903225</c:v>
                </c:pt>
                <c:pt idx="9">
                  <c:v>0.20066659218709268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7-6147-AA66-041360CBB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022687"/>
        <c:axId val="457553183"/>
      </c:barChart>
      <c:catAx>
        <c:axId val="45802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553183"/>
        <c:crosses val="autoZero"/>
        <c:auto val="1"/>
        <c:lblAlgn val="ctr"/>
        <c:lblOffset val="100"/>
        <c:noMultiLvlLbl val="0"/>
      </c:catAx>
      <c:valAx>
        <c:axId val="4575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Income(% of Total Revenue)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alpha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Operating 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IS'!$B$24:$K$24</c:f>
              <c:numCache>
                <c:formatCode>0.00%</c:formatCode>
                <c:ptCount val="10"/>
                <c:pt idx="0">
                  <c:v>6.2450081247073727E-2</c:v>
                </c:pt>
                <c:pt idx="1">
                  <c:v>6.6544690655282235E-2</c:v>
                </c:pt>
                <c:pt idx="2">
                  <c:v>7.1501546873875818E-2</c:v>
                </c:pt>
                <c:pt idx="3">
                  <c:v>5.9989704920769625E-2</c:v>
                </c:pt>
                <c:pt idx="4">
                  <c:v>5.4541111523966242E-2</c:v>
                </c:pt>
                <c:pt idx="5">
                  <c:v>5.9632322818516999E-2</c:v>
                </c:pt>
                <c:pt idx="6">
                  <c:v>6.989023204112825E-2</c:v>
                </c:pt>
                <c:pt idx="7">
                  <c:v>8.4392245648790151E-2</c:v>
                </c:pt>
                <c:pt idx="8">
                  <c:v>3.5263929618768328E-2</c:v>
                </c:pt>
                <c:pt idx="9">
                  <c:v>5.3131866085725989E-2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9-D244-89E8-64A66ED9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365311"/>
        <c:axId val="805483104"/>
      </c:barChart>
      <c:catAx>
        <c:axId val="4573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83104"/>
        <c:crosses val="autoZero"/>
        <c:auto val="1"/>
        <c:lblAlgn val="ctr"/>
        <c:lblOffset val="100"/>
        <c:noMultiLvlLbl val="0"/>
      </c:catAx>
      <c:valAx>
        <c:axId val="8054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6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8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</a:t>
            </a:r>
            <a:r>
              <a:rPr lang="en-US" baseline="0"/>
              <a:t> cost Vs Gross Profit (% of precentage)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Direct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IS'!$B$19:$K$19</c:f>
              <c:numCache>
                <c:formatCode>0.00%</c:formatCode>
                <c:ptCount val="10"/>
                <c:pt idx="0">
                  <c:v>0.70613346553196177</c:v>
                </c:pt>
                <c:pt idx="1">
                  <c:v>0.70470962932845427</c:v>
                </c:pt>
                <c:pt idx="2">
                  <c:v>0.70324483775811208</c:v>
                </c:pt>
                <c:pt idx="3">
                  <c:v>0.71126476439572062</c:v>
                </c:pt>
                <c:pt idx="4">
                  <c:v>0.70729603482138115</c:v>
                </c:pt>
                <c:pt idx="5">
                  <c:v>0.70237607537894309</c:v>
                </c:pt>
                <c:pt idx="6">
                  <c:v>0.70731394491294453</c:v>
                </c:pt>
                <c:pt idx="7">
                  <c:v>0.70716475637941612</c:v>
                </c:pt>
                <c:pt idx="8">
                  <c:v>0.75356488269794719</c:v>
                </c:pt>
                <c:pt idx="9">
                  <c:v>0.72371802033292365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4-824A-AD87-587EAF8662AF}"/>
            </c:ext>
          </c:extLst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'CS IS'!$B$11:$K$11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'CS IS'!$B$20:$K$20</c:f>
              <c:numCache>
                <c:formatCode>0.00%</c:formatCode>
                <c:ptCount val="10"/>
                <c:pt idx="0">
                  <c:v>0.29386653446803823</c:v>
                </c:pt>
                <c:pt idx="1">
                  <c:v>0.29529037067154573</c:v>
                </c:pt>
                <c:pt idx="2">
                  <c:v>0.29675516224188792</c:v>
                </c:pt>
                <c:pt idx="3">
                  <c:v>0.28873523560427944</c:v>
                </c:pt>
                <c:pt idx="4">
                  <c:v>0.2927039651786188</c:v>
                </c:pt>
                <c:pt idx="5">
                  <c:v>0.29762392462105697</c:v>
                </c:pt>
                <c:pt idx="6">
                  <c:v>0.29268605508705553</c:v>
                </c:pt>
                <c:pt idx="7">
                  <c:v>0.29283524362058394</c:v>
                </c:pt>
                <c:pt idx="8">
                  <c:v>0.24643511730205278</c:v>
                </c:pt>
                <c:pt idx="9">
                  <c:v>0.27628197966707629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4-824A-AD87-587EAF86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7199"/>
        <c:axId val="128818911"/>
      </c:barChart>
      <c:catAx>
        <c:axId val="1288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8911"/>
        <c:crosses val="autoZero"/>
        <c:auto val="1"/>
        <c:lblAlgn val="ctr"/>
        <c:lblOffset val="100"/>
        <c:noMultiLvlLbl val="0"/>
      </c:catAx>
      <c:valAx>
        <c:axId val="1288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DEBT-EQUITY RATIO</a:t>
            </a:r>
          </a:p>
        </c:rich>
      </c:tx>
      <c:layout>
        <c:manualLayout>
          <c:xMode val="edge"/>
          <c:yMode val="edge"/>
          <c:x val="0.3329026684164479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Ratios'!$B$25:$K$25</c:f>
              <c:numCache>
                <c:formatCode>0.00</c:formatCode>
                <c:ptCount val="10"/>
                <c:pt idx="0">
                  <c:v>0.91419589912124022</c:v>
                </c:pt>
                <c:pt idx="1">
                  <c:v>0.9847958632399475</c:v>
                </c:pt>
                <c:pt idx="2">
                  <c:v>1.1639733406372683</c:v>
                </c:pt>
                <c:pt idx="3">
                  <c:v>0.98958066444615256</c:v>
                </c:pt>
                <c:pt idx="4">
                  <c:v>0.99805258033106137</c:v>
                </c:pt>
                <c:pt idx="5">
                  <c:v>0.9717738527845855</c:v>
                </c:pt>
                <c:pt idx="6">
                  <c:v>0.87811634349030476</c:v>
                </c:pt>
                <c:pt idx="7">
                  <c:v>1.0696187729009121</c:v>
                </c:pt>
                <c:pt idx="8">
                  <c:v>1.4368767806267806</c:v>
                </c:pt>
                <c:pt idx="9">
                  <c:v>1.1851548540798094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B-244A-9FEF-F740981C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443504"/>
        <c:axId val="880445216"/>
      </c:barChart>
      <c:catAx>
        <c:axId val="88044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45216"/>
        <c:crosses val="autoZero"/>
        <c:auto val="1"/>
        <c:lblAlgn val="ctr"/>
        <c:lblOffset val="100"/>
        <c:noMultiLvlLbl val="0"/>
      </c:catAx>
      <c:valAx>
        <c:axId val="8804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4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Ratios'!$B$30:$K$30</c:f>
              <c:numCache>
                <c:formatCode>0.00%</c:formatCode>
                <c:ptCount val="10"/>
                <c:pt idx="0">
                  <c:v>6.2450081247073727E-2</c:v>
                </c:pt>
                <c:pt idx="1">
                  <c:v>6.6544690655282235E-2</c:v>
                </c:pt>
                <c:pt idx="2">
                  <c:v>7.1501546873875818E-2</c:v>
                </c:pt>
                <c:pt idx="3">
                  <c:v>5.9989704920769625E-2</c:v>
                </c:pt>
                <c:pt idx="4">
                  <c:v>5.4541111523966242E-2</c:v>
                </c:pt>
                <c:pt idx="5">
                  <c:v>5.9632322818516999E-2</c:v>
                </c:pt>
                <c:pt idx="6">
                  <c:v>6.989023204112825E-2</c:v>
                </c:pt>
                <c:pt idx="7">
                  <c:v>8.4392245648790151E-2</c:v>
                </c:pt>
                <c:pt idx="8">
                  <c:v>3.5263929618768328E-2</c:v>
                </c:pt>
                <c:pt idx="9">
                  <c:v>5.3131866085725989E-2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1-564C-8F08-FA444B311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3600"/>
        <c:axId val="343428864"/>
      </c:barChart>
      <c:catAx>
        <c:axId val="470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28864"/>
        <c:crosses val="autoZero"/>
        <c:auto val="1"/>
        <c:lblAlgn val="ctr"/>
        <c:lblOffset val="100"/>
        <c:noMultiLvlLbl val="0"/>
      </c:catAx>
      <c:valAx>
        <c:axId val="3434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MARGIN</a:t>
            </a:r>
          </a:p>
        </c:rich>
      </c:tx>
      <c:layout>
        <c:manualLayout>
          <c:xMode val="edge"/>
          <c:yMode val="edge"/>
          <c:x val="0.403937445319335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Ratios'!$B$31:$K$31</c:f>
              <c:numCache>
                <c:formatCode>0.00%</c:formatCode>
                <c:ptCount val="10"/>
                <c:pt idx="0">
                  <c:v>-2.2528849596518769E-2</c:v>
                </c:pt>
                <c:pt idx="1">
                  <c:v>4.5578369587314496E-2</c:v>
                </c:pt>
                <c:pt idx="2">
                  <c:v>3.938412835455788E-2</c:v>
                </c:pt>
                <c:pt idx="3">
                  <c:v>4.081859792150698E-2</c:v>
                </c:pt>
                <c:pt idx="4">
                  <c:v>3.8974998672965659E-2</c:v>
                </c:pt>
                <c:pt idx="5">
                  <c:v>4.2003789430561246E-2</c:v>
                </c:pt>
                <c:pt idx="6">
                  <c:v>4.6686119216340138E-2</c:v>
                </c:pt>
                <c:pt idx="7">
                  <c:v>6.5525211074949297E-2</c:v>
                </c:pt>
                <c:pt idx="8">
                  <c:v>2.5476539589442817E-2</c:v>
                </c:pt>
                <c:pt idx="9">
                  <c:v>3.8524559639518861E-2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5-4544-8AE6-30D36185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298768"/>
        <c:axId val="343318176"/>
      </c:barChart>
      <c:catAx>
        <c:axId val="34329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18176"/>
        <c:crosses val="autoZero"/>
        <c:auto val="1"/>
        <c:lblAlgn val="ctr"/>
        <c:lblOffset val="100"/>
        <c:noMultiLvlLbl val="0"/>
      </c:catAx>
      <c:valAx>
        <c:axId val="34331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Equity</a:t>
            </a:r>
          </a:p>
        </c:rich>
      </c:tx>
      <c:layout>
        <c:manualLayout>
          <c:xMode val="edge"/>
          <c:yMode val="edge"/>
          <c:x val="0.3594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Ratios'!$B$11:$K$11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Ratios'!$B$35:$K$35</c:f>
              <c:numCache>
                <c:formatCode>0.00%</c:formatCode>
                <c:ptCount val="10"/>
                <c:pt idx="0">
                  <c:v>-0.11688218904050868</c:v>
                </c:pt>
                <c:pt idx="1">
                  <c:v>0.25955082194952533</c:v>
                </c:pt>
                <c:pt idx="2">
                  <c:v>0.24988587601570347</c:v>
                </c:pt>
                <c:pt idx="3">
                  <c:v>0.25057647963105306</c:v>
                </c:pt>
                <c:pt idx="4">
                  <c:v>0.2599805258033106</c:v>
                </c:pt>
                <c:pt idx="5">
                  <c:v>0.27727541620890728</c:v>
                </c:pt>
                <c:pt idx="6">
                  <c:v>0.30249307479224374</c:v>
                </c:pt>
                <c:pt idx="7">
                  <c:v>0.54151399391907695</c:v>
                </c:pt>
                <c:pt idx="8">
                  <c:v>0.24750712250712251</c:v>
                </c:pt>
                <c:pt idx="9">
                  <c:v>0.30807027992852887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A-E741-9FC9-867593779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885536"/>
        <c:axId val="636063840"/>
      </c:lineChart>
      <c:catAx>
        <c:axId val="63588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063840"/>
        <c:crosses val="autoZero"/>
        <c:auto val="1"/>
        <c:lblAlgn val="ctr"/>
        <c:lblOffset val="100"/>
        <c:noMultiLvlLbl val="0"/>
      </c:catAx>
      <c:valAx>
        <c:axId val="6360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8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Debt-Equity</a:t>
            </a:r>
            <a:r>
              <a:rPr lang="en-US" baseline="0"/>
              <a:t> Ratio</a:t>
            </a:r>
            <a:endParaRPr lang="en-US"/>
          </a:p>
        </c:rich>
      </c:tx>
      <c:layout>
        <c:manualLayout>
          <c:xMode val="edge"/>
          <c:yMode val="edge"/>
          <c:x val="0.3983818897637795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Ratios'!$B$25:$K$25</c:f>
              <c:numCache>
                <c:formatCode>0.00</c:formatCode>
                <c:ptCount val="10"/>
                <c:pt idx="0">
                  <c:v>0.91419589912124022</c:v>
                </c:pt>
                <c:pt idx="1">
                  <c:v>0.9847958632399475</c:v>
                </c:pt>
                <c:pt idx="2">
                  <c:v>1.1639733406372683</c:v>
                </c:pt>
                <c:pt idx="3">
                  <c:v>0.98958066444615256</c:v>
                </c:pt>
                <c:pt idx="4">
                  <c:v>0.99805258033106137</c:v>
                </c:pt>
                <c:pt idx="5">
                  <c:v>0.9717738527845855</c:v>
                </c:pt>
                <c:pt idx="6">
                  <c:v>0.87811634349030476</c:v>
                </c:pt>
                <c:pt idx="7">
                  <c:v>1.0696187729009121</c:v>
                </c:pt>
                <c:pt idx="8">
                  <c:v>1.4368767806267806</c:v>
                </c:pt>
                <c:pt idx="9">
                  <c:v>1.1851548540798094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B-E243-8287-CCC3AD5C8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156592"/>
        <c:axId val="636236880"/>
      </c:barChart>
      <c:catAx>
        <c:axId val="6261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36880"/>
        <c:crosses val="autoZero"/>
        <c:auto val="1"/>
        <c:lblAlgn val="ctr"/>
        <c:lblOffset val="100"/>
        <c:noMultiLvlLbl val="0"/>
      </c:catAx>
      <c:valAx>
        <c:axId val="6362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5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txData>
          <cx:v>Growth in Sales</cx:v>
        </cx:txData>
      </cx:tx>
    </cx:title>
    <cx:plotArea>
      <cx:plotAreaRegion>
        <cx:series layoutId="waterfall" uniqueId="{F7498DB7-B976-4F42-9C56-E9C66873A76F}">
          <cx:tx>
            <cx:txData>
              <cx:f/>
              <cx:v>Growth of sales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numFmt formatCode="yyyy" sourceLinked="0"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_xlchart.v1.14</cx:f>
      </cx:strDim>
      <cx:numDim type="val">
        <cx:f dir="row">_xlchart.v1.15</cx:f>
      </cx:numDim>
    </cx:data>
  </cx:chartData>
  <cx:chart>
    <cx:title pos="t" align="ctr" overlay="0">
      <cx:tx>
        <cx:txData>
          <cx:v>RETURN ON EQUITY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RETURN ON EQUITY</a:t>
          </a:r>
        </a:p>
      </cx:txPr>
    </cx:title>
    <cx:plotArea>
      <cx:plotAreaRegion>
        <cx:series layoutId="waterfall" uniqueId="{BE311941-9B29-4240-91BF-BA9D77A2A1B7}">
          <cx:dataLabels pos="outEnd">
            <cx:visibility seriesName="0" categoryName="0" value="0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title pos="t" align="ctr" overlay="0">
      <cx:tx>
        <cx:txData>
          <cx:v>RETURN ON ASSETS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RETURN ON ASSETS</a:t>
          </a:r>
        </a:p>
      </cx:txPr>
    </cx:title>
    <cx:plotArea>
      <cx:plotAreaRegion>
        <cx:series layoutId="waterfall" uniqueId="{B05929F0-C3F0-934E-ABEE-C360869443CB}">
          <cx:dataLabels pos="outEnd">
            <cx:visibility seriesName="0" categoryName="0" value="0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microsoft.com/office/2014/relationships/chartEx" Target="../charts/chartEx2.xml"/><Relationship Id="rId7" Type="http://schemas.openxmlformats.org/officeDocument/2006/relationships/chart" Target="../charts/chart12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microsoft.com/office/2014/relationships/chartEx" Target="../charts/chartEx3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11</xdr:col>
      <xdr:colOff>501650</xdr:colOff>
      <xdr:row>25</xdr:row>
      <xdr:rowOff>19050</xdr:rowOff>
    </xdr:from>
    <xdr:to>
      <xdr:col>16</xdr:col>
      <xdr:colOff>501650</xdr:colOff>
      <xdr:row>41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117BC-F71A-386B-6132-E2690CD77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438058</xdr:colOff>
      <xdr:row>52</xdr:row>
      <xdr:rowOff>77857</xdr:rowOff>
    </xdr:from>
    <xdr:to>
      <xdr:col>7</xdr:col>
      <xdr:colOff>454623</xdr:colOff>
      <xdr:row>69</xdr:row>
      <xdr:rowOff>4970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D88ACEA-F940-7DED-30A5-578ED302C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458" y="8828157"/>
              <a:ext cx="4588565" cy="2733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146050</xdr:colOff>
      <xdr:row>75</xdr:row>
      <xdr:rowOff>44450</xdr:rowOff>
    </xdr:from>
    <xdr:to>
      <xdr:col>21</xdr:col>
      <xdr:colOff>590550</xdr:colOff>
      <xdr:row>91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DD81F-F18F-E89E-8975-E2F511A2D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131</xdr:row>
      <xdr:rowOff>88900</xdr:rowOff>
    </xdr:from>
    <xdr:to>
      <xdr:col>4</xdr:col>
      <xdr:colOff>76200</xdr:colOff>
      <xdr:row>148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AB0172-AEAA-26FC-A9B8-D97E8B4BD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956211</xdr:colOff>
      <xdr:row>132</xdr:row>
      <xdr:rowOff>11806</xdr:rowOff>
    </xdr:from>
    <xdr:to>
      <xdr:col>8</xdr:col>
      <xdr:colOff>1063143</xdr:colOff>
      <xdr:row>148</xdr:row>
      <xdr:rowOff>156316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4D8482-1DC5-FF25-7B69-9D89F1617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D42C92CC-170E-E142-BD70-24947B3AF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0</xdr:col>
      <xdr:colOff>3549650</xdr:colOff>
      <xdr:row>45</xdr:row>
      <xdr:rowOff>12700</xdr:rowOff>
    </xdr:from>
    <xdr:to>
      <xdr:col>6</xdr:col>
      <xdr:colOff>120650</xdr:colOff>
      <xdr:row>65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3B2134-FAFA-B874-7540-4C696757D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12700</xdr:colOff>
      <xdr:row>44</xdr:row>
      <xdr:rowOff>158750</xdr:rowOff>
    </xdr:from>
    <xdr:to>
      <xdr:col>12</xdr:col>
      <xdr:colOff>368300</xdr:colOff>
      <xdr:row>61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8FE62-3360-23C1-A3D2-46243593C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3562350</xdr:colOff>
      <xdr:row>68</xdr:row>
      <xdr:rowOff>19050</xdr:rowOff>
    </xdr:from>
    <xdr:to>
      <xdr:col>6</xdr:col>
      <xdr:colOff>133350</xdr:colOff>
      <xdr:row>84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3A64F4-F389-86A9-6B44-0A2417822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28220</xdr:colOff>
      <xdr:row>68</xdr:row>
      <xdr:rowOff>15993</xdr:rowOff>
    </xdr:from>
    <xdr:to>
      <xdr:col>13</xdr:col>
      <xdr:colOff>385702</xdr:colOff>
      <xdr:row>84</xdr:row>
      <xdr:rowOff>49860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9AEBE4-9FA5-C791-D7AC-C7D3350AA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AE22EF-997E-3F49-91E8-1E8588CF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68B43E-3094-9940-973A-5E1207458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0</xdr:col>
      <xdr:colOff>177800</xdr:colOff>
      <xdr:row>46</xdr:row>
      <xdr:rowOff>0</xdr:rowOff>
    </xdr:from>
    <xdr:to>
      <xdr:col>1</xdr:col>
      <xdr:colOff>939800</xdr:colOff>
      <xdr:row>62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266F2-F972-EA37-097B-5D73F64F4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</xdr:colOff>
      <xdr:row>46</xdr:row>
      <xdr:rowOff>12700</xdr:rowOff>
    </xdr:from>
    <xdr:to>
      <xdr:col>6</xdr:col>
      <xdr:colOff>723900</xdr:colOff>
      <xdr:row>62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77F9C79-5015-9D98-1CB5-A055415CB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2900" y="7721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215900</xdr:colOff>
      <xdr:row>64</xdr:row>
      <xdr:rowOff>25400</xdr:rowOff>
    </xdr:from>
    <xdr:to>
      <xdr:col>1</xdr:col>
      <xdr:colOff>977900</xdr:colOff>
      <xdr:row>80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249DE-8AE6-B612-C7C0-341902510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64</xdr:row>
      <xdr:rowOff>12700</xdr:rowOff>
    </xdr:from>
    <xdr:to>
      <xdr:col>6</xdr:col>
      <xdr:colOff>711200</xdr:colOff>
      <xdr:row>80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0AF259-FFBF-C183-4244-6CBFB636B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165100</xdr:colOff>
      <xdr:row>46</xdr:row>
      <xdr:rowOff>0</xdr:rowOff>
    </xdr:from>
    <xdr:to>
      <xdr:col>12</xdr:col>
      <xdr:colOff>50800</xdr:colOff>
      <xdr:row>62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254EC99-C1AA-9BCE-0D4E-FB40052EF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1300" y="7708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2646</xdr:colOff>
      <xdr:row>64</xdr:row>
      <xdr:rowOff>10848</xdr:rowOff>
    </xdr:from>
    <xdr:to>
      <xdr:col>11</xdr:col>
      <xdr:colOff>711729</xdr:colOff>
      <xdr:row>81</xdr:row>
      <xdr:rowOff>55298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566D7E-2CC0-D513-D7C7-59E4CB5C0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8997</xdr:colOff>
      <xdr:row>46</xdr:row>
      <xdr:rowOff>7144</xdr:rowOff>
    </xdr:from>
    <xdr:to>
      <xdr:col>18</xdr:col>
      <xdr:colOff>489480</xdr:colOff>
      <xdr:row>63</xdr:row>
      <xdr:rowOff>51595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884930-C0C6-E671-2315-C093ADBE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51"/>
  <sheetViews>
    <sheetView topLeftCell="A2" zoomScale="93" workbookViewId="0">
      <selection activeCell="C9" sqref="C9"/>
    </sheetView>
  </sheetViews>
  <sheetFormatPr baseColWidth="10" defaultColWidth="8.83203125" defaultRowHeight="13" x14ac:dyDescent="0.15"/>
  <cols>
    <col min="1" max="1" width="50" customWidth="1"/>
    <col min="2" max="191" width="12" customWidth="1"/>
  </cols>
  <sheetData>
    <row r="4" spans="1:12" x14ac:dyDescent="0.15">
      <c r="A4" s="1" t="s">
        <v>0</v>
      </c>
    </row>
    <row r="5" spans="1:12" ht="20" x14ac:dyDescent="0.2">
      <c r="A5" s="2" t="s">
        <v>1</v>
      </c>
    </row>
    <row r="7" spans="1:12" ht="14" x14ac:dyDescent="0.15">
      <c r="A7" s="3" t="s">
        <v>2</v>
      </c>
    </row>
    <row r="8" spans="1:12" x14ac:dyDescent="0.15">
      <c r="A8" s="22" t="s">
        <v>131</v>
      </c>
      <c r="C8" s="19">
        <f>C23/B23-1</f>
        <v>1.6070395769643975E-2</v>
      </c>
      <c r="D8" s="19">
        <f t="shared" ref="D8:K8" si="0">D23/C23-1</f>
        <v>-5.8141898759910604E-2</v>
      </c>
      <c r="E8" s="19">
        <f t="shared" si="0"/>
        <v>3.4304626232102953E-2</v>
      </c>
      <c r="F8" s="19">
        <f t="shared" si="0"/>
        <v>4.8372960113524099E-2</v>
      </c>
      <c r="G8" s="19">
        <f t="shared" si="0"/>
        <v>3.6573066510961372E-2</v>
      </c>
      <c r="H8" s="19">
        <f t="shared" si="0"/>
        <v>0.19778011061040557</v>
      </c>
      <c r="I8" s="19">
        <f t="shared" si="0"/>
        <v>0.13300413633885921</v>
      </c>
      <c r="J8" s="19">
        <f t="shared" si="0"/>
        <v>2.9385406348757082E-2</v>
      </c>
      <c r="K8" s="19">
        <f t="shared" si="0"/>
        <v>-1.5652492668621676E-2</v>
      </c>
    </row>
    <row r="9" spans="1:12" x14ac:dyDescent="0.15">
      <c r="A9" s="22" t="s">
        <v>166</v>
      </c>
      <c r="C9" s="19">
        <f>C26/B26-1</f>
        <v>-7.4952303079856009E-4</v>
      </c>
      <c r="D9" s="19">
        <f t="shared" ref="D9:K9" si="1">D26/C26-1</f>
        <v>-8.9260143198090725E-2</v>
      </c>
      <c r="E9" s="19">
        <f t="shared" si="1"/>
        <v>6.678646301287805E-2</v>
      </c>
      <c r="F9" s="19">
        <f t="shared" si="1"/>
        <v>0.1035233015160022</v>
      </c>
      <c r="G9" s="19">
        <f t="shared" si="1"/>
        <v>3.243655790879596E-2</v>
      </c>
      <c r="H9" s="19">
        <f t="shared" si="1"/>
        <v>0.14673812603954905</v>
      </c>
      <c r="I9" s="19">
        <f t="shared" si="1"/>
        <v>6.1079774375503604E-2</v>
      </c>
      <c r="J9" s="19">
        <f t="shared" si="1"/>
        <v>4.586877278250312E-2</v>
      </c>
      <c r="K9" s="19">
        <f t="shared" si="1"/>
        <v>4.3373027398586395E-2</v>
      </c>
    </row>
    <row r="10" spans="1:12" x14ac:dyDescent="0.15">
      <c r="A10" s="22" t="s">
        <v>167</v>
      </c>
      <c r="C10" s="19">
        <f>B36/B35</f>
        <v>0.32959211606898442</v>
      </c>
      <c r="D10" s="19">
        <f t="shared" ref="D10:K10" si="2">C36/C35</f>
        <v>0.32541133455210236</v>
      </c>
      <c r="E10" s="19">
        <f t="shared" si="2"/>
        <v>0.32686002522068097</v>
      </c>
      <c r="F10" s="19">
        <f t="shared" si="2"/>
        <v>0.19692814042786616</v>
      </c>
      <c r="G10" s="19">
        <f t="shared" si="2"/>
        <v>0.2029379760609358</v>
      </c>
      <c r="H10" s="19">
        <f t="shared" si="2"/>
        <v>0.2198090692124105</v>
      </c>
      <c r="I10" s="19">
        <f t="shared" si="2"/>
        <v>0.2124053371799495</v>
      </c>
      <c r="J10" s="19">
        <f t="shared" si="2"/>
        <v>0.22016391602110699</v>
      </c>
      <c r="K10" s="19">
        <f t="shared" si="2"/>
        <v>0.18665886483323582</v>
      </c>
    </row>
    <row r="11" spans="1:12" x14ac:dyDescent="0.15">
      <c r="A11" s="22" t="s">
        <v>170</v>
      </c>
      <c r="C11" s="19">
        <f>B27/IS!B23</f>
        <v>2.9317799994491724E-2</v>
      </c>
      <c r="D11" s="19">
        <f>C27/IS!C23</f>
        <v>2.9992545910415395E-2</v>
      </c>
      <c r="E11" s="19">
        <f>D27/IS!D23</f>
        <v>3.3067127131448305E-2</v>
      </c>
      <c r="F11" s="19">
        <f>E27/IS!E23</f>
        <v>3.0523518691133712E-2</v>
      </c>
      <c r="G11" s="19">
        <f>F27/IS!F23</f>
        <v>2.9513243802749615E-2</v>
      </c>
      <c r="H11" s="19">
        <f>G27/IS!G23</f>
        <v>3.0174621056943875E-2</v>
      </c>
      <c r="I11" s="19">
        <f>H27/IS!H23</f>
        <v>2.38347174570601E-2</v>
      </c>
      <c r="J11" s="19">
        <f>I27/IS!I23</f>
        <v>2.2112164520541485E-2</v>
      </c>
      <c r="K11" s="19">
        <f>J27/IS!J23</f>
        <v>2.1856671554252201E-2</v>
      </c>
    </row>
    <row r="12" spans="1:12" x14ac:dyDescent="0.15">
      <c r="A12" s="22"/>
      <c r="C12" s="19"/>
      <c r="D12" s="19"/>
      <c r="E12" s="19"/>
      <c r="F12" s="19"/>
      <c r="G12" s="19"/>
      <c r="H12" s="19"/>
      <c r="I12" s="19"/>
      <c r="J12" s="19"/>
      <c r="K12" s="19"/>
    </row>
    <row r="13" spans="1:12" x14ac:dyDescent="0.15">
      <c r="A13" s="22"/>
      <c r="C13" s="19"/>
      <c r="D13" s="19"/>
      <c r="E13" s="19"/>
      <c r="F13" s="19"/>
      <c r="G13" s="19"/>
      <c r="H13" s="19"/>
      <c r="I13" s="19"/>
      <c r="J13" s="19"/>
      <c r="K13" s="19"/>
    </row>
    <row r="14" spans="1:12" x14ac:dyDescent="0.15">
      <c r="A14" s="22"/>
      <c r="C14" s="19"/>
      <c r="D14" s="19"/>
      <c r="E14" s="19"/>
      <c r="F14" s="19"/>
      <c r="G14" s="19"/>
      <c r="H14" s="19"/>
      <c r="I14" s="19"/>
      <c r="J14" s="19"/>
      <c r="K14" s="19"/>
    </row>
    <row r="15" spans="1:12" ht="14" x14ac:dyDescent="0.15">
      <c r="A15" s="4" t="s">
        <v>3</v>
      </c>
    </row>
    <row r="16" spans="1:12" x14ac:dyDescent="0.15">
      <c r="A16" s="5" t="s">
        <v>4</v>
      </c>
      <c r="B16" s="6">
        <v>2015</v>
      </c>
      <c r="C16" s="6">
        <v>2016</v>
      </c>
      <c r="D16" s="6">
        <v>2017</v>
      </c>
      <c r="E16" s="6">
        <v>2018</v>
      </c>
      <c r="F16" s="6">
        <v>2019</v>
      </c>
      <c r="G16" s="6">
        <v>2020</v>
      </c>
      <c r="H16" s="6">
        <v>2021</v>
      </c>
      <c r="I16" s="6">
        <v>2022</v>
      </c>
      <c r="J16" s="6">
        <v>2023</v>
      </c>
      <c r="K16" s="6">
        <v>2024</v>
      </c>
      <c r="L16" s="5"/>
    </row>
    <row r="17" spans="1:12" ht="14" x14ac:dyDescent="0.15">
      <c r="A17" s="5" t="s">
        <v>15</v>
      </c>
      <c r="B17" s="6" t="s">
        <v>16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16</v>
      </c>
      <c r="J17" s="6" t="s">
        <v>16</v>
      </c>
      <c r="K17" s="6" t="s">
        <v>16</v>
      </c>
      <c r="L17" s="5"/>
    </row>
    <row r="18" spans="1:12" ht="14" x14ac:dyDescent="0.15">
      <c r="A18" s="5" t="s">
        <v>17</v>
      </c>
      <c r="B18" s="6" t="s">
        <v>18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18</v>
      </c>
      <c r="L18" s="5"/>
    </row>
    <row r="19" spans="1:12" ht="14" x14ac:dyDescent="0.15">
      <c r="A19" s="5" t="s">
        <v>19</v>
      </c>
      <c r="B19" s="6" t="s">
        <v>20</v>
      </c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  <c r="L19" s="5"/>
    </row>
    <row r="20" spans="1:12" ht="14" x14ac:dyDescent="0.15">
      <c r="A20" s="5" t="s">
        <v>21</v>
      </c>
      <c r="B20" s="6" t="s">
        <v>22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22</v>
      </c>
      <c r="H20" s="6" t="s">
        <v>22</v>
      </c>
      <c r="I20" s="6" t="s">
        <v>22</v>
      </c>
      <c r="J20" s="6" t="s">
        <v>22</v>
      </c>
      <c r="K20" s="6" t="s">
        <v>22</v>
      </c>
      <c r="L20" s="5"/>
    </row>
    <row r="21" spans="1:12" x14ac:dyDescent="0.15">
      <c r="A21" s="7" t="s">
        <v>23</v>
      </c>
      <c r="B21" s="8">
        <v>72618</v>
      </c>
      <c r="C21" s="8">
        <v>73785</v>
      </c>
      <c r="D21" s="8">
        <v>69495</v>
      </c>
      <c r="E21" s="8">
        <v>71879</v>
      </c>
      <c r="F21" s="8">
        <v>74433</v>
      </c>
      <c r="G21" s="8">
        <v>77130</v>
      </c>
      <c r="H21" s="8">
        <v>92400</v>
      </c>
      <c r="I21" s="8">
        <v>104611</v>
      </c>
      <c r="J21" s="8">
        <v>107588</v>
      </c>
      <c r="K21" s="8">
        <v>105803</v>
      </c>
      <c r="L21" s="7"/>
    </row>
    <row r="22" spans="1:12" x14ac:dyDescent="0.15">
      <c r="A22" s="7" t="s">
        <v>24</v>
      </c>
      <c r="B22" s="9" t="s">
        <v>25</v>
      </c>
      <c r="C22" s="9" t="s">
        <v>25</v>
      </c>
      <c r="D22" s="9" t="s">
        <v>25</v>
      </c>
      <c r="E22" s="9" t="s">
        <v>25</v>
      </c>
      <c r="F22" s="8">
        <v>923</v>
      </c>
      <c r="G22" s="8">
        <v>982</v>
      </c>
      <c r="H22" s="8">
        <v>1161</v>
      </c>
      <c r="I22" s="8">
        <v>1394</v>
      </c>
      <c r="J22" s="8">
        <v>1532</v>
      </c>
      <c r="K22" s="8">
        <v>1609</v>
      </c>
      <c r="L22" s="7"/>
    </row>
    <row r="23" spans="1:12" x14ac:dyDescent="0.15">
      <c r="A23" s="7" t="s">
        <v>26</v>
      </c>
      <c r="B23" s="8">
        <v>72618</v>
      </c>
      <c r="C23" s="8">
        <v>73785</v>
      </c>
      <c r="D23" s="8">
        <v>69495</v>
      </c>
      <c r="E23" s="8">
        <v>71879</v>
      </c>
      <c r="F23" s="8">
        <v>75356</v>
      </c>
      <c r="G23" s="8">
        <v>78112</v>
      </c>
      <c r="H23" s="8">
        <v>93561</v>
      </c>
      <c r="I23" s="8">
        <v>106005</v>
      </c>
      <c r="J23" s="8">
        <v>109120</v>
      </c>
      <c r="K23" s="8">
        <v>107412</v>
      </c>
      <c r="L23" s="7"/>
    </row>
    <row r="24" spans="1:12" x14ac:dyDescent="0.15">
      <c r="A24" s="7" t="s">
        <v>27</v>
      </c>
      <c r="B24" s="8">
        <v>51278</v>
      </c>
      <c r="C24" s="8">
        <v>51997</v>
      </c>
      <c r="D24" s="8">
        <v>48872</v>
      </c>
      <c r="E24" s="8">
        <v>51125</v>
      </c>
      <c r="F24" s="8">
        <v>53299</v>
      </c>
      <c r="G24" s="8">
        <v>54864</v>
      </c>
      <c r="H24" s="8">
        <v>66177</v>
      </c>
      <c r="I24" s="8">
        <v>74963</v>
      </c>
      <c r="J24" s="8">
        <v>82229</v>
      </c>
      <c r="K24" s="8">
        <v>77736</v>
      </c>
      <c r="L24" s="7"/>
    </row>
    <row r="25" spans="1:12" x14ac:dyDescent="0.15">
      <c r="A25" s="7" t="s">
        <v>28</v>
      </c>
      <c r="B25" s="8">
        <v>21340</v>
      </c>
      <c r="C25" s="8">
        <v>21788</v>
      </c>
      <c r="D25" s="8">
        <v>20623</v>
      </c>
      <c r="E25" s="8">
        <v>20754</v>
      </c>
      <c r="F25" s="8">
        <v>22057</v>
      </c>
      <c r="G25" s="8">
        <v>23248</v>
      </c>
      <c r="H25" s="8">
        <v>27384</v>
      </c>
      <c r="I25" s="8">
        <v>31042</v>
      </c>
      <c r="J25" s="8">
        <v>26891</v>
      </c>
      <c r="K25" s="8">
        <v>29676</v>
      </c>
      <c r="L25" s="7"/>
    </row>
    <row r="26" spans="1:12" x14ac:dyDescent="0.15">
      <c r="A26" s="7" t="s">
        <v>29</v>
      </c>
      <c r="B26" s="8">
        <v>14676</v>
      </c>
      <c r="C26" s="8">
        <v>14665</v>
      </c>
      <c r="D26" s="8">
        <v>13356</v>
      </c>
      <c r="E26" s="8">
        <v>14248</v>
      </c>
      <c r="F26" s="8">
        <v>15723</v>
      </c>
      <c r="G26" s="8">
        <v>16233</v>
      </c>
      <c r="H26" s="8">
        <v>18615</v>
      </c>
      <c r="I26" s="8">
        <v>19752</v>
      </c>
      <c r="J26" s="8">
        <v>20658</v>
      </c>
      <c r="K26" s="8">
        <v>21554</v>
      </c>
      <c r="L26" s="7"/>
    </row>
    <row r="27" spans="1:12" x14ac:dyDescent="0.15">
      <c r="A27" s="7" t="s">
        <v>30</v>
      </c>
      <c r="B27" s="8">
        <v>2129</v>
      </c>
      <c r="C27" s="8">
        <v>2213</v>
      </c>
      <c r="D27" s="8">
        <v>2298</v>
      </c>
      <c r="E27" s="8">
        <v>2194</v>
      </c>
      <c r="F27" s="8">
        <v>2224</v>
      </c>
      <c r="G27" s="8">
        <v>2357</v>
      </c>
      <c r="H27" s="8">
        <v>2230</v>
      </c>
      <c r="I27" s="8">
        <v>2344</v>
      </c>
      <c r="J27" s="8">
        <v>2385</v>
      </c>
      <c r="K27" s="8">
        <v>2415</v>
      </c>
      <c r="L27" s="7"/>
    </row>
    <row r="28" spans="1:12" x14ac:dyDescent="0.15">
      <c r="A28" s="7" t="s">
        <v>31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7"/>
    </row>
    <row r="29" spans="1:12" x14ac:dyDescent="0.15">
      <c r="A29" s="7" t="s">
        <v>32</v>
      </c>
      <c r="B29" s="8">
        <v>16805</v>
      </c>
      <c r="C29" s="8">
        <v>16878</v>
      </c>
      <c r="D29" s="8">
        <v>15654</v>
      </c>
      <c r="E29" s="8">
        <v>16442</v>
      </c>
      <c r="F29" s="8">
        <v>17947</v>
      </c>
      <c r="G29" s="8">
        <v>18590</v>
      </c>
      <c r="H29" s="8">
        <v>20845</v>
      </c>
      <c r="I29" s="8">
        <v>22096</v>
      </c>
      <c r="J29" s="8">
        <v>23043</v>
      </c>
      <c r="K29" s="8">
        <v>23969</v>
      </c>
      <c r="L29" s="7"/>
    </row>
    <row r="30" spans="1:12" x14ac:dyDescent="0.15">
      <c r="A30" s="7" t="s">
        <v>33</v>
      </c>
      <c r="B30" s="8">
        <v>4535</v>
      </c>
      <c r="C30" s="8">
        <v>4910</v>
      </c>
      <c r="D30" s="8">
        <v>4969</v>
      </c>
      <c r="E30" s="8">
        <v>4312</v>
      </c>
      <c r="F30" s="8">
        <v>4110</v>
      </c>
      <c r="G30" s="8">
        <v>4658</v>
      </c>
      <c r="H30" s="8">
        <v>6539</v>
      </c>
      <c r="I30" s="8">
        <v>8946</v>
      </c>
      <c r="J30" s="8">
        <v>3848</v>
      </c>
      <c r="K30" s="8">
        <v>5707</v>
      </c>
      <c r="L30" s="7"/>
    </row>
    <row r="31" spans="1:12" x14ac:dyDescent="0.15">
      <c r="A31" s="7" t="s">
        <v>34</v>
      </c>
      <c r="B31" s="8">
        <v>-882</v>
      </c>
      <c r="C31" s="8">
        <v>-607</v>
      </c>
      <c r="D31" s="8">
        <v>-1004</v>
      </c>
      <c r="E31" s="8">
        <v>-666</v>
      </c>
      <c r="F31" s="8">
        <v>-461</v>
      </c>
      <c r="G31" s="8">
        <v>-477</v>
      </c>
      <c r="H31" s="8">
        <v>-977</v>
      </c>
      <c r="I31" s="8">
        <v>-421</v>
      </c>
      <c r="J31" s="8">
        <v>-478</v>
      </c>
      <c r="K31" s="8">
        <v>-502</v>
      </c>
      <c r="L31" s="7"/>
    </row>
    <row r="32" spans="1:12" x14ac:dyDescent="0.15">
      <c r="A32" s="7" t="s">
        <v>35</v>
      </c>
      <c r="B32" s="9" t="s">
        <v>25</v>
      </c>
      <c r="C32" s="8">
        <v>620</v>
      </c>
      <c r="D32" s="9" t="s">
        <v>25</v>
      </c>
      <c r="E32" s="9" t="s">
        <v>25</v>
      </c>
      <c r="F32" s="9" t="s">
        <v>25</v>
      </c>
      <c r="G32" s="9" t="s">
        <v>25</v>
      </c>
      <c r="H32" s="9" t="s">
        <v>25</v>
      </c>
      <c r="I32" s="9" t="s">
        <v>25</v>
      </c>
      <c r="J32" s="9" t="s">
        <v>25</v>
      </c>
      <c r="K32" s="9" t="s">
        <v>25</v>
      </c>
      <c r="L32" s="7"/>
    </row>
    <row r="33" spans="1:12" x14ac:dyDescent="0.15">
      <c r="A33" s="7" t="s">
        <v>36</v>
      </c>
      <c r="B33" s="8">
        <v>0</v>
      </c>
      <c r="C33" s="8">
        <v>0</v>
      </c>
      <c r="D33" s="8">
        <v>0</v>
      </c>
      <c r="E33" s="8">
        <v>0</v>
      </c>
      <c r="F33" s="8">
        <v>27</v>
      </c>
      <c r="G33" s="8">
        <v>9</v>
      </c>
      <c r="H33" s="8">
        <v>-16</v>
      </c>
      <c r="I33" s="8">
        <v>382</v>
      </c>
      <c r="J33" s="8">
        <v>48</v>
      </c>
      <c r="K33" s="8">
        <v>92</v>
      </c>
      <c r="L33" s="7"/>
    </row>
    <row r="34" spans="1:12" x14ac:dyDescent="0.15">
      <c r="A34" s="7" t="s">
        <v>37</v>
      </c>
      <c r="B34" s="8">
        <v>-882</v>
      </c>
      <c r="C34" s="8">
        <v>13</v>
      </c>
      <c r="D34" s="8">
        <v>-1004</v>
      </c>
      <c r="E34" s="8">
        <v>-666</v>
      </c>
      <c r="F34" s="8">
        <v>-434</v>
      </c>
      <c r="G34" s="8">
        <v>-468</v>
      </c>
      <c r="H34" s="8">
        <v>-993</v>
      </c>
      <c r="I34" s="8">
        <v>-39</v>
      </c>
      <c r="J34" s="8">
        <v>-430</v>
      </c>
      <c r="K34" s="8">
        <v>-410</v>
      </c>
      <c r="L34" s="7"/>
    </row>
    <row r="35" spans="1:12" x14ac:dyDescent="0.15">
      <c r="A35" s="7" t="s">
        <v>38</v>
      </c>
      <c r="B35" s="8">
        <v>3653</v>
      </c>
      <c r="C35" s="8">
        <v>4923</v>
      </c>
      <c r="D35" s="8">
        <v>3965</v>
      </c>
      <c r="E35" s="8">
        <v>3646</v>
      </c>
      <c r="F35" s="8">
        <v>3676</v>
      </c>
      <c r="G35" s="8">
        <v>4190</v>
      </c>
      <c r="H35" s="8">
        <v>5546</v>
      </c>
      <c r="I35" s="8">
        <v>8907</v>
      </c>
      <c r="J35" s="8">
        <v>3418</v>
      </c>
      <c r="K35" s="8">
        <v>5297</v>
      </c>
      <c r="L35" s="7"/>
    </row>
    <row r="36" spans="1:12" x14ac:dyDescent="0.15">
      <c r="A36" s="7" t="s">
        <v>39</v>
      </c>
      <c r="B36" s="8">
        <v>1204</v>
      </c>
      <c r="C36" s="8">
        <v>1602</v>
      </c>
      <c r="D36" s="8">
        <v>1296</v>
      </c>
      <c r="E36" s="8">
        <v>718</v>
      </c>
      <c r="F36" s="8">
        <v>746</v>
      </c>
      <c r="G36" s="8">
        <v>921</v>
      </c>
      <c r="H36" s="8">
        <v>1178</v>
      </c>
      <c r="I36" s="8">
        <v>1961</v>
      </c>
      <c r="J36" s="8">
        <v>638</v>
      </c>
      <c r="K36" s="8">
        <v>1159</v>
      </c>
      <c r="L36" s="7"/>
    </row>
    <row r="37" spans="1:12" x14ac:dyDescent="0.15">
      <c r="A37" s="7" t="s">
        <v>40</v>
      </c>
      <c r="B37" s="8">
        <v>-4085</v>
      </c>
      <c r="C37" s="8">
        <v>42</v>
      </c>
      <c r="D37" s="8">
        <v>68</v>
      </c>
      <c r="E37" s="8">
        <v>6</v>
      </c>
      <c r="F37" s="8">
        <v>7</v>
      </c>
      <c r="G37" s="8">
        <v>12</v>
      </c>
      <c r="H37" s="9" t="s">
        <v>25</v>
      </c>
      <c r="I37" s="9" t="s">
        <v>25</v>
      </c>
      <c r="J37" s="9" t="s">
        <v>25</v>
      </c>
      <c r="K37" s="9" t="s">
        <v>25</v>
      </c>
      <c r="L37" s="7"/>
    </row>
    <row r="38" spans="1:12" x14ac:dyDescent="0.15">
      <c r="A38" s="7" t="s">
        <v>41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7"/>
    </row>
    <row r="39" spans="1:12" x14ac:dyDescent="0.15">
      <c r="A39" s="7" t="s">
        <v>42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7"/>
    </row>
    <row r="40" spans="1:12" x14ac:dyDescent="0.15">
      <c r="A40" s="7" t="s">
        <v>43</v>
      </c>
      <c r="B40" s="8">
        <v>-1636</v>
      </c>
      <c r="C40" s="8">
        <v>3363</v>
      </c>
      <c r="D40" s="8">
        <v>2737</v>
      </c>
      <c r="E40" s="8">
        <v>2934</v>
      </c>
      <c r="F40" s="8">
        <v>2937</v>
      </c>
      <c r="G40" s="8">
        <v>3281</v>
      </c>
      <c r="H40" s="8">
        <v>4368</v>
      </c>
      <c r="I40" s="8">
        <v>6946</v>
      </c>
      <c r="J40" s="8">
        <v>2780</v>
      </c>
      <c r="K40" s="8">
        <v>4138</v>
      </c>
      <c r="L40" s="7"/>
    </row>
    <row r="41" spans="1:12" x14ac:dyDescent="0.15">
      <c r="A41" s="7" t="s">
        <v>44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7"/>
    </row>
    <row r="42" spans="1:12" x14ac:dyDescent="0.15">
      <c r="A42" s="7" t="s">
        <v>45</v>
      </c>
      <c r="B42" s="8">
        <v>-1636</v>
      </c>
      <c r="C42" s="8">
        <v>3363</v>
      </c>
      <c r="D42" s="8">
        <v>2737</v>
      </c>
      <c r="E42" s="8">
        <v>2934</v>
      </c>
      <c r="F42" s="8">
        <v>2937</v>
      </c>
      <c r="G42" s="8">
        <v>3281</v>
      </c>
      <c r="H42" s="8">
        <v>4368</v>
      </c>
      <c r="I42" s="8">
        <v>6946</v>
      </c>
      <c r="J42" s="8">
        <v>2780</v>
      </c>
      <c r="K42" s="8">
        <v>4138</v>
      </c>
      <c r="L42" s="7"/>
    </row>
    <row r="43" spans="1:12" x14ac:dyDescent="0.15">
      <c r="A43" s="7" t="s">
        <v>46</v>
      </c>
      <c r="B43" s="10">
        <v>634.70000000000005</v>
      </c>
      <c r="C43" s="10">
        <v>627.70000000000005</v>
      </c>
      <c r="D43" s="10">
        <v>577.6</v>
      </c>
      <c r="E43" s="10">
        <v>546.79999999999995</v>
      </c>
      <c r="F43" s="10">
        <v>528.6</v>
      </c>
      <c r="G43" s="10">
        <v>510.9</v>
      </c>
      <c r="H43" s="10">
        <v>500.6</v>
      </c>
      <c r="I43" s="10">
        <v>488.1</v>
      </c>
      <c r="J43" s="10">
        <v>462.1</v>
      </c>
      <c r="K43" s="10">
        <v>461.5</v>
      </c>
      <c r="L43" s="7"/>
    </row>
    <row r="44" spans="1:12" x14ac:dyDescent="0.15">
      <c r="A44" s="7" t="s">
        <v>47</v>
      </c>
      <c r="B44" s="11">
        <v>-2.58</v>
      </c>
      <c r="C44" s="11">
        <v>5.35</v>
      </c>
      <c r="D44" s="11">
        <v>4.74</v>
      </c>
      <c r="E44" s="11">
        <v>5.36</v>
      </c>
      <c r="F44" s="11">
        <v>5.55</v>
      </c>
      <c r="G44" s="11">
        <v>6.42</v>
      </c>
      <c r="H44" s="11">
        <v>8.7200000000000006</v>
      </c>
      <c r="I44" s="11">
        <v>14.23</v>
      </c>
      <c r="J44" s="11">
        <v>6.02</v>
      </c>
      <c r="K44" s="11">
        <v>8.9600000000000009</v>
      </c>
      <c r="L44" s="7"/>
    </row>
    <row r="45" spans="1:12" x14ac:dyDescent="0.15">
      <c r="A45" s="7" t="s">
        <v>48</v>
      </c>
      <c r="B45" s="11">
        <v>3.86</v>
      </c>
      <c r="C45" s="11">
        <v>5.29</v>
      </c>
      <c r="D45" s="11">
        <v>4.62</v>
      </c>
      <c r="E45" s="11">
        <v>5.35</v>
      </c>
      <c r="F45" s="11">
        <v>5.54</v>
      </c>
      <c r="G45" s="11">
        <v>6.39</v>
      </c>
      <c r="H45" s="11">
        <v>8.7200000000000006</v>
      </c>
      <c r="I45" s="11">
        <v>14.23</v>
      </c>
      <c r="J45" s="11">
        <v>6.02</v>
      </c>
      <c r="K45" s="11">
        <v>8.9600000000000009</v>
      </c>
      <c r="L45" s="7"/>
    </row>
    <row r="46" spans="1:12" x14ac:dyDescent="0.15">
      <c r="A46" s="7" t="s">
        <v>49</v>
      </c>
      <c r="B46" s="10">
        <v>640.1</v>
      </c>
      <c r="C46" s="10">
        <v>632.9</v>
      </c>
      <c r="D46" s="10">
        <v>582.5</v>
      </c>
      <c r="E46" s="10">
        <v>550.29999999999995</v>
      </c>
      <c r="F46" s="10">
        <v>533.20000000000005</v>
      </c>
      <c r="G46" s="10">
        <v>515.6</v>
      </c>
      <c r="H46" s="10">
        <v>505.4</v>
      </c>
      <c r="I46" s="10">
        <v>492.7</v>
      </c>
      <c r="J46" s="10">
        <v>464.7</v>
      </c>
      <c r="K46" s="10">
        <v>462.8</v>
      </c>
      <c r="L46" s="7"/>
    </row>
    <row r="47" spans="1:12" x14ac:dyDescent="0.15">
      <c r="A47" s="7" t="s">
        <v>50</v>
      </c>
      <c r="B47" s="11">
        <v>-2.56</v>
      </c>
      <c r="C47" s="11">
        <v>5.31</v>
      </c>
      <c r="D47" s="10">
        <v>4.7</v>
      </c>
      <c r="E47" s="11">
        <v>5.33</v>
      </c>
      <c r="F47" s="11">
        <v>5.51</v>
      </c>
      <c r="G47" s="11">
        <v>6.36</v>
      </c>
      <c r="H47" s="11">
        <v>8.64</v>
      </c>
      <c r="I47" s="10">
        <v>14.1</v>
      </c>
      <c r="J47" s="11">
        <v>5.98</v>
      </c>
      <c r="K47" s="11">
        <v>8.94</v>
      </c>
      <c r="L47" s="7"/>
    </row>
    <row r="48" spans="1:12" x14ac:dyDescent="0.15">
      <c r="A48" s="7" t="s">
        <v>51</v>
      </c>
      <c r="B48" s="11">
        <v>3.83</v>
      </c>
      <c r="C48" s="11">
        <v>5.25</v>
      </c>
      <c r="D48" s="11">
        <v>4.58</v>
      </c>
      <c r="E48" s="11">
        <v>5.32</v>
      </c>
      <c r="F48" s="10">
        <v>5.5</v>
      </c>
      <c r="G48" s="11">
        <v>6.34</v>
      </c>
      <c r="H48" s="11">
        <v>8.64</v>
      </c>
      <c r="I48" s="10">
        <v>14.1</v>
      </c>
      <c r="J48" s="11">
        <v>5.98</v>
      </c>
      <c r="K48" s="11">
        <v>8.94</v>
      </c>
      <c r="L48" s="7"/>
    </row>
    <row r="49" spans="1:12" x14ac:dyDescent="0.15">
      <c r="A49" s="7" t="s">
        <v>52</v>
      </c>
      <c r="B49" s="12">
        <v>640.21400000000006</v>
      </c>
      <c r="C49" s="12">
        <v>602.22699999999998</v>
      </c>
      <c r="D49" s="12">
        <v>556.15599999999995</v>
      </c>
      <c r="E49" s="12">
        <v>541.68200000000002</v>
      </c>
      <c r="F49" s="12">
        <v>517.76199999999994</v>
      </c>
      <c r="G49" s="12">
        <v>504.19900000000001</v>
      </c>
      <c r="H49" s="12">
        <v>500.87700000000001</v>
      </c>
      <c r="I49" s="12">
        <v>471.274</v>
      </c>
      <c r="J49" s="12">
        <v>460.34699999999998</v>
      </c>
      <c r="K49" s="12">
        <v>461.67500000000001</v>
      </c>
      <c r="L49" s="7"/>
    </row>
    <row r="51" spans="1:12" x14ac:dyDescent="0.15">
      <c r="A51" s="7" t="s">
        <v>110</v>
      </c>
      <c r="C51" s="19">
        <f>((C21-B21)/B21)</f>
        <v>1.6070395769643891E-2</v>
      </c>
      <c r="D51" s="19">
        <f t="shared" ref="D51:K51" si="3">((D21-C21)/C21)</f>
        <v>-5.8141898759910549E-2</v>
      </c>
      <c r="E51" s="19">
        <f t="shared" si="3"/>
        <v>3.4304626232103029E-2</v>
      </c>
      <c r="F51" s="19">
        <f t="shared" si="3"/>
        <v>3.5531935614018004E-2</v>
      </c>
      <c r="G51" s="19">
        <f t="shared" si="3"/>
        <v>3.6233928499455885E-2</v>
      </c>
      <c r="H51" s="19">
        <f t="shared" si="3"/>
        <v>0.19797744068455853</v>
      </c>
      <c r="I51" s="19">
        <f t="shared" si="3"/>
        <v>0.13215367965367966</v>
      </c>
      <c r="J51" s="19">
        <f t="shared" si="3"/>
        <v>2.8457810364110849E-2</v>
      </c>
      <c r="K51" s="19">
        <f t="shared" si="3"/>
        <v>-1.6591069636018887E-2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6:K49">
    <sortCondition ref="B16:K16"/>
  </sortState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5820-A919-FE44-9783-C09857810229}">
  <dimension ref="A1:I22"/>
  <sheetViews>
    <sheetView workbookViewId="0">
      <selection activeCell="B23" sqref="B23"/>
    </sheetView>
  </sheetViews>
  <sheetFormatPr baseColWidth="10" defaultRowHeight="13" x14ac:dyDescent="0.15"/>
  <sheetData>
    <row r="1" spans="1:9" x14ac:dyDescent="0.15">
      <c r="A1" t="s">
        <v>136</v>
      </c>
    </row>
    <row r="2" spans="1:9" ht="14" thickBot="1" x14ac:dyDescent="0.2"/>
    <row r="3" spans="1:9" x14ac:dyDescent="0.15">
      <c r="A3" s="30" t="s">
        <v>137</v>
      </c>
      <c r="B3" s="30"/>
    </row>
    <row r="4" spans="1:9" x14ac:dyDescent="0.15">
      <c r="A4" t="s">
        <v>138</v>
      </c>
      <c r="B4">
        <v>0.80122785176568523</v>
      </c>
    </row>
    <row r="5" spans="1:9" x14ac:dyDescent="0.15">
      <c r="A5" t="s">
        <v>139</v>
      </c>
      <c r="B5">
        <v>0.64196607044505483</v>
      </c>
    </row>
    <row r="6" spans="1:9" x14ac:dyDescent="0.15">
      <c r="A6" t="s">
        <v>140</v>
      </c>
      <c r="B6">
        <v>0.59081836622291983</v>
      </c>
    </row>
    <row r="7" spans="1:9" x14ac:dyDescent="0.15">
      <c r="A7" t="s">
        <v>141</v>
      </c>
      <c r="B7">
        <v>4.8847118227994174E-2</v>
      </c>
    </row>
    <row r="8" spans="1:9" ht="14" thickBot="1" x14ac:dyDescent="0.2">
      <c r="A8" s="28" t="s">
        <v>142</v>
      </c>
      <c r="B8" s="28">
        <v>9</v>
      </c>
    </row>
    <row r="10" spans="1:9" ht="14" thickBot="1" x14ac:dyDescent="0.2">
      <c r="A10" t="s">
        <v>143</v>
      </c>
    </row>
    <row r="11" spans="1:9" x14ac:dyDescent="0.15">
      <c r="A11" s="29"/>
      <c r="B11" s="29" t="s">
        <v>148</v>
      </c>
      <c r="C11" s="29" t="s">
        <v>149</v>
      </c>
      <c r="D11" s="29" t="s">
        <v>150</v>
      </c>
      <c r="E11" s="29" t="s">
        <v>151</v>
      </c>
      <c r="F11" s="29" t="s">
        <v>152</v>
      </c>
    </row>
    <row r="12" spans="1:9" x14ac:dyDescent="0.15">
      <c r="A12" t="s">
        <v>144</v>
      </c>
      <c r="B12">
        <v>1</v>
      </c>
      <c r="C12">
        <v>2.9947724180015296E-2</v>
      </c>
      <c r="D12">
        <v>2.9947724180015296E-2</v>
      </c>
      <c r="E12">
        <v>12.551219653124399</v>
      </c>
      <c r="F12">
        <v>9.4347429012045687E-3</v>
      </c>
    </row>
    <row r="13" spans="1:9" x14ac:dyDescent="0.15">
      <c r="A13" t="s">
        <v>145</v>
      </c>
      <c r="B13">
        <v>7</v>
      </c>
      <c r="C13">
        <v>1.6702286714257483E-2</v>
      </c>
      <c r="D13">
        <v>2.3860409591796405E-3</v>
      </c>
    </row>
    <row r="14" spans="1:9" ht="14" thickBot="1" x14ac:dyDescent="0.2">
      <c r="A14" s="28" t="s">
        <v>146</v>
      </c>
      <c r="B14" s="28">
        <v>8</v>
      </c>
      <c r="C14" s="28">
        <v>4.665001089427278E-2</v>
      </c>
      <c r="D14" s="28"/>
      <c r="E14" s="28"/>
      <c r="F14" s="28"/>
    </row>
    <row r="15" spans="1:9" ht="14" thickBot="1" x14ac:dyDescent="0.2"/>
    <row r="16" spans="1:9" x14ac:dyDescent="0.15">
      <c r="A16" s="29"/>
      <c r="B16" s="29" t="s">
        <v>153</v>
      </c>
      <c r="C16" s="29" t="s">
        <v>141</v>
      </c>
      <c r="D16" s="29" t="s">
        <v>154</v>
      </c>
      <c r="E16" s="29" t="s">
        <v>155</v>
      </c>
      <c r="F16" s="29" t="s">
        <v>156</v>
      </c>
      <c r="G16" s="29" t="s">
        <v>157</v>
      </c>
      <c r="H16" s="29" t="s">
        <v>158</v>
      </c>
      <c r="I16" s="29" t="s">
        <v>159</v>
      </c>
    </row>
    <row r="17" spans="1:9" x14ac:dyDescent="0.15">
      <c r="A17" t="s">
        <v>147</v>
      </c>
      <c r="B17">
        <v>4.6074297150364499E-3</v>
      </c>
      <c r="C17">
        <v>2.0182232758832571E-2</v>
      </c>
      <c r="D17">
        <v>0.22829137737597691</v>
      </c>
      <c r="E17">
        <v>0.82594523962420763</v>
      </c>
      <c r="F17">
        <v>-4.3115967317789404E-2</v>
      </c>
      <c r="G17">
        <v>5.2330826747862304E-2</v>
      </c>
      <c r="H17">
        <v>-4.3115967317789404E-2</v>
      </c>
      <c r="I17">
        <v>5.2330826747862304E-2</v>
      </c>
    </row>
    <row r="18" spans="1:9" ht="14" thickBot="1" x14ac:dyDescent="0.2">
      <c r="A18" s="28" t="s">
        <v>135</v>
      </c>
      <c r="B18" s="28">
        <v>0.92784973986821084</v>
      </c>
      <c r="C18" s="28">
        <v>0.26189950965322445</v>
      </c>
      <c r="D18" s="28">
        <v>3.5427700536620206</v>
      </c>
      <c r="E18" s="28">
        <v>9.434742901204567E-3</v>
      </c>
      <c r="F18" s="28">
        <v>0.30855580786193765</v>
      </c>
      <c r="G18" s="28">
        <v>1.547143671874484</v>
      </c>
      <c r="H18" s="28">
        <v>0.30855580786193765</v>
      </c>
      <c r="I18" s="28">
        <v>1.547143671874484</v>
      </c>
    </row>
    <row r="22" spans="1:9" x14ac:dyDescent="0.15">
      <c r="B22" s="11">
        <f>B17+B18*4.55</f>
        <v>4.2263237461153951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7907-1B71-C64A-A9C7-304C7CBB6CA6}">
  <dimension ref="A3:E26"/>
  <sheetViews>
    <sheetView workbookViewId="0">
      <selection activeCell="D5" sqref="D5"/>
    </sheetView>
  </sheetViews>
  <sheetFormatPr baseColWidth="10" defaultRowHeight="13" x14ac:dyDescent="0.15"/>
  <sheetData>
    <row r="3" spans="2:4" x14ac:dyDescent="0.15">
      <c r="B3" s="22" t="s">
        <v>133</v>
      </c>
      <c r="C3" s="22" t="s">
        <v>134</v>
      </c>
      <c r="D3" s="22" t="s">
        <v>135</v>
      </c>
    </row>
    <row r="4" spans="2:4" x14ac:dyDescent="0.15">
      <c r="B4">
        <v>2016</v>
      </c>
      <c r="C4" s="19">
        <v>1.6070395769643975E-2</v>
      </c>
      <c r="D4" s="19">
        <v>-7.4952303079856009E-4</v>
      </c>
    </row>
    <row r="5" spans="2:4" x14ac:dyDescent="0.15">
      <c r="B5">
        <f>B4+1</f>
        <v>2017</v>
      </c>
      <c r="C5" s="19">
        <v>-5.8141898759910604E-2</v>
      </c>
      <c r="D5" s="19">
        <v>-8.9260143198090725E-2</v>
      </c>
    </row>
    <row r="6" spans="2:4" x14ac:dyDescent="0.15">
      <c r="B6">
        <f t="shared" ref="B6:B12" si="0">B5+1</f>
        <v>2018</v>
      </c>
      <c r="C6" s="19">
        <v>3.4304626232102953E-2</v>
      </c>
      <c r="D6" s="19">
        <v>6.678646301287805E-2</v>
      </c>
    </row>
    <row r="7" spans="2:4" x14ac:dyDescent="0.15">
      <c r="B7">
        <f t="shared" si="0"/>
        <v>2019</v>
      </c>
      <c r="C7" s="19">
        <v>4.8372960113524099E-2</v>
      </c>
      <c r="D7" s="19">
        <v>0.1035233015160022</v>
      </c>
    </row>
    <row r="8" spans="2:4" x14ac:dyDescent="0.15">
      <c r="B8">
        <f t="shared" si="0"/>
        <v>2020</v>
      </c>
      <c r="C8" s="19">
        <v>3.6573066510961372E-2</v>
      </c>
      <c r="D8" s="19">
        <v>3.243655790879596E-2</v>
      </c>
    </row>
    <row r="9" spans="2:4" x14ac:dyDescent="0.15">
      <c r="B9">
        <f t="shared" si="0"/>
        <v>2021</v>
      </c>
      <c r="C9" s="19">
        <v>0.19778011061040557</v>
      </c>
      <c r="D9" s="19">
        <v>0.14673812603954905</v>
      </c>
    </row>
    <row r="10" spans="2:4" x14ac:dyDescent="0.15">
      <c r="B10">
        <f t="shared" si="0"/>
        <v>2022</v>
      </c>
      <c r="C10" s="19">
        <v>0.13300413633885921</v>
      </c>
      <c r="D10" s="19">
        <v>6.1079774375503604E-2</v>
      </c>
    </row>
    <row r="11" spans="2:4" x14ac:dyDescent="0.15">
      <c r="B11">
        <f t="shared" si="0"/>
        <v>2023</v>
      </c>
      <c r="C11" s="19">
        <v>2.9385406348757082E-2</v>
      </c>
      <c r="D11" s="19">
        <v>4.586877278250312E-2</v>
      </c>
    </row>
    <row r="12" spans="2:4" x14ac:dyDescent="0.15">
      <c r="B12">
        <f t="shared" si="0"/>
        <v>2024</v>
      </c>
      <c r="C12" s="19">
        <v>-1.5652492668621676E-2</v>
      </c>
      <c r="D12" s="19">
        <v>4.3373027398586395E-2</v>
      </c>
    </row>
    <row r="13" spans="2:4" x14ac:dyDescent="0.15">
      <c r="B13" s="22" t="s">
        <v>160</v>
      </c>
      <c r="C13" s="13">
        <f>AVERAGE(C4:C12)</f>
        <v>4.6855145610635779E-2</v>
      </c>
      <c r="D13" s="13">
        <f>AVERAGE(D4:D12)</f>
        <v>4.5532928533881009E-2</v>
      </c>
    </row>
    <row r="14" spans="2:4" x14ac:dyDescent="0.15">
      <c r="B14" s="22" t="s">
        <v>161</v>
      </c>
      <c r="C14" s="31">
        <f>_xlfn.STDEV.S(C4:C12)</f>
        <v>7.6362630663067754E-2</v>
      </c>
      <c r="D14" s="31">
        <f>_xlfn.STDEV.S(D4:D12)</f>
        <v>6.5941567790962149E-2</v>
      </c>
    </row>
    <row r="18" spans="1:5" x14ac:dyDescent="0.15">
      <c r="A18" s="26"/>
      <c r="B18" s="26"/>
    </row>
    <row r="26" spans="1:5" x14ac:dyDescent="0.15">
      <c r="A26" s="27"/>
      <c r="B26" s="27"/>
      <c r="C26" s="27"/>
      <c r="D26" s="27"/>
      <c r="E26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4367-BBF1-5641-B13A-3843FE597615}">
  <dimension ref="B3:S412"/>
  <sheetViews>
    <sheetView zoomScale="82" workbookViewId="0">
      <selection activeCell="E412" sqref="E412"/>
    </sheetView>
  </sheetViews>
  <sheetFormatPr baseColWidth="10" defaultRowHeight="13" x14ac:dyDescent="0.15"/>
  <cols>
    <col min="2" max="2" width="19.83203125" customWidth="1"/>
    <col min="4" max="4" width="13.83203125" customWidth="1"/>
    <col min="5" max="5" width="18.1640625" customWidth="1"/>
    <col min="6" max="6" width="16.6640625" style="19" customWidth="1"/>
    <col min="7" max="8" width="16.83203125" customWidth="1"/>
    <col min="11" max="11" width="19.1640625" customWidth="1"/>
  </cols>
  <sheetData>
    <row r="3" spans="2:12" ht="19" x14ac:dyDescent="0.25">
      <c r="B3" s="52" t="s">
        <v>235</v>
      </c>
      <c r="C3" s="55" t="s">
        <v>239</v>
      </c>
      <c r="D3" s="52" t="s">
        <v>236</v>
      </c>
      <c r="E3" s="22" t="s">
        <v>237</v>
      </c>
      <c r="F3" s="19" t="s">
        <v>238</v>
      </c>
      <c r="G3" s="22" t="s">
        <v>240</v>
      </c>
      <c r="H3" s="22" t="s">
        <v>241</v>
      </c>
    </row>
    <row r="4" spans="2:12" ht="18" x14ac:dyDescent="0.2">
      <c r="B4" s="53">
        <v>32874</v>
      </c>
      <c r="C4" s="56">
        <v>6.5969645413770372E-3</v>
      </c>
      <c r="D4" s="54">
        <v>2.58</v>
      </c>
      <c r="E4" s="19">
        <f>D5/D4-1</f>
        <v>3.1007751937984551E-2</v>
      </c>
      <c r="F4" s="19">
        <v>8.5389570925002989E-3</v>
      </c>
      <c r="G4" s="13">
        <f>E4-C4</f>
        <v>2.4410787396607514E-2</v>
      </c>
      <c r="H4" s="13">
        <f>F4-C4</f>
        <v>1.9419925511232616E-3</v>
      </c>
    </row>
    <row r="5" spans="2:12" ht="18" x14ac:dyDescent="0.2">
      <c r="B5" s="53">
        <v>32905</v>
      </c>
      <c r="C5" s="56">
        <v>6.7982917736004733E-3</v>
      </c>
      <c r="D5" s="54">
        <v>2.66</v>
      </c>
      <c r="E5" s="19">
        <f t="shared" ref="E5:E68" si="0">D6/D5-1</f>
        <v>0.12406015037593976</v>
      </c>
      <c r="F5" s="19">
        <v>2.4255024255024349E-2</v>
      </c>
      <c r="G5" s="13">
        <f t="shared" ref="G5:G68" si="1">E5-C5</f>
        <v>0.11726185860233929</v>
      </c>
      <c r="H5" s="13">
        <f t="shared" ref="H5:H68" si="2">F5-C5</f>
        <v>1.7456732481423876E-2</v>
      </c>
    </row>
    <row r="6" spans="2:12" ht="18" x14ac:dyDescent="0.2">
      <c r="B6" s="53">
        <v>32933</v>
      </c>
      <c r="C6" s="56">
        <v>6.8910628764466964E-3</v>
      </c>
      <c r="D6" s="54">
        <v>2.99</v>
      </c>
      <c r="E6" s="19">
        <f t="shared" si="0"/>
        <v>-1.6722408026755953E-2</v>
      </c>
      <c r="F6" s="19">
        <v>-2.6887097723127584E-2</v>
      </c>
      <c r="G6" s="13">
        <f t="shared" si="1"/>
        <v>-2.3613470903202649E-2</v>
      </c>
      <c r="H6" s="13">
        <f t="shared" si="2"/>
        <v>-3.3778160599574281E-2</v>
      </c>
    </row>
    <row r="7" spans="2:12" ht="18" x14ac:dyDescent="0.2">
      <c r="B7" s="53">
        <v>32964</v>
      </c>
      <c r="C7" s="56">
        <v>7.0454727500885994E-3</v>
      </c>
      <c r="D7" s="54">
        <v>2.94</v>
      </c>
      <c r="E7" s="19">
        <f t="shared" si="0"/>
        <v>0.11564625850340127</v>
      </c>
      <c r="F7" s="19">
        <v>9.1989117291414679E-2</v>
      </c>
      <c r="G7" s="13">
        <f t="shared" si="1"/>
        <v>0.10860078575331267</v>
      </c>
      <c r="H7" s="13">
        <f t="shared" si="2"/>
        <v>8.494364454132608E-2</v>
      </c>
    </row>
    <row r="8" spans="2:12" ht="18" x14ac:dyDescent="0.2">
      <c r="B8" s="53">
        <v>32994</v>
      </c>
      <c r="C8" s="56">
        <v>7.022327866001099E-3</v>
      </c>
      <c r="D8" s="54">
        <v>3.28</v>
      </c>
      <c r="E8" s="19">
        <f t="shared" si="0"/>
        <v>-3.3536585365853577E-2</v>
      </c>
      <c r="F8" s="19">
        <v>-8.8863051241592217E-3</v>
      </c>
      <c r="G8" s="13">
        <f t="shared" si="1"/>
        <v>-4.0558913231854676E-2</v>
      </c>
      <c r="H8" s="13">
        <f t="shared" si="2"/>
        <v>-1.5908632990160321E-2</v>
      </c>
    </row>
    <row r="9" spans="2:12" ht="18" x14ac:dyDescent="0.2">
      <c r="B9" s="53">
        <v>33025</v>
      </c>
      <c r="C9" s="56">
        <v>6.8060262912292835E-3</v>
      </c>
      <c r="D9" s="54">
        <v>3.17</v>
      </c>
      <c r="E9" s="19">
        <f t="shared" si="0"/>
        <v>-3.7854889589905349E-2</v>
      </c>
      <c r="F9" s="19">
        <v>-5.2231718898385626E-3</v>
      </c>
      <c r="G9" s="13">
        <f t="shared" si="1"/>
        <v>-4.4660915881134633E-2</v>
      </c>
      <c r="H9" s="13">
        <f t="shared" si="2"/>
        <v>-1.2029198181067846E-2</v>
      </c>
      <c r="K9" t="s">
        <v>136</v>
      </c>
    </row>
    <row r="10" spans="2:12" ht="19" thickBot="1" x14ac:dyDescent="0.25">
      <c r="B10" s="53">
        <v>33055</v>
      </c>
      <c r="C10" s="56">
        <v>6.7982917736004733E-3</v>
      </c>
      <c r="D10" s="54">
        <v>3.05</v>
      </c>
      <c r="E10" s="19">
        <f t="shared" si="0"/>
        <v>-0.18688524590163935</v>
      </c>
      <c r="F10" s="19">
        <v>-9.4314193457812667E-2</v>
      </c>
      <c r="G10" s="13">
        <f t="shared" si="1"/>
        <v>-0.19368353767523983</v>
      </c>
      <c r="H10" s="13">
        <f t="shared" si="2"/>
        <v>-0.10111248523141314</v>
      </c>
    </row>
    <row r="11" spans="2:12" ht="18" x14ac:dyDescent="0.2">
      <c r="B11" s="53">
        <v>33086</v>
      </c>
      <c r="C11" s="56">
        <v>7.0146116041400752E-3</v>
      </c>
      <c r="D11" s="54">
        <v>2.48</v>
      </c>
      <c r="E11" s="19">
        <f t="shared" si="0"/>
        <v>-6.8548387096774133E-2</v>
      </c>
      <c r="F11" s="19">
        <v>-5.1184275793650813E-2</v>
      </c>
      <c r="G11" s="13">
        <f t="shared" si="1"/>
        <v>-7.5562998700914208E-2</v>
      </c>
      <c r="H11" s="13">
        <f t="shared" si="2"/>
        <v>-5.8198887397790888E-2</v>
      </c>
      <c r="K11" s="30" t="s">
        <v>137</v>
      </c>
      <c r="L11" s="30"/>
    </row>
    <row r="12" spans="2:12" ht="18" x14ac:dyDescent="0.2">
      <c r="B12" s="53">
        <v>33117</v>
      </c>
      <c r="C12" s="56">
        <v>7.1225801322394311E-3</v>
      </c>
      <c r="D12" s="54">
        <v>2.31</v>
      </c>
      <c r="E12" s="19">
        <f t="shared" si="0"/>
        <v>-9.5238095238095344E-2</v>
      </c>
      <c r="F12" s="19">
        <v>-6.6982519196210344E-3</v>
      </c>
      <c r="G12" s="13">
        <f t="shared" si="1"/>
        <v>-0.10236067537033477</v>
      </c>
      <c r="H12" s="13">
        <f t="shared" si="2"/>
        <v>-1.3820832051860465E-2</v>
      </c>
      <c r="K12" t="s">
        <v>138</v>
      </c>
      <c r="L12">
        <v>0.5446715930170698</v>
      </c>
    </row>
    <row r="13" spans="2:12" ht="18" x14ac:dyDescent="0.2">
      <c r="B13" s="53">
        <v>33147</v>
      </c>
      <c r="C13" s="56">
        <v>6.9914589154564943E-3</v>
      </c>
      <c r="D13" s="54">
        <v>2.09</v>
      </c>
      <c r="E13" s="19">
        <f t="shared" si="0"/>
        <v>0.13875598086124397</v>
      </c>
      <c r="F13" s="19">
        <v>5.9934210526315868E-2</v>
      </c>
      <c r="G13" s="13">
        <f t="shared" si="1"/>
        <v>0.13176452194578747</v>
      </c>
      <c r="H13" s="13">
        <f t="shared" si="2"/>
        <v>5.2942751610859373E-2</v>
      </c>
      <c r="K13" t="s">
        <v>139</v>
      </c>
      <c r="L13">
        <v>0.29666714423975249</v>
      </c>
    </row>
    <row r="14" spans="2:12" ht="18" x14ac:dyDescent="0.2">
      <c r="B14" s="53">
        <v>33178</v>
      </c>
      <c r="C14" s="56">
        <v>6.7363920910228359E-3</v>
      </c>
      <c r="D14" s="54">
        <v>2.38</v>
      </c>
      <c r="E14" s="19">
        <f t="shared" si="0"/>
        <v>6.3025210084033612E-2</v>
      </c>
      <c r="F14" s="19">
        <v>2.482775743280996E-2</v>
      </c>
      <c r="G14" s="13">
        <f t="shared" si="1"/>
        <v>5.6288817993010776E-2</v>
      </c>
      <c r="H14" s="13">
        <f t="shared" si="2"/>
        <v>1.8091365341787125E-2</v>
      </c>
      <c r="K14" t="s">
        <v>140</v>
      </c>
      <c r="L14">
        <v>0.294930519904542</v>
      </c>
    </row>
    <row r="15" spans="2:12" ht="18" x14ac:dyDescent="0.2">
      <c r="B15" s="53">
        <v>33208</v>
      </c>
      <c r="C15" s="56">
        <v>6.4883738308543215E-3</v>
      </c>
      <c r="D15" s="54">
        <v>2.5299999999999998</v>
      </c>
      <c r="E15" s="19">
        <f t="shared" si="0"/>
        <v>0.14229249011857714</v>
      </c>
      <c r="F15" s="19">
        <v>4.1517776028102471E-2</v>
      </c>
      <c r="G15" s="13">
        <f t="shared" si="1"/>
        <v>0.13580411628772282</v>
      </c>
      <c r="H15" s="13">
        <f t="shared" si="2"/>
        <v>3.502940219724815E-2</v>
      </c>
      <c r="K15" t="s">
        <v>141</v>
      </c>
      <c r="L15">
        <v>6.8400450863761994E-2</v>
      </c>
    </row>
    <row r="16" spans="2:12" ht="19" thickBot="1" x14ac:dyDescent="0.25">
      <c r="B16" s="53">
        <v>33239</v>
      </c>
      <c r="C16" s="56">
        <v>6.5038946817226329E-3</v>
      </c>
      <c r="D16" s="54">
        <v>2.89</v>
      </c>
      <c r="E16" s="19">
        <f t="shared" si="0"/>
        <v>4.1522491349480939E-2</v>
      </c>
      <c r="F16" s="19">
        <v>6.728113278864889E-2</v>
      </c>
      <c r="G16" s="13">
        <f t="shared" si="1"/>
        <v>3.5018596667758306E-2</v>
      </c>
      <c r="H16" s="13">
        <f t="shared" si="2"/>
        <v>6.0777238106926257E-2</v>
      </c>
      <c r="K16" s="28" t="s">
        <v>142</v>
      </c>
      <c r="L16" s="28">
        <v>407</v>
      </c>
    </row>
    <row r="17" spans="2:19" ht="18" x14ac:dyDescent="0.2">
      <c r="B17" s="53">
        <v>33270</v>
      </c>
      <c r="C17" s="56">
        <v>6.3174704723885089E-3</v>
      </c>
      <c r="D17" s="54">
        <v>3.01</v>
      </c>
      <c r="E17" s="19">
        <f t="shared" si="0"/>
        <v>3.3222591362126241E-2</v>
      </c>
      <c r="F17" s="19">
        <v>2.2202849592720897E-2</v>
      </c>
      <c r="G17" s="13">
        <f t="shared" si="1"/>
        <v>2.6905120889737733E-2</v>
      </c>
      <c r="H17" s="13">
        <f t="shared" si="2"/>
        <v>1.5885379120332388E-2</v>
      </c>
    </row>
    <row r="18" spans="2:19" ht="19" thickBot="1" x14ac:dyDescent="0.25">
      <c r="B18" s="53">
        <v>33298</v>
      </c>
      <c r="C18" s="56">
        <v>6.5194129002956736E-3</v>
      </c>
      <c r="D18" s="54">
        <v>3.11</v>
      </c>
      <c r="E18" s="19">
        <f t="shared" si="0"/>
        <v>6.7524115755627001E-2</v>
      </c>
      <c r="F18" s="19">
        <v>3.1981237673894825E-4</v>
      </c>
      <c r="G18" s="13">
        <f t="shared" si="1"/>
        <v>6.1004702855331328E-2</v>
      </c>
      <c r="H18" s="13">
        <f t="shared" si="2"/>
        <v>-6.1996005235567253E-3</v>
      </c>
      <c r="K18" t="s">
        <v>143</v>
      </c>
    </row>
    <row r="19" spans="2:19" ht="18" x14ac:dyDescent="0.2">
      <c r="B19" s="53">
        <v>33329</v>
      </c>
      <c r="C19" s="56">
        <v>6.4650876169554117E-3</v>
      </c>
      <c r="D19" s="54">
        <v>3.32</v>
      </c>
      <c r="E19" s="19">
        <f t="shared" si="0"/>
        <v>6.9277108433734913E-2</v>
      </c>
      <c r="F19" s="19">
        <v>3.8604998135024271E-2</v>
      </c>
      <c r="G19" s="13">
        <f t="shared" si="1"/>
        <v>6.2812020816779501E-2</v>
      </c>
      <c r="H19" s="13">
        <f t="shared" si="2"/>
        <v>3.2139910518068859E-2</v>
      </c>
      <c r="K19" s="29"/>
      <c r="L19" s="29" t="s">
        <v>148</v>
      </c>
      <c r="M19" s="29" t="s">
        <v>149</v>
      </c>
      <c r="N19" s="29" t="s">
        <v>150</v>
      </c>
      <c r="O19" s="29" t="s">
        <v>151</v>
      </c>
      <c r="P19" s="29" t="s">
        <v>152</v>
      </c>
    </row>
    <row r="20" spans="2:19" ht="18" x14ac:dyDescent="0.2">
      <c r="B20" s="53">
        <v>33359</v>
      </c>
      <c r="C20" s="56">
        <v>6.4883738308543215E-3</v>
      </c>
      <c r="D20" s="54">
        <v>3.55</v>
      </c>
      <c r="E20" s="19">
        <f t="shared" si="0"/>
        <v>-0.10140845070422533</v>
      </c>
      <c r="F20" s="19">
        <v>-4.7892671164353584E-2</v>
      </c>
      <c r="G20" s="13">
        <f t="shared" si="1"/>
        <v>-0.10789682453507965</v>
      </c>
      <c r="H20" s="13">
        <f t="shared" si="2"/>
        <v>-5.4381044995207906E-2</v>
      </c>
      <c r="K20" t="s">
        <v>144</v>
      </c>
      <c r="L20">
        <v>1</v>
      </c>
      <c r="M20">
        <v>0.79924788807637137</v>
      </c>
      <c r="N20">
        <v>0.79924788807637137</v>
      </c>
      <c r="O20">
        <v>170.82977488265757</v>
      </c>
      <c r="P20">
        <v>8.1170644506531235E-33</v>
      </c>
    </row>
    <row r="21" spans="2:19" ht="18" x14ac:dyDescent="0.2">
      <c r="B21" s="53">
        <v>33390</v>
      </c>
      <c r="C21" s="56">
        <v>6.6512116109906927E-3</v>
      </c>
      <c r="D21" s="54">
        <v>3.19</v>
      </c>
      <c r="E21" s="19">
        <f t="shared" si="0"/>
        <v>-3.7617554858934255E-2</v>
      </c>
      <c r="F21" s="19">
        <v>4.485935984481082E-2</v>
      </c>
      <c r="G21" s="13">
        <f t="shared" si="1"/>
        <v>-4.4268766469924947E-2</v>
      </c>
      <c r="H21" s="13">
        <f t="shared" si="2"/>
        <v>3.8208148233820127E-2</v>
      </c>
      <c r="K21" t="s">
        <v>145</v>
      </c>
      <c r="L21">
        <v>405</v>
      </c>
      <c r="M21">
        <v>1.8948417797381967</v>
      </c>
      <c r="N21">
        <v>4.6786216783659181E-3</v>
      </c>
    </row>
    <row r="22" spans="2:19" ht="19" thickBot="1" x14ac:dyDescent="0.25">
      <c r="B22" s="53">
        <v>33420</v>
      </c>
      <c r="C22" s="56">
        <v>6.6434639981336474E-3</v>
      </c>
      <c r="D22" s="54">
        <v>3.07</v>
      </c>
      <c r="E22" s="19">
        <f t="shared" si="0"/>
        <v>0.13355048859934859</v>
      </c>
      <c r="F22" s="19">
        <v>1.9648797091359249E-2</v>
      </c>
      <c r="G22" s="13">
        <f t="shared" si="1"/>
        <v>0.12690702460121495</v>
      </c>
      <c r="H22" s="13">
        <f t="shared" si="2"/>
        <v>1.3005333093225602E-2</v>
      </c>
      <c r="K22" s="28" t="s">
        <v>146</v>
      </c>
      <c r="L22" s="28">
        <v>406</v>
      </c>
      <c r="M22" s="28">
        <v>2.694089667814568</v>
      </c>
      <c r="N22" s="28"/>
      <c r="O22" s="28"/>
      <c r="P22" s="28"/>
    </row>
    <row r="23" spans="2:19" ht="19" thickBot="1" x14ac:dyDescent="0.25">
      <c r="B23" s="53">
        <v>33451</v>
      </c>
      <c r="C23" s="56">
        <v>6.356340187460896E-3</v>
      </c>
      <c r="D23" s="54">
        <v>3.48</v>
      </c>
      <c r="E23" s="19">
        <f t="shared" si="0"/>
        <v>-6.0344827586206851E-2</v>
      </c>
      <c r="F23" s="19">
        <v>-1.9143716966340429E-2</v>
      </c>
      <c r="G23" s="13">
        <f t="shared" si="1"/>
        <v>-6.6701167773667747E-2</v>
      </c>
      <c r="H23" s="13">
        <f t="shared" si="2"/>
        <v>-2.5500057153801325E-2</v>
      </c>
    </row>
    <row r="24" spans="2:19" ht="18" x14ac:dyDescent="0.2">
      <c r="B24" s="53">
        <v>33482</v>
      </c>
      <c r="C24" s="56">
        <v>6.1618262441982541E-3</v>
      </c>
      <c r="D24" s="54">
        <v>3.27</v>
      </c>
      <c r="E24" s="19">
        <f t="shared" si="0"/>
        <v>-0.12538226299694188</v>
      </c>
      <c r="F24" s="19">
        <v>1.1834166967462423E-2</v>
      </c>
      <c r="G24" s="13">
        <f t="shared" si="1"/>
        <v>-0.13154408924114014</v>
      </c>
      <c r="H24" s="13">
        <f t="shared" si="2"/>
        <v>5.6723407232641687E-3</v>
      </c>
      <c r="K24" s="29"/>
      <c r="L24" s="29" t="s">
        <v>153</v>
      </c>
      <c r="M24" s="29" t="s">
        <v>141</v>
      </c>
      <c r="N24" s="29" t="s">
        <v>154</v>
      </c>
      <c r="O24" s="29" t="s">
        <v>155</v>
      </c>
      <c r="P24" s="29" t="s">
        <v>156</v>
      </c>
      <c r="Q24" s="29" t="s">
        <v>157</v>
      </c>
      <c r="R24" s="29" t="s">
        <v>158</v>
      </c>
      <c r="S24" s="29" t="s">
        <v>159</v>
      </c>
    </row>
    <row r="25" spans="2:19" ht="18" x14ac:dyDescent="0.2">
      <c r="B25" s="53">
        <v>33512</v>
      </c>
      <c r="C25" s="56">
        <v>6.0683124257288057E-3</v>
      </c>
      <c r="D25" s="54">
        <v>2.86</v>
      </c>
      <c r="E25" s="19">
        <f t="shared" si="0"/>
        <v>-0.10139860139860146</v>
      </c>
      <c r="F25" s="19">
        <v>-4.3903681997706667E-2</v>
      </c>
      <c r="G25" s="13">
        <f t="shared" si="1"/>
        <v>-0.10746691382433027</v>
      </c>
      <c r="H25" s="13">
        <f t="shared" si="2"/>
        <v>-4.9971994423435473E-2</v>
      </c>
      <c r="K25" t="s">
        <v>147</v>
      </c>
      <c r="L25">
        <v>5.4880433155505559E-3</v>
      </c>
      <c r="M25">
        <v>3.4055621939966768E-3</v>
      </c>
      <c r="N25">
        <v>1.6114940802505018</v>
      </c>
      <c r="O25">
        <v>0.10785107730233187</v>
      </c>
      <c r="P25">
        <v>-1.2067426087741101E-3</v>
      </c>
      <c r="Q25">
        <v>1.2182829239875221E-2</v>
      </c>
      <c r="R25">
        <v>-1.2067426087741101E-3</v>
      </c>
      <c r="S25">
        <v>1.2182829239875221E-2</v>
      </c>
    </row>
    <row r="26" spans="2:19" ht="19" thickBot="1" x14ac:dyDescent="0.25">
      <c r="B26" s="53">
        <v>33543</v>
      </c>
      <c r="C26" s="56">
        <v>5.9825073511525773E-3</v>
      </c>
      <c r="D26" s="54">
        <v>2.57</v>
      </c>
      <c r="E26" s="19">
        <f t="shared" si="0"/>
        <v>8.5603112840467066E-2</v>
      </c>
      <c r="F26" s="19">
        <v>0.11158786845050894</v>
      </c>
      <c r="G26" s="13">
        <f t="shared" si="1"/>
        <v>7.9620605489314489E-2</v>
      </c>
      <c r="H26" s="13">
        <f t="shared" si="2"/>
        <v>0.10560536109935637</v>
      </c>
      <c r="K26" s="28" t="s">
        <v>241</v>
      </c>
      <c r="L26" s="28">
        <v>1.0317037098929633</v>
      </c>
      <c r="M26" s="28">
        <v>7.8935653342398326E-2</v>
      </c>
      <c r="N26" s="28">
        <v>13.070186489972452</v>
      </c>
      <c r="O26" s="28">
        <v>8.1170644506509134E-33</v>
      </c>
      <c r="P26" s="28">
        <v>0.87652894848187424</v>
      </c>
      <c r="Q26" s="28">
        <v>1.1868784713040526</v>
      </c>
      <c r="R26" s="28">
        <v>0.87652894848187424</v>
      </c>
      <c r="S26" s="28">
        <v>1.1868784713040526</v>
      </c>
    </row>
    <row r="27" spans="2:19" ht="18" x14ac:dyDescent="0.2">
      <c r="B27" s="53">
        <v>33573</v>
      </c>
      <c r="C27" s="56">
        <v>5.7246080037485214E-3</v>
      </c>
      <c r="D27" s="54">
        <v>2.79</v>
      </c>
      <c r="E27" s="19">
        <f t="shared" si="0"/>
        <v>5.017921146953408E-2</v>
      </c>
      <c r="F27" s="19">
        <v>-1.9923757462418146E-2</v>
      </c>
      <c r="G27" s="13">
        <f t="shared" si="1"/>
        <v>4.4454603465785558E-2</v>
      </c>
      <c r="H27" s="13">
        <f t="shared" si="2"/>
        <v>-2.5648365466166667E-2</v>
      </c>
    </row>
    <row r="28" spans="2:19" ht="18" x14ac:dyDescent="0.2">
      <c r="B28" s="53">
        <v>33604</v>
      </c>
      <c r="C28" s="56">
        <v>5.6776389607060551E-3</v>
      </c>
      <c r="D28" s="54">
        <v>2.93</v>
      </c>
      <c r="E28" s="19">
        <f t="shared" si="0"/>
        <v>4.778156996587013E-2</v>
      </c>
      <c r="F28" s="19">
        <v>9.5895102500123119E-3</v>
      </c>
      <c r="G28" s="13">
        <f t="shared" si="1"/>
        <v>4.2103931005164075E-2</v>
      </c>
      <c r="H28" s="13">
        <f t="shared" si="2"/>
        <v>3.9118712893062568E-3</v>
      </c>
    </row>
    <row r="29" spans="2:19" ht="18" x14ac:dyDescent="0.2">
      <c r="B29" s="53">
        <v>33635</v>
      </c>
      <c r="C29" s="56">
        <v>5.9200530563485732E-3</v>
      </c>
      <c r="D29" s="54">
        <v>3.07</v>
      </c>
      <c r="E29" s="19">
        <f t="shared" si="0"/>
        <v>-8.1433224755700362E-2</v>
      </c>
      <c r="F29" s="19">
        <v>-2.1831839108311102E-2</v>
      </c>
      <c r="G29" s="13">
        <f t="shared" si="1"/>
        <v>-8.7353277812048935E-2</v>
      </c>
      <c r="H29" s="13">
        <f t="shared" si="2"/>
        <v>-2.7751892164659675E-2</v>
      </c>
    </row>
    <row r="30" spans="2:19" ht="18" x14ac:dyDescent="0.2">
      <c r="B30" s="53">
        <v>33664</v>
      </c>
      <c r="C30" s="56">
        <v>6.0761088967336008E-3</v>
      </c>
      <c r="D30" s="54">
        <v>2.82</v>
      </c>
      <c r="E30" s="19">
        <f t="shared" si="0"/>
        <v>-1.7730496453900679E-2</v>
      </c>
      <c r="F30" s="19">
        <v>2.7892689935346437E-2</v>
      </c>
      <c r="G30" s="13">
        <f t="shared" si="1"/>
        <v>-2.380660535063428E-2</v>
      </c>
      <c r="H30" s="13">
        <f t="shared" si="2"/>
        <v>2.1816581038612837E-2</v>
      </c>
    </row>
    <row r="31" spans="2:19" ht="18" x14ac:dyDescent="0.2">
      <c r="B31" s="53">
        <v>33695</v>
      </c>
      <c r="C31" s="56">
        <v>6.029320098462243E-3</v>
      </c>
      <c r="D31" s="54">
        <v>2.77</v>
      </c>
      <c r="E31" s="19">
        <f t="shared" si="0"/>
        <v>0.10830324909747291</v>
      </c>
      <c r="F31" s="19">
        <v>9.6397156283889451E-4</v>
      </c>
      <c r="G31" s="13">
        <f t="shared" si="1"/>
        <v>0.10227392899901067</v>
      </c>
      <c r="H31" s="13">
        <f t="shared" si="2"/>
        <v>-5.0653485356233485E-3</v>
      </c>
    </row>
    <row r="32" spans="2:19" ht="18" x14ac:dyDescent="0.2">
      <c r="B32" s="53">
        <v>33725</v>
      </c>
      <c r="C32" s="56">
        <v>5.9590919885958993E-3</v>
      </c>
      <c r="D32" s="54">
        <v>3.07</v>
      </c>
      <c r="E32" s="19">
        <f t="shared" si="0"/>
        <v>-6.514657980456029E-3</v>
      </c>
      <c r="F32" s="19">
        <v>-1.7358853978572397E-2</v>
      </c>
      <c r="G32" s="13">
        <f t="shared" si="1"/>
        <v>-1.2473749969051928E-2</v>
      </c>
      <c r="H32" s="13">
        <f t="shared" si="2"/>
        <v>-2.3317945967168296E-2</v>
      </c>
    </row>
    <row r="33" spans="2:8" ht="18" x14ac:dyDescent="0.2">
      <c r="B33" s="53">
        <v>33756</v>
      </c>
      <c r="C33" s="56">
        <v>5.8575560789742021E-3</v>
      </c>
      <c r="D33" s="54">
        <v>3.05</v>
      </c>
      <c r="E33" s="19">
        <f t="shared" si="0"/>
        <v>-1.967213114754085E-2</v>
      </c>
      <c r="F33" s="19">
        <v>3.9373744303425218E-2</v>
      </c>
      <c r="G33" s="13">
        <f t="shared" si="1"/>
        <v>-2.5529687226515052E-2</v>
      </c>
      <c r="H33" s="13">
        <f t="shared" si="2"/>
        <v>3.3516188224451016E-2</v>
      </c>
    </row>
    <row r="34" spans="2:8" ht="18" x14ac:dyDescent="0.2">
      <c r="B34" s="53">
        <v>33786</v>
      </c>
      <c r="C34" s="56">
        <v>5.528744261182883E-3</v>
      </c>
      <c r="D34" s="54">
        <v>2.99</v>
      </c>
      <c r="E34" s="19">
        <f t="shared" si="0"/>
        <v>1.0033444816053505E-2</v>
      </c>
      <c r="F34" s="19">
        <v>-2.3997548384055101E-2</v>
      </c>
      <c r="G34" s="13">
        <f t="shared" si="1"/>
        <v>4.504700554870622E-3</v>
      </c>
      <c r="H34" s="13">
        <f t="shared" si="2"/>
        <v>-2.9526292645237984E-2</v>
      </c>
    </row>
    <row r="35" spans="2:8" ht="18" x14ac:dyDescent="0.2">
      <c r="B35" s="53">
        <v>33817</v>
      </c>
      <c r="C35" s="56">
        <v>5.3324599488508984E-3</v>
      </c>
      <c r="D35" s="54">
        <v>3.02</v>
      </c>
      <c r="E35" s="19">
        <f t="shared" si="0"/>
        <v>5.9602649006622599E-2</v>
      </c>
      <c r="F35" s="19">
        <v>9.1056203656740831E-3</v>
      </c>
      <c r="G35" s="13">
        <f t="shared" si="1"/>
        <v>5.4270189057771701E-2</v>
      </c>
      <c r="H35" s="13">
        <f t="shared" si="2"/>
        <v>3.7731604168231847E-3</v>
      </c>
    </row>
    <row r="36" spans="2:8" ht="18" x14ac:dyDescent="0.2">
      <c r="B36" s="53">
        <v>33848</v>
      </c>
      <c r="C36" s="56">
        <v>5.1987454217645723E-3</v>
      </c>
      <c r="D36" s="54">
        <v>3.2</v>
      </c>
      <c r="E36" s="19">
        <f t="shared" si="0"/>
        <v>9.6874999999999822E-2</v>
      </c>
      <c r="F36" s="19">
        <v>2.1062709430348381E-3</v>
      </c>
      <c r="G36" s="13">
        <f t="shared" si="1"/>
        <v>9.167625457823525E-2</v>
      </c>
      <c r="H36" s="13">
        <f t="shared" si="2"/>
        <v>-3.0924744787297342E-3</v>
      </c>
    </row>
    <row r="37" spans="2:8" ht="18" x14ac:dyDescent="0.2">
      <c r="B37" s="53">
        <v>33878</v>
      </c>
      <c r="C37" s="56">
        <v>5.3324599488508984E-3</v>
      </c>
      <c r="D37" s="54">
        <v>3.51</v>
      </c>
      <c r="E37" s="19">
        <f t="shared" si="0"/>
        <v>2.8490028490028463E-2</v>
      </c>
      <c r="F37" s="19">
        <v>3.026177510270367E-2</v>
      </c>
      <c r="G37" s="13">
        <f t="shared" si="1"/>
        <v>2.3157568541177564E-2</v>
      </c>
      <c r="H37" s="13">
        <f t="shared" si="2"/>
        <v>2.4929315153852771E-2</v>
      </c>
    </row>
    <row r="38" spans="2:8" ht="18" x14ac:dyDescent="0.2">
      <c r="B38" s="53">
        <v>33909</v>
      </c>
      <c r="C38" s="56">
        <v>5.5522700792010049E-3</v>
      </c>
      <c r="D38" s="54">
        <v>3.61</v>
      </c>
      <c r="E38" s="19">
        <f t="shared" si="0"/>
        <v>-3.3240997229916802E-2</v>
      </c>
      <c r="F38" s="19">
        <v>1.0107801089602297E-2</v>
      </c>
      <c r="G38" s="13">
        <f t="shared" si="1"/>
        <v>-3.8793267309117807E-2</v>
      </c>
      <c r="H38" s="13">
        <f t="shared" si="2"/>
        <v>4.5555310104012925E-3</v>
      </c>
    </row>
    <row r="39" spans="2:8" ht="18" x14ac:dyDescent="0.2">
      <c r="B39" s="53">
        <v>33939</v>
      </c>
      <c r="C39" s="56">
        <v>5.4738271283234496E-3</v>
      </c>
      <c r="D39" s="54">
        <v>3.49</v>
      </c>
      <c r="E39" s="19">
        <f t="shared" si="0"/>
        <v>2.5787965616045794E-2</v>
      </c>
      <c r="F39" s="19">
        <v>7.0459709439765206E-3</v>
      </c>
      <c r="G39" s="13">
        <f t="shared" si="1"/>
        <v>2.0314138487722344E-2</v>
      </c>
      <c r="H39" s="13">
        <f t="shared" si="2"/>
        <v>1.5721438156530709E-3</v>
      </c>
    </row>
    <row r="40" spans="2:8" ht="18" x14ac:dyDescent="0.2">
      <c r="B40" s="53">
        <v>33970</v>
      </c>
      <c r="C40" s="56">
        <v>5.3403194199830306E-3</v>
      </c>
      <c r="D40" s="54">
        <v>3.58</v>
      </c>
      <c r="E40" s="19">
        <f t="shared" si="0"/>
        <v>-8.379888268156499E-3</v>
      </c>
      <c r="F40" s="19">
        <v>1.0483613656046442E-2</v>
      </c>
      <c r="G40" s="13">
        <f t="shared" si="1"/>
        <v>-1.372020768813953E-2</v>
      </c>
      <c r="H40" s="13">
        <f t="shared" si="2"/>
        <v>5.1432942360634115E-3</v>
      </c>
    </row>
    <row r="41" spans="2:8" ht="18" x14ac:dyDescent="0.2">
      <c r="B41" s="53">
        <v>34001</v>
      </c>
      <c r="C41" s="56">
        <v>5.0727174711968637E-3</v>
      </c>
      <c r="D41" s="54">
        <v>3.55</v>
      </c>
      <c r="E41" s="19">
        <f t="shared" si="0"/>
        <v>7.6056338028168913E-2</v>
      </c>
      <c r="F41" s="19">
        <v>1.8697279985565585E-2</v>
      </c>
      <c r="G41" s="13">
        <f t="shared" si="1"/>
        <v>7.0983620556972049E-2</v>
      </c>
      <c r="H41" s="13">
        <f t="shared" si="2"/>
        <v>1.3624562514368721E-2</v>
      </c>
    </row>
    <row r="42" spans="2:8" ht="18" x14ac:dyDescent="0.2">
      <c r="B42" s="53">
        <v>34029</v>
      </c>
      <c r="C42" s="56">
        <v>4.8517493945887669E-3</v>
      </c>
      <c r="D42" s="54">
        <v>3.82</v>
      </c>
      <c r="E42" s="19">
        <f t="shared" si="0"/>
        <v>-0.13612565445026181</v>
      </c>
      <c r="F42" s="19">
        <v>-2.5416786591980878E-2</v>
      </c>
      <c r="G42" s="13">
        <f t="shared" si="1"/>
        <v>-0.14097740384485058</v>
      </c>
      <c r="H42" s="13">
        <f t="shared" si="2"/>
        <v>-3.0268535986569645E-2</v>
      </c>
    </row>
    <row r="43" spans="2:8" ht="18" x14ac:dyDescent="0.2">
      <c r="B43" s="53">
        <v>34060</v>
      </c>
      <c r="C43" s="56">
        <v>4.8438477841514782E-3</v>
      </c>
      <c r="D43" s="54">
        <v>3.3</v>
      </c>
      <c r="E43" s="19">
        <f t="shared" si="0"/>
        <v>1.8181818181818299E-2</v>
      </c>
      <c r="F43" s="19">
        <v>2.2717462913741882E-2</v>
      </c>
      <c r="G43" s="13">
        <f t="shared" si="1"/>
        <v>1.3337970397666821E-2</v>
      </c>
      <c r="H43" s="13">
        <f t="shared" si="2"/>
        <v>1.7873615129590403E-2</v>
      </c>
    </row>
    <row r="44" spans="2:8" ht="18" x14ac:dyDescent="0.2">
      <c r="B44" s="53">
        <v>34090</v>
      </c>
      <c r="C44" s="56">
        <v>4.899144709827663E-3</v>
      </c>
      <c r="D44" s="54">
        <v>3.36</v>
      </c>
      <c r="E44" s="19">
        <f t="shared" si="0"/>
        <v>-7.7380952380952328E-2</v>
      </c>
      <c r="F44" s="19">
        <v>7.5523667784715975E-4</v>
      </c>
      <c r="G44" s="13">
        <f t="shared" si="1"/>
        <v>-8.2280097090779991E-2</v>
      </c>
      <c r="H44" s="13">
        <f t="shared" si="2"/>
        <v>-4.1439080319805033E-3</v>
      </c>
    </row>
    <row r="45" spans="2:8" ht="18" x14ac:dyDescent="0.2">
      <c r="B45" s="53">
        <v>34121</v>
      </c>
      <c r="C45" s="56">
        <v>4.8359454901756305E-3</v>
      </c>
      <c r="D45" s="54">
        <v>3.1</v>
      </c>
      <c r="E45" s="19">
        <f t="shared" si="0"/>
        <v>3.2258064516129004E-2</v>
      </c>
      <c r="F45" s="19">
        <v>-5.327059241337917E-3</v>
      </c>
      <c r="G45" s="13">
        <f t="shared" si="1"/>
        <v>2.7422119025953373E-2</v>
      </c>
      <c r="H45" s="13">
        <f t="shared" si="2"/>
        <v>-1.0163004731513547E-2</v>
      </c>
    </row>
    <row r="46" spans="2:8" ht="18" x14ac:dyDescent="0.2">
      <c r="B46" s="53">
        <v>34151</v>
      </c>
      <c r="C46" s="56">
        <v>4.7173289717712397E-3</v>
      </c>
      <c r="D46" s="54">
        <v>3.2</v>
      </c>
      <c r="E46" s="19">
        <f t="shared" si="0"/>
        <v>-3.125E-2</v>
      </c>
      <c r="F46" s="19">
        <v>3.4431972865016869E-2</v>
      </c>
      <c r="G46" s="13">
        <f t="shared" si="1"/>
        <v>-3.596732897177124E-2</v>
      </c>
      <c r="H46" s="13">
        <f t="shared" si="2"/>
        <v>2.9714643893245629E-2</v>
      </c>
    </row>
    <row r="47" spans="2:8" ht="18" x14ac:dyDescent="0.2">
      <c r="B47" s="53">
        <v>34182</v>
      </c>
      <c r="C47" s="56">
        <v>4.6144032393260481E-3</v>
      </c>
      <c r="D47" s="54">
        <v>3.1</v>
      </c>
      <c r="E47" s="19">
        <f t="shared" si="0"/>
        <v>4.1935483870967794E-2</v>
      </c>
      <c r="F47" s="19">
        <v>-9.9879195789109865E-3</v>
      </c>
      <c r="G47" s="13">
        <f t="shared" si="1"/>
        <v>3.7321080631641745E-2</v>
      </c>
      <c r="H47" s="13">
        <f t="shared" si="2"/>
        <v>-1.4602322818237035E-2</v>
      </c>
    </row>
    <row r="48" spans="2:8" ht="18" x14ac:dyDescent="0.2">
      <c r="B48" s="53">
        <v>34213</v>
      </c>
      <c r="C48" s="56">
        <v>4.3605522809628816E-3</v>
      </c>
      <c r="D48" s="54">
        <v>3.23</v>
      </c>
      <c r="E48" s="19">
        <f t="shared" si="0"/>
        <v>6.1919504643963563E-3</v>
      </c>
      <c r="F48" s="19">
        <v>1.9392935741834316E-2</v>
      </c>
      <c r="G48" s="13">
        <f t="shared" si="1"/>
        <v>1.8313981834334747E-3</v>
      </c>
      <c r="H48" s="13">
        <f t="shared" si="2"/>
        <v>1.5032383460871435E-2</v>
      </c>
    </row>
    <row r="49" spans="2:8" ht="18" x14ac:dyDescent="0.2">
      <c r="B49" s="53">
        <v>34243</v>
      </c>
      <c r="C49" s="56">
        <v>4.3367175322408524E-3</v>
      </c>
      <c r="D49" s="54">
        <v>3.25</v>
      </c>
      <c r="E49" s="19">
        <f t="shared" si="0"/>
        <v>2.7692307692307683E-2</v>
      </c>
      <c r="F49" s="19">
        <v>-1.2910672680247037E-2</v>
      </c>
      <c r="G49" s="13">
        <f t="shared" si="1"/>
        <v>2.335559016006683E-2</v>
      </c>
      <c r="H49" s="13">
        <f t="shared" si="2"/>
        <v>-1.724739021248789E-2</v>
      </c>
    </row>
    <row r="50" spans="2:8" ht="18" x14ac:dyDescent="0.2">
      <c r="B50" s="53">
        <v>34274</v>
      </c>
      <c r="C50" s="56">
        <v>4.6460850512481944E-3</v>
      </c>
      <c r="D50" s="54">
        <v>3.34</v>
      </c>
      <c r="E50" s="19">
        <f t="shared" si="0"/>
        <v>-5.9880239520958001E-2</v>
      </c>
      <c r="F50" s="19">
        <v>1.0091166980662036E-2</v>
      </c>
      <c r="G50" s="13">
        <f t="shared" si="1"/>
        <v>-6.4526324572206195E-2</v>
      </c>
      <c r="H50" s="13">
        <f t="shared" si="2"/>
        <v>5.4450819294138419E-3</v>
      </c>
    </row>
    <row r="51" spans="2:8" ht="18" x14ac:dyDescent="0.2">
      <c r="B51" s="53">
        <v>34304</v>
      </c>
      <c r="C51" s="56">
        <v>4.6856718676875353E-3</v>
      </c>
      <c r="D51" s="54">
        <v>3.14</v>
      </c>
      <c r="E51" s="19">
        <f t="shared" si="0"/>
        <v>-1.2738853503184711E-2</v>
      </c>
      <c r="F51" s="19">
        <v>3.2500803944688572E-2</v>
      </c>
      <c r="G51" s="13">
        <f t="shared" si="1"/>
        <v>-1.7424525370872246E-2</v>
      </c>
      <c r="H51" s="13">
        <f t="shared" si="2"/>
        <v>2.7815132077001037E-2</v>
      </c>
    </row>
    <row r="52" spans="2:8" ht="18" x14ac:dyDescent="0.2">
      <c r="B52" s="53">
        <v>34335</v>
      </c>
      <c r="C52" s="56">
        <v>4.6698392000357192E-3</v>
      </c>
      <c r="D52" s="54">
        <v>3.1</v>
      </c>
      <c r="E52" s="19">
        <f t="shared" si="0"/>
        <v>8.7096774193548443E-2</v>
      </c>
      <c r="F52" s="19">
        <v>-3.0045057203961778E-2</v>
      </c>
      <c r="G52" s="13">
        <f t="shared" si="1"/>
        <v>8.2426934993512724E-2</v>
      </c>
      <c r="H52" s="13">
        <f t="shared" si="2"/>
        <v>-3.4714896403997497E-2</v>
      </c>
    </row>
    <row r="53" spans="2:8" ht="18" x14ac:dyDescent="0.2">
      <c r="B53" s="53">
        <v>34366</v>
      </c>
      <c r="C53" s="56">
        <v>4.8438477841514782E-3</v>
      </c>
      <c r="D53" s="54">
        <v>3.37</v>
      </c>
      <c r="E53" s="19">
        <f t="shared" si="0"/>
        <v>2.6706231454005858E-2</v>
      </c>
      <c r="F53" s="19">
        <v>-4.5746457164875687E-2</v>
      </c>
      <c r="G53" s="13">
        <f t="shared" si="1"/>
        <v>2.1862383669854379E-2</v>
      </c>
      <c r="H53" s="13">
        <f t="shared" si="2"/>
        <v>-5.0590304949027165E-2</v>
      </c>
    </row>
    <row r="54" spans="2:8" ht="18" x14ac:dyDescent="0.2">
      <c r="B54" s="53">
        <v>34394</v>
      </c>
      <c r="C54" s="56">
        <v>5.2459611277158036E-3</v>
      </c>
      <c r="D54" s="54">
        <v>3.46</v>
      </c>
      <c r="E54" s="19">
        <f t="shared" si="0"/>
        <v>8.092485549132955E-2</v>
      </c>
      <c r="F54" s="19">
        <v>1.1530609955807014E-2</v>
      </c>
      <c r="G54" s="13">
        <f t="shared" si="1"/>
        <v>7.5678894363613747E-2</v>
      </c>
      <c r="H54" s="13">
        <f t="shared" si="2"/>
        <v>6.2846488280912105E-3</v>
      </c>
    </row>
    <row r="55" spans="2:8" ht="18" x14ac:dyDescent="0.2">
      <c r="B55" s="53">
        <v>34425</v>
      </c>
      <c r="C55" s="56">
        <v>5.6306457752604011E-3</v>
      </c>
      <c r="D55" s="54">
        <v>3.74</v>
      </c>
      <c r="E55" s="19">
        <f t="shared" si="0"/>
        <v>-2.673796791443861E-3</v>
      </c>
      <c r="F55" s="19">
        <v>1.239715242509587E-2</v>
      </c>
      <c r="G55" s="13">
        <f t="shared" si="1"/>
        <v>-8.3044425667042621E-3</v>
      </c>
      <c r="H55" s="13">
        <f t="shared" si="2"/>
        <v>6.7665066498354687E-3</v>
      </c>
    </row>
    <row r="56" spans="2:8" ht="18" x14ac:dyDescent="0.2">
      <c r="B56" s="53">
        <v>34455</v>
      </c>
      <c r="C56" s="56">
        <v>5.7950163579920666E-3</v>
      </c>
      <c r="D56" s="54">
        <v>3.73</v>
      </c>
      <c r="E56" s="19">
        <f t="shared" si="0"/>
        <v>3.4852546916890104E-2</v>
      </c>
      <c r="F56" s="19">
        <v>-2.6790799561883905E-2</v>
      </c>
      <c r="G56" s="13">
        <f t="shared" si="1"/>
        <v>2.9057530558898037E-2</v>
      </c>
      <c r="H56" s="13">
        <f t="shared" si="2"/>
        <v>-3.2585815919875971E-2</v>
      </c>
    </row>
    <row r="57" spans="2:8" ht="18" x14ac:dyDescent="0.2">
      <c r="B57" s="53">
        <v>34486</v>
      </c>
      <c r="C57" s="56">
        <v>5.7324338322313206E-3</v>
      </c>
      <c r="D57" s="54">
        <v>3.86</v>
      </c>
      <c r="E57" s="19">
        <f t="shared" si="0"/>
        <v>1.81347150259068E-2</v>
      </c>
      <c r="F57" s="19">
        <v>3.1489859769959772E-2</v>
      </c>
      <c r="G57" s="13">
        <f t="shared" si="1"/>
        <v>1.240228119367548E-2</v>
      </c>
      <c r="H57" s="13">
        <f t="shared" si="2"/>
        <v>2.5757425937728451E-2</v>
      </c>
    </row>
    <row r="58" spans="2:8" ht="18" x14ac:dyDescent="0.2">
      <c r="B58" s="53">
        <v>34516</v>
      </c>
      <c r="C58" s="56">
        <v>5.8888099067944122E-3</v>
      </c>
      <c r="D58" s="54">
        <v>3.93</v>
      </c>
      <c r="E58" s="19">
        <f t="shared" si="0"/>
        <v>2.7989821882951516E-2</v>
      </c>
      <c r="F58" s="19">
        <v>3.7598743071618701E-2</v>
      </c>
      <c r="G58" s="13">
        <f t="shared" si="1"/>
        <v>2.2101011976157103E-2</v>
      </c>
      <c r="H58" s="13">
        <f t="shared" si="2"/>
        <v>3.1709933164824289E-2</v>
      </c>
    </row>
    <row r="59" spans="2:8" ht="18" x14ac:dyDescent="0.2">
      <c r="B59" s="53">
        <v>34547</v>
      </c>
      <c r="C59" s="56">
        <v>5.8419251583290421E-3</v>
      </c>
      <c r="D59" s="54">
        <v>4.04</v>
      </c>
      <c r="E59" s="19">
        <f t="shared" si="0"/>
        <v>-9.4059405940594032E-2</v>
      </c>
      <c r="F59" s="19">
        <v>-2.6877536856716344E-2</v>
      </c>
      <c r="G59" s="13">
        <f t="shared" si="1"/>
        <v>-9.9901331098923074E-2</v>
      </c>
      <c r="H59" s="13">
        <f t="shared" si="2"/>
        <v>-3.2719462015045386E-2</v>
      </c>
    </row>
    <row r="60" spans="2:8" ht="18" x14ac:dyDescent="0.2">
      <c r="B60" s="53">
        <v>34578</v>
      </c>
      <c r="C60" s="56">
        <v>6.0137185116289071E-3</v>
      </c>
      <c r="D60" s="54">
        <v>3.66</v>
      </c>
      <c r="E60" s="19">
        <f t="shared" si="0"/>
        <v>1.3661202185792254E-2</v>
      </c>
      <c r="F60" s="19">
        <v>2.0833783579347953E-2</v>
      </c>
      <c r="G60" s="13">
        <f t="shared" si="1"/>
        <v>7.6474836741633467E-3</v>
      </c>
      <c r="H60" s="13">
        <f t="shared" si="2"/>
        <v>1.4820065067719046E-2</v>
      </c>
    </row>
    <row r="61" spans="2:8" ht="18" x14ac:dyDescent="0.2">
      <c r="B61" s="53">
        <v>34608</v>
      </c>
      <c r="C61" s="56">
        <v>6.2318989207894582E-3</v>
      </c>
      <c r="D61" s="54">
        <v>3.71</v>
      </c>
      <c r="E61" s="19">
        <f t="shared" si="0"/>
        <v>5.3908355795148299E-2</v>
      </c>
      <c r="F61" s="19">
        <v>-3.9504604636392604E-2</v>
      </c>
      <c r="G61" s="13">
        <f t="shared" si="1"/>
        <v>4.7676456874358841E-2</v>
      </c>
      <c r="H61" s="13">
        <f t="shared" si="2"/>
        <v>-4.5736503557182062E-2</v>
      </c>
    </row>
    <row r="62" spans="2:8" ht="18" x14ac:dyDescent="0.2">
      <c r="B62" s="53">
        <v>34639</v>
      </c>
      <c r="C62" s="56">
        <v>6.395193395115184E-3</v>
      </c>
      <c r="D62" s="54">
        <v>3.91</v>
      </c>
      <c r="E62" s="19">
        <f t="shared" si="0"/>
        <v>-0.12787723785166238</v>
      </c>
      <c r="F62" s="19">
        <v>1.229914699464385E-2</v>
      </c>
      <c r="G62" s="13">
        <f t="shared" si="1"/>
        <v>-0.13427243124677757</v>
      </c>
      <c r="H62" s="13">
        <f t="shared" si="2"/>
        <v>5.9039535995286663E-3</v>
      </c>
    </row>
    <row r="63" spans="2:8" ht="18" x14ac:dyDescent="0.2">
      <c r="B63" s="53">
        <v>34669</v>
      </c>
      <c r="C63" s="56">
        <v>6.2863628051315068E-3</v>
      </c>
      <c r="D63" s="54">
        <v>3.41</v>
      </c>
      <c r="E63" s="19">
        <f t="shared" si="0"/>
        <v>-3.2258064516129115E-2</v>
      </c>
      <c r="F63" s="19">
        <v>2.4277658022514137E-2</v>
      </c>
      <c r="G63" s="13">
        <f t="shared" si="1"/>
        <v>-3.8544427321260621E-2</v>
      </c>
      <c r="H63" s="13">
        <f t="shared" si="2"/>
        <v>1.799129521738263E-2</v>
      </c>
    </row>
    <row r="64" spans="2:8" ht="18" x14ac:dyDescent="0.2">
      <c r="B64" s="53">
        <v>34700</v>
      </c>
      <c r="C64" s="56">
        <v>6.2630251108877211E-3</v>
      </c>
      <c r="D64" s="54">
        <v>3.3</v>
      </c>
      <c r="E64" s="19">
        <f t="shared" si="0"/>
        <v>2.7272727272727337E-2</v>
      </c>
      <c r="F64" s="19">
        <v>3.6074146507376392E-2</v>
      </c>
      <c r="G64" s="13">
        <f t="shared" si="1"/>
        <v>2.1009702161839616E-2</v>
      </c>
      <c r="H64" s="13">
        <f t="shared" si="2"/>
        <v>2.9811121396488671E-2</v>
      </c>
    </row>
    <row r="65" spans="2:8" ht="18" x14ac:dyDescent="0.2">
      <c r="B65" s="53">
        <v>34731</v>
      </c>
      <c r="C65" s="56">
        <v>6.0215196377304547E-3</v>
      </c>
      <c r="D65" s="54">
        <v>3.39</v>
      </c>
      <c r="E65" s="19">
        <f t="shared" si="0"/>
        <v>2.0648967551622377E-2</v>
      </c>
      <c r="F65" s="19">
        <v>2.7329243521615032E-2</v>
      </c>
      <c r="G65" s="13">
        <f t="shared" si="1"/>
        <v>1.4627447913891922E-2</v>
      </c>
      <c r="H65" s="13">
        <f t="shared" si="2"/>
        <v>2.1307723883884577E-2</v>
      </c>
    </row>
    <row r="66" spans="2:8" ht="18" x14ac:dyDescent="0.2">
      <c r="B66" s="53">
        <v>34759</v>
      </c>
      <c r="C66" s="56">
        <v>5.8106552987937654E-3</v>
      </c>
      <c r="D66" s="54">
        <v>3.46</v>
      </c>
      <c r="E66" s="19">
        <f t="shared" si="0"/>
        <v>-6.0693641618497107E-2</v>
      </c>
      <c r="F66" s="19">
        <v>2.7960296379141658E-2</v>
      </c>
      <c r="G66" s="13">
        <f t="shared" si="1"/>
        <v>-6.6504296917290873E-2</v>
      </c>
      <c r="H66" s="13">
        <f t="shared" si="2"/>
        <v>2.2149641080347893E-2</v>
      </c>
    </row>
    <row r="67" spans="2:8" ht="18" x14ac:dyDescent="0.2">
      <c r="B67" s="53">
        <v>34790</v>
      </c>
      <c r="C67" s="56">
        <v>5.7011264984068166E-3</v>
      </c>
      <c r="D67" s="54">
        <v>3.25</v>
      </c>
      <c r="E67" s="19">
        <f t="shared" si="0"/>
        <v>5.5384615384615365E-2</v>
      </c>
      <c r="F67" s="19">
        <v>3.6311709506323897E-2</v>
      </c>
      <c r="G67" s="13">
        <f t="shared" si="1"/>
        <v>4.9683488886208549E-2</v>
      </c>
      <c r="H67" s="13">
        <f t="shared" si="2"/>
        <v>3.061058300791708E-2</v>
      </c>
    </row>
    <row r="68" spans="2:8" ht="18" x14ac:dyDescent="0.2">
      <c r="B68" s="53">
        <v>34820</v>
      </c>
      <c r="C68" s="56">
        <v>5.3638937789661778E-3</v>
      </c>
      <c r="D68" s="54">
        <v>3.43</v>
      </c>
      <c r="E68" s="19">
        <f t="shared" si="0"/>
        <v>1.7492711370262315E-2</v>
      </c>
      <c r="F68" s="19">
        <v>2.1278590176228018E-2</v>
      </c>
      <c r="G68" s="13">
        <f t="shared" si="1"/>
        <v>1.2128817591296137E-2</v>
      </c>
      <c r="H68" s="13">
        <f t="shared" si="2"/>
        <v>1.591469639726184E-2</v>
      </c>
    </row>
    <row r="69" spans="2:8" ht="18" x14ac:dyDescent="0.2">
      <c r="B69" s="53">
        <v>34851</v>
      </c>
      <c r="C69" s="56">
        <v>5.0017502848112017E-3</v>
      </c>
      <c r="D69" s="54">
        <v>3.49</v>
      </c>
      <c r="E69" s="19">
        <f t="shared" ref="E69:E132" si="3">D70/D69-1</f>
        <v>5.4441260744985565E-2</v>
      </c>
      <c r="F69" s="19">
        <v>3.1776044056906816E-2</v>
      </c>
      <c r="G69" s="13">
        <f t="shared" ref="G69:G132" si="4">E69-C69</f>
        <v>4.9439510460174363E-2</v>
      </c>
      <c r="H69" s="13">
        <f t="shared" ref="H69:H132" si="5">F69-C69</f>
        <v>2.6774293772095614E-2</v>
      </c>
    </row>
    <row r="70" spans="2:8" ht="18" x14ac:dyDescent="0.2">
      <c r="B70" s="53">
        <v>34881</v>
      </c>
      <c r="C70" s="56">
        <v>5.0884804742696854E-3</v>
      </c>
      <c r="D70" s="54">
        <v>3.68</v>
      </c>
      <c r="E70" s="19">
        <f t="shared" si="3"/>
        <v>-3.2608695652173947E-2</v>
      </c>
      <c r="F70" s="19">
        <v>-3.2025050706319114E-4</v>
      </c>
      <c r="G70" s="13">
        <f t="shared" si="4"/>
        <v>-3.7697176126443632E-2</v>
      </c>
      <c r="H70" s="13">
        <f t="shared" si="5"/>
        <v>-5.4087309813328766E-3</v>
      </c>
    </row>
    <row r="71" spans="2:8" ht="18" x14ac:dyDescent="0.2">
      <c r="B71" s="53">
        <v>34912</v>
      </c>
      <c r="C71" s="56">
        <v>5.2538280408596094E-3</v>
      </c>
      <c r="D71" s="54">
        <v>3.56</v>
      </c>
      <c r="E71" s="19">
        <f t="shared" si="3"/>
        <v>4.4943820224719211E-2</v>
      </c>
      <c r="F71" s="19">
        <v>4.0097529721648595E-2</v>
      </c>
      <c r="G71" s="13">
        <f t="shared" si="4"/>
        <v>3.9689992183859601E-2</v>
      </c>
      <c r="H71" s="13">
        <f t="shared" si="5"/>
        <v>3.4843701680788985E-2</v>
      </c>
    </row>
    <row r="72" spans="2:8" ht="18" x14ac:dyDescent="0.2">
      <c r="B72" s="53">
        <v>34943</v>
      </c>
      <c r="C72" s="56">
        <v>5.0254121388362272E-3</v>
      </c>
      <c r="D72" s="54">
        <v>3.72</v>
      </c>
      <c r="E72" s="19">
        <f t="shared" si="3"/>
        <v>-9.4086021505376372E-2</v>
      </c>
      <c r="F72" s="19">
        <v>-4.9793809140842304E-3</v>
      </c>
      <c r="G72" s="13">
        <f t="shared" si="4"/>
        <v>-9.9111433644212599E-2</v>
      </c>
      <c r="H72" s="13">
        <f t="shared" si="5"/>
        <v>-1.0004793052920458E-2</v>
      </c>
    </row>
    <row r="73" spans="2:8" ht="18" x14ac:dyDescent="0.2">
      <c r="B73" s="53">
        <v>34973</v>
      </c>
      <c r="C73" s="56">
        <v>4.899144709827663E-3</v>
      </c>
      <c r="D73" s="54">
        <v>3.37</v>
      </c>
      <c r="E73" s="19">
        <f t="shared" si="3"/>
        <v>5.6379821958457033E-2</v>
      </c>
      <c r="F73" s="19">
        <v>4.1049011177987982E-2</v>
      </c>
      <c r="G73" s="13">
        <f t="shared" si="4"/>
        <v>5.148067724862937E-2</v>
      </c>
      <c r="H73" s="13">
        <f t="shared" si="5"/>
        <v>3.6149866468160319E-2</v>
      </c>
    </row>
    <row r="74" spans="2:8" ht="18" x14ac:dyDescent="0.2">
      <c r="B74" s="53">
        <v>35004</v>
      </c>
      <c r="C74" s="56">
        <v>4.8122345057812765E-3</v>
      </c>
      <c r="D74" s="54">
        <v>3.56</v>
      </c>
      <c r="E74" s="19">
        <f t="shared" si="3"/>
        <v>3.9325842696629199E-2</v>
      </c>
      <c r="F74" s="19">
        <v>1.7443877298181087E-2</v>
      </c>
      <c r="G74" s="13">
        <f t="shared" si="4"/>
        <v>3.4513608190847922E-2</v>
      </c>
      <c r="H74" s="13">
        <f t="shared" si="5"/>
        <v>1.2631642792399811E-2</v>
      </c>
    </row>
    <row r="75" spans="2:8" ht="18" x14ac:dyDescent="0.2">
      <c r="B75" s="53">
        <v>35034</v>
      </c>
      <c r="C75" s="56">
        <v>4.638165628538804E-3</v>
      </c>
      <c r="D75" s="54">
        <v>3.7</v>
      </c>
      <c r="E75" s="19">
        <f t="shared" si="3"/>
        <v>-1.0810810810810811E-2</v>
      </c>
      <c r="F75" s="19">
        <v>3.2617342879872835E-2</v>
      </c>
      <c r="G75" s="13">
        <f t="shared" si="4"/>
        <v>-1.5448976439349615E-2</v>
      </c>
      <c r="H75" s="13">
        <f t="shared" si="5"/>
        <v>2.7979177251334031E-2</v>
      </c>
    </row>
    <row r="76" spans="2:8" ht="18" x14ac:dyDescent="0.2">
      <c r="B76" s="53">
        <v>35065</v>
      </c>
      <c r="C76" s="56">
        <v>4.5906346658710628E-3</v>
      </c>
      <c r="D76" s="54">
        <v>3.66</v>
      </c>
      <c r="E76" s="19">
        <f t="shared" si="3"/>
        <v>2.732240437158362E-3</v>
      </c>
      <c r="F76" s="19">
        <v>6.9337442218797563E-3</v>
      </c>
      <c r="G76" s="13">
        <f t="shared" si="4"/>
        <v>-1.8583942287127009E-3</v>
      </c>
      <c r="H76" s="13">
        <f t="shared" si="5"/>
        <v>2.3431095560086934E-3</v>
      </c>
    </row>
    <row r="77" spans="2:8" ht="18" x14ac:dyDescent="0.2">
      <c r="B77" s="53">
        <v>35096</v>
      </c>
      <c r="C77" s="56">
        <v>4.7173289717712397E-3</v>
      </c>
      <c r="D77" s="54">
        <v>3.67</v>
      </c>
      <c r="E77" s="19">
        <f t="shared" si="3"/>
        <v>0.14713896457765663</v>
      </c>
      <c r="F77" s="19">
        <v>7.9165560638947419E-3</v>
      </c>
      <c r="G77" s="13">
        <f t="shared" si="4"/>
        <v>0.14242163560588539</v>
      </c>
      <c r="H77" s="13">
        <f t="shared" si="5"/>
        <v>3.1992270921235022E-3</v>
      </c>
    </row>
    <row r="78" spans="2:8" ht="18" x14ac:dyDescent="0.2">
      <c r="B78" s="53">
        <v>35125</v>
      </c>
      <c r="C78" s="56">
        <v>5.0805993126556981E-3</v>
      </c>
      <c r="D78" s="54">
        <v>4.21</v>
      </c>
      <c r="E78" s="19">
        <f t="shared" si="3"/>
        <v>0.12589073634204273</v>
      </c>
      <c r="F78" s="19">
        <v>1.343144848954303E-2</v>
      </c>
      <c r="G78" s="13">
        <f t="shared" si="4"/>
        <v>0.12081013702938703</v>
      </c>
      <c r="H78" s="13">
        <f t="shared" si="5"/>
        <v>8.3508491768873316E-3</v>
      </c>
    </row>
    <row r="79" spans="2:8" ht="18" x14ac:dyDescent="0.2">
      <c r="B79" s="53">
        <v>35156</v>
      </c>
      <c r="C79" s="56">
        <v>5.2695598358027951E-3</v>
      </c>
      <c r="D79" s="54">
        <v>4.74</v>
      </c>
      <c r="E79" s="19">
        <f t="shared" si="3"/>
        <v>6.7510548523206593E-2</v>
      </c>
      <c r="F79" s="19">
        <v>2.2853386734335235E-2</v>
      </c>
      <c r="G79" s="13">
        <f t="shared" si="4"/>
        <v>6.2240988687403798E-2</v>
      </c>
      <c r="H79" s="13">
        <f t="shared" si="5"/>
        <v>1.758382689853244E-2</v>
      </c>
    </row>
    <row r="80" spans="2:8" ht="18" x14ac:dyDescent="0.2">
      <c r="B80" s="53">
        <v>35186</v>
      </c>
      <c r="C80" s="56">
        <v>5.4502811103220861E-3</v>
      </c>
      <c r="D80" s="54">
        <v>5.0599999999999996</v>
      </c>
      <c r="E80" s="19">
        <f t="shared" si="3"/>
        <v>1.5810276679841806E-2</v>
      </c>
      <c r="F80" s="19">
        <v>2.2566953610712037E-3</v>
      </c>
      <c r="G80" s="13">
        <f t="shared" si="4"/>
        <v>1.035999556951972E-2</v>
      </c>
      <c r="H80" s="13">
        <f t="shared" si="5"/>
        <v>-3.1935857492508823E-3</v>
      </c>
    </row>
    <row r="81" spans="2:8" ht="18" x14ac:dyDescent="0.2">
      <c r="B81" s="53">
        <v>35217</v>
      </c>
      <c r="C81" s="56">
        <v>5.5836284214501042E-3</v>
      </c>
      <c r="D81" s="54">
        <v>5.14</v>
      </c>
      <c r="E81" s="19">
        <f t="shared" si="3"/>
        <v>-0.12062256809338523</v>
      </c>
      <c r="F81" s="19">
        <v>-4.5748027973696259E-2</v>
      </c>
      <c r="G81" s="13">
        <f t="shared" si="4"/>
        <v>-0.12620619651483533</v>
      </c>
      <c r="H81" s="13">
        <f t="shared" si="5"/>
        <v>-5.1331656395146363E-2</v>
      </c>
    </row>
    <row r="82" spans="2:8" ht="18" x14ac:dyDescent="0.2">
      <c r="B82" s="53">
        <v>35247</v>
      </c>
      <c r="C82" s="56">
        <v>5.5522700792010049E-3</v>
      </c>
      <c r="D82" s="54">
        <v>4.5199999999999996</v>
      </c>
      <c r="E82" s="19">
        <f t="shared" si="3"/>
        <v>0.14159292035398252</v>
      </c>
      <c r="F82" s="19">
        <v>1.8813969841393829E-2</v>
      </c>
      <c r="G82" s="13">
        <f t="shared" si="4"/>
        <v>0.13604065027478152</v>
      </c>
      <c r="H82" s="13">
        <f t="shared" si="5"/>
        <v>1.3261699762192825E-2</v>
      </c>
    </row>
    <row r="83" spans="2:8" ht="18" x14ac:dyDescent="0.2">
      <c r="B83" s="53">
        <v>35278</v>
      </c>
      <c r="C83" s="56">
        <v>5.3717505475605609E-3</v>
      </c>
      <c r="D83" s="54">
        <v>5.16</v>
      </c>
      <c r="E83" s="19">
        <f t="shared" si="3"/>
        <v>-4.0697674418604612E-2</v>
      </c>
      <c r="F83" s="19">
        <v>5.4203285326462014E-2</v>
      </c>
      <c r="G83" s="13">
        <f t="shared" si="4"/>
        <v>-4.6069424966165173E-2</v>
      </c>
      <c r="H83" s="13">
        <f t="shared" si="5"/>
        <v>4.8831534778901453E-2</v>
      </c>
    </row>
    <row r="84" spans="2:8" ht="18" x14ac:dyDescent="0.2">
      <c r="B84" s="53">
        <v>35309</v>
      </c>
      <c r="C84" s="56">
        <v>5.5209009761847394E-3</v>
      </c>
      <c r="D84" s="54">
        <v>4.95</v>
      </c>
      <c r="E84" s="19">
        <f t="shared" si="3"/>
        <v>5.0505050505050608E-2</v>
      </c>
      <c r="F84" s="19">
        <v>2.6100999519881096E-2</v>
      </c>
      <c r="G84" s="13">
        <f t="shared" si="4"/>
        <v>4.4984149528865869E-2</v>
      </c>
      <c r="H84" s="13">
        <f t="shared" si="5"/>
        <v>2.0580098543696357E-2</v>
      </c>
    </row>
    <row r="85" spans="2:8" ht="18" x14ac:dyDescent="0.2">
      <c r="B85" s="53">
        <v>35339</v>
      </c>
      <c r="C85" s="56">
        <v>5.2852889230994293E-3</v>
      </c>
      <c r="D85" s="54">
        <v>5.2</v>
      </c>
      <c r="E85" s="19">
        <f t="shared" si="3"/>
        <v>0.12307692307692308</v>
      </c>
      <c r="F85" s="19">
        <v>7.3376153813433209E-2</v>
      </c>
      <c r="G85" s="13">
        <f t="shared" si="4"/>
        <v>0.11779163415382365</v>
      </c>
      <c r="H85" s="13">
        <f t="shared" si="5"/>
        <v>6.809086489033378E-2</v>
      </c>
    </row>
    <row r="86" spans="2:8" ht="18" x14ac:dyDescent="0.2">
      <c r="B86" s="53">
        <v>35370</v>
      </c>
      <c r="C86" s="56">
        <v>5.0254121388362272E-3</v>
      </c>
      <c r="D86" s="54">
        <v>5.84</v>
      </c>
      <c r="E86" s="19">
        <f t="shared" si="3"/>
        <v>1.3698630136986356E-2</v>
      </c>
      <c r="F86" s="19">
        <v>-2.1505376344086002E-2</v>
      </c>
      <c r="G86" s="13">
        <f t="shared" si="4"/>
        <v>8.6732179981501289E-3</v>
      </c>
      <c r="H86" s="13">
        <f t="shared" si="5"/>
        <v>-2.653078848292223E-2</v>
      </c>
    </row>
    <row r="87" spans="2:8" ht="18" x14ac:dyDescent="0.2">
      <c r="B87" s="53">
        <v>35400</v>
      </c>
      <c r="C87" s="56">
        <v>5.1042407584538374E-3</v>
      </c>
      <c r="D87" s="54">
        <v>5.92</v>
      </c>
      <c r="E87" s="19">
        <f t="shared" si="3"/>
        <v>-4.2229729729729715E-2</v>
      </c>
      <c r="F87" s="19">
        <v>6.1317061317061272E-2</v>
      </c>
      <c r="G87" s="13">
        <f t="shared" si="4"/>
        <v>-4.7333970488183552E-2</v>
      </c>
      <c r="H87" s="13">
        <f t="shared" si="5"/>
        <v>5.6212820558607435E-2</v>
      </c>
    </row>
    <row r="88" spans="2:8" ht="18" x14ac:dyDescent="0.2">
      <c r="B88" s="53">
        <v>35431</v>
      </c>
      <c r="C88" s="56">
        <v>5.3245998017803498E-3</v>
      </c>
      <c r="D88" s="54">
        <v>5.67</v>
      </c>
      <c r="E88" s="19">
        <f t="shared" si="3"/>
        <v>0.11640211640211651</v>
      </c>
      <c r="F88" s="19">
        <v>5.9275465554087248E-3</v>
      </c>
      <c r="G88" s="13">
        <f t="shared" si="4"/>
        <v>0.11107751660033616</v>
      </c>
      <c r="H88" s="13">
        <f t="shared" si="5"/>
        <v>6.0294675362837502E-4</v>
      </c>
    </row>
    <row r="89" spans="2:8" ht="18" x14ac:dyDescent="0.2">
      <c r="B89" s="53">
        <v>35462</v>
      </c>
      <c r="C89" s="56">
        <v>5.1987454217645723E-3</v>
      </c>
      <c r="D89" s="54">
        <v>6.33</v>
      </c>
      <c r="E89" s="19">
        <f t="shared" si="3"/>
        <v>-1.5797788309636074E-3</v>
      </c>
      <c r="F89" s="19">
        <v>-4.2613995599504406E-2</v>
      </c>
      <c r="G89" s="13">
        <f t="shared" si="4"/>
        <v>-6.7785242527281797E-3</v>
      </c>
      <c r="H89" s="13">
        <f t="shared" si="5"/>
        <v>-4.7812741021268979E-2</v>
      </c>
    </row>
    <row r="90" spans="2:8" ht="18" x14ac:dyDescent="0.2">
      <c r="B90" s="53">
        <v>35490</v>
      </c>
      <c r="C90" s="56">
        <v>5.4110242629969996E-3</v>
      </c>
      <c r="D90" s="54">
        <v>6.32</v>
      </c>
      <c r="E90" s="19">
        <f t="shared" si="3"/>
        <v>7.7531645569620222E-2</v>
      </c>
      <c r="F90" s="19">
        <v>5.8405536770921529E-2</v>
      </c>
      <c r="G90" s="13">
        <f t="shared" si="4"/>
        <v>7.2120621306623223E-2</v>
      </c>
      <c r="H90" s="13">
        <f t="shared" si="5"/>
        <v>5.2994512507924529E-2</v>
      </c>
    </row>
    <row r="91" spans="2:8" ht="18" x14ac:dyDescent="0.2">
      <c r="B91" s="53">
        <v>35521</v>
      </c>
      <c r="C91" s="56">
        <v>5.5679505949390862E-3</v>
      </c>
      <c r="D91" s="54">
        <v>6.81</v>
      </c>
      <c r="E91" s="19">
        <f t="shared" si="3"/>
        <v>7.0484581497797461E-2</v>
      </c>
      <c r="F91" s="19">
        <v>5.8576883719769324E-2</v>
      </c>
      <c r="G91" s="13">
        <f t="shared" si="4"/>
        <v>6.4916630902858374E-2</v>
      </c>
      <c r="H91" s="13">
        <f t="shared" si="5"/>
        <v>5.3008933124830238E-2</v>
      </c>
    </row>
    <row r="92" spans="2:8" ht="18" x14ac:dyDescent="0.2">
      <c r="B92" s="53">
        <v>35551</v>
      </c>
      <c r="C92" s="56">
        <v>5.4267290252520972E-3</v>
      </c>
      <c r="D92" s="54">
        <v>7.29</v>
      </c>
      <c r="E92" s="19">
        <f t="shared" si="3"/>
        <v>0.10836762688614532</v>
      </c>
      <c r="F92" s="19">
        <v>4.345263356438922E-2</v>
      </c>
      <c r="G92" s="13">
        <f t="shared" si="4"/>
        <v>0.10294089786089322</v>
      </c>
      <c r="H92" s="13">
        <f t="shared" si="5"/>
        <v>3.8025904539137123E-2</v>
      </c>
    </row>
    <row r="93" spans="2:8" ht="18" x14ac:dyDescent="0.2">
      <c r="B93" s="53">
        <v>35582</v>
      </c>
      <c r="C93" s="56">
        <v>5.2538280408596094E-3</v>
      </c>
      <c r="D93" s="54">
        <v>8.08</v>
      </c>
      <c r="E93" s="19">
        <f t="shared" si="3"/>
        <v>0.21534653465346532</v>
      </c>
      <c r="F93" s="19">
        <v>7.8145830038186093E-2</v>
      </c>
      <c r="G93" s="13">
        <f t="shared" si="4"/>
        <v>0.21009270661260571</v>
      </c>
      <c r="H93" s="13">
        <f t="shared" si="5"/>
        <v>7.2892001997326483E-2</v>
      </c>
    </row>
    <row r="94" spans="2:8" ht="18" x14ac:dyDescent="0.2">
      <c r="B94" s="53">
        <v>35612</v>
      </c>
      <c r="C94" s="56">
        <v>5.0411833044619048E-3</v>
      </c>
      <c r="D94" s="54">
        <v>9.82</v>
      </c>
      <c r="E94" s="19">
        <f t="shared" si="3"/>
        <v>-0.11812627291242361</v>
      </c>
      <c r="F94" s="19">
        <v>-5.7465603420272182E-2</v>
      </c>
      <c r="G94" s="13">
        <f t="shared" si="4"/>
        <v>-0.12316745621688552</v>
      </c>
      <c r="H94" s="13">
        <f t="shared" si="5"/>
        <v>-6.2506786724734087E-2</v>
      </c>
    </row>
    <row r="95" spans="2:8" ht="18" x14ac:dyDescent="0.2">
      <c r="B95" s="53">
        <v>35643</v>
      </c>
      <c r="C95" s="56">
        <v>5.1042407584538374E-3</v>
      </c>
      <c r="D95" s="54">
        <v>8.66</v>
      </c>
      <c r="E95" s="19">
        <f t="shared" si="3"/>
        <v>6.004618937644346E-2</v>
      </c>
      <c r="F95" s="19">
        <v>5.3153523741759079E-2</v>
      </c>
      <c r="G95" s="13">
        <f t="shared" si="4"/>
        <v>5.4941948617989622E-2</v>
      </c>
      <c r="H95" s="13">
        <f t="shared" si="5"/>
        <v>4.8049282983305242E-2</v>
      </c>
    </row>
    <row r="96" spans="2:8" ht="18" x14ac:dyDescent="0.2">
      <c r="B96" s="53">
        <v>35674</v>
      </c>
      <c r="C96" s="56">
        <v>5.0332980619396395E-3</v>
      </c>
      <c r="D96" s="54">
        <v>9.18</v>
      </c>
      <c r="E96" s="19">
        <f t="shared" si="3"/>
        <v>4.5751633986928164E-2</v>
      </c>
      <c r="F96" s="19">
        <v>-3.4477662359597927E-2</v>
      </c>
      <c r="G96" s="13">
        <f t="shared" si="4"/>
        <v>4.0718335924988525E-2</v>
      </c>
      <c r="H96" s="13">
        <f t="shared" si="5"/>
        <v>-3.9510960421537566E-2</v>
      </c>
    </row>
    <row r="97" spans="2:8" ht="18" x14ac:dyDescent="0.2">
      <c r="B97" s="53">
        <v>35704</v>
      </c>
      <c r="C97" s="56">
        <v>4.8912471980258054E-3</v>
      </c>
      <c r="D97" s="54">
        <v>9.6</v>
      </c>
      <c r="E97" s="19">
        <f t="shared" si="3"/>
        <v>5.4166666666666696E-2</v>
      </c>
      <c r="F97" s="19">
        <v>4.4586822942861426E-2</v>
      </c>
      <c r="G97" s="13">
        <f t="shared" si="4"/>
        <v>4.9275419468640891E-2</v>
      </c>
      <c r="H97" s="13">
        <f t="shared" si="5"/>
        <v>3.9695575744835621E-2</v>
      </c>
    </row>
    <row r="98" spans="2:8" ht="18" x14ac:dyDescent="0.2">
      <c r="B98" s="53">
        <v>35735</v>
      </c>
      <c r="C98" s="56">
        <v>4.7727025161425907E-3</v>
      </c>
      <c r="D98" s="54">
        <v>10.119999999999999</v>
      </c>
      <c r="E98" s="19">
        <f t="shared" si="3"/>
        <v>1.8774703557312478E-2</v>
      </c>
      <c r="F98" s="19">
        <v>1.5731630730583923E-2</v>
      </c>
      <c r="G98" s="13">
        <f t="shared" si="4"/>
        <v>1.4002001041169887E-2</v>
      </c>
      <c r="H98" s="13">
        <f t="shared" si="5"/>
        <v>1.0958928214441332E-2</v>
      </c>
    </row>
    <row r="99" spans="2:8" ht="18" x14ac:dyDescent="0.2">
      <c r="B99" s="53">
        <v>35765</v>
      </c>
      <c r="C99" s="56">
        <v>4.7173289717712397E-3</v>
      </c>
      <c r="D99" s="54">
        <v>10.31</v>
      </c>
      <c r="E99" s="19">
        <f t="shared" si="3"/>
        <v>6.5955383123181388E-2</v>
      </c>
      <c r="F99" s="19">
        <v>1.0150139628824384E-2</v>
      </c>
      <c r="G99" s="13">
        <f t="shared" si="4"/>
        <v>6.1238054151410148E-2</v>
      </c>
      <c r="H99" s="13">
        <f t="shared" si="5"/>
        <v>5.4328106570531443E-3</v>
      </c>
    </row>
    <row r="100" spans="2:8" ht="18" x14ac:dyDescent="0.2">
      <c r="B100" s="53">
        <v>35796</v>
      </c>
      <c r="C100" s="56">
        <v>4.5034302658089054E-3</v>
      </c>
      <c r="D100" s="54">
        <v>10.99</v>
      </c>
      <c r="E100" s="19">
        <f t="shared" si="3"/>
        <v>7.4613284804367686E-2</v>
      </c>
      <c r="F100" s="19">
        <v>7.0449259395274799E-2</v>
      </c>
      <c r="G100" s="13">
        <f t="shared" si="4"/>
        <v>7.010985453855878E-2</v>
      </c>
      <c r="H100" s="13">
        <f t="shared" si="5"/>
        <v>6.5945829129465894E-2</v>
      </c>
    </row>
    <row r="101" spans="2:8" ht="18" x14ac:dyDescent="0.2">
      <c r="B101" s="53">
        <v>35827</v>
      </c>
      <c r="C101" s="56">
        <v>4.5272215436409358E-3</v>
      </c>
      <c r="D101" s="54">
        <v>11.81</v>
      </c>
      <c r="E101" s="19">
        <f t="shared" si="3"/>
        <v>0.14055884843353095</v>
      </c>
      <c r="F101" s="19">
        <v>4.994568014180345E-2</v>
      </c>
      <c r="G101" s="13">
        <f t="shared" si="4"/>
        <v>0.13603162688989001</v>
      </c>
      <c r="H101" s="13">
        <f t="shared" si="5"/>
        <v>4.5418458598162514E-2</v>
      </c>
    </row>
    <row r="102" spans="2:8" ht="18" x14ac:dyDescent="0.2">
      <c r="B102" s="53">
        <v>35855</v>
      </c>
      <c r="C102" s="56">
        <v>4.5906346658710628E-3</v>
      </c>
      <c r="D102" s="54">
        <v>13.47</v>
      </c>
      <c r="E102" s="19">
        <f t="shared" si="3"/>
        <v>-7.4239049740164598E-3</v>
      </c>
      <c r="F102" s="19">
        <v>9.0764692534603952E-3</v>
      </c>
      <c r="G102" s="13">
        <f t="shared" si="4"/>
        <v>-1.2014539639887523E-2</v>
      </c>
      <c r="H102" s="13">
        <f t="shared" si="5"/>
        <v>4.4858345875893324E-3</v>
      </c>
    </row>
    <row r="103" spans="2:8" ht="18" x14ac:dyDescent="0.2">
      <c r="B103" s="53">
        <v>35886</v>
      </c>
      <c r="C103" s="56">
        <v>4.5827104331948032E-3</v>
      </c>
      <c r="D103" s="54">
        <v>13.37</v>
      </c>
      <c r="E103" s="19">
        <f t="shared" si="3"/>
        <v>6.2079281974569911E-2</v>
      </c>
      <c r="F103" s="19">
        <v>-1.8826174949404195E-2</v>
      </c>
      <c r="G103" s="13">
        <f t="shared" si="4"/>
        <v>5.7496571541375108E-2</v>
      </c>
      <c r="H103" s="13">
        <f t="shared" si="5"/>
        <v>-2.3408885382598998E-2</v>
      </c>
    </row>
    <row r="104" spans="2:8" ht="18" x14ac:dyDescent="0.2">
      <c r="B104" s="53">
        <v>35916</v>
      </c>
      <c r="C104" s="56">
        <v>4.5906346658710628E-3</v>
      </c>
      <c r="D104" s="54">
        <v>14.2</v>
      </c>
      <c r="E104" s="19">
        <f t="shared" si="3"/>
        <v>4.788732394366213E-2</v>
      </c>
      <c r="F104" s="19">
        <v>3.9438220788031053E-2</v>
      </c>
      <c r="G104" s="13">
        <f t="shared" si="4"/>
        <v>4.3296689277791067E-2</v>
      </c>
      <c r="H104" s="13">
        <f t="shared" si="5"/>
        <v>3.484758612215999E-2</v>
      </c>
    </row>
    <row r="105" spans="2:8" ht="18" x14ac:dyDescent="0.2">
      <c r="B105" s="53">
        <v>35947</v>
      </c>
      <c r="C105" s="56">
        <v>4.471698917043021E-3</v>
      </c>
      <c r="D105" s="54">
        <v>14.88</v>
      </c>
      <c r="E105" s="19">
        <f t="shared" si="3"/>
        <v>-1.4112903225806495E-2</v>
      </c>
      <c r="F105" s="19">
        <v>-1.1615395470260248E-2</v>
      </c>
      <c r="G105" s="13">
        <f t="shared" si="4"/>
        <v>-1.8584602142849516E-2</v>
      </c>
      <c r="H105" s="13">
        <f t="shared" si="5"/>
        <v>-1.6087094387303269E-2</v>
      </c>
    </row>
    <row r="106" spans="2:8" ht="18" x14ac:dyDescent="0.2">
      <c r="B106" s="53">
        <v>35977</v>
      </c>
      <c r="C106" s="56">
        <v>4.439956538087042E-3</v>
      </c>
      <c r="D106" s="54">
        <v>14.67</v>
      </c>
      <c r="E106" s="19">
        <f t="shared" si="3"/>
        <v>-0.23108384458077713</v>
      </c>
      <c r="F106" s="19">
        <v>-0.14579671089616042</v>
      </c>
      <c r="G106" s="13">
        <f t="shared" si="4"/>
        <v>-0.23552380111886417</v>
      </c>
      <c r="H106" s="13">
        <f t="shared" si="5"/>
        <v>-0.15023666743424746</v>
      </c>
    </row>
    <row r="107" spans="2:8" ht="18" x14ac:dyDescent="0.2">
      <c r="B107" s="53">
        <v>36008</v>
      </c>
      <c r="C107" s="56">
        <v>4.3446631398347257E-3</v>
      </c>
      <c r="D107" s="54">
        <v>11.28</v>
      </c>
      <c r="E107" s="19">
        <f t="shared" si="3"/>
        <v>-2.5709219858155996E-2</v>
      </c>
      <c r="F107" s="19">
        <v>6.2395537355841579E-2</v>
      </c>
      <c r="G107" s="13">
        <f t="shared" si="4"/>
        <v>-3.0053882997990722E-2</v>
      </c>
      <c r="H107" s="13">
        <f t="shared" si="5"/>
        <v>5.8050874216006854E-2</v>
      </c>
    </row>
    <row r="108" spans="2:8" ht="18" x14ac:dyDescent="0.2">
      <c r="B108" s="53">
        <v>36039</v>
      </c>
      <c r="C108" s="56">
        <v>3.9225900629809018E-3</v>
      </c>
      <c r="D108" s="54">
        <v>10.99</v>
      </c>
      <c r="E108" s="19">
        <f t="shared" si="3"/>
        <v>0.1856232939035487</v>
      </c>
      <c r="F108" s="19">
        <v>8.0294195730622242E-2</v>
      </c>
      <c r="G108" s="13">
        <f t="shared" si="4"/>
        <v>0.1817007038405678</v>
      </c>
      <c r="H108" s="13">
        <f t="shared" si="5"/>
        <v>7.637160566764134E-2</v>
      </c>
    </row>
    <row r="109" spans="2:8" ht="18" x14ac:dyDescent="0.2">
      <c r="B109" s="53">
        <v>36069</v>
      </c>
      <c r="C109" s="56">
        <v>3.6988176007033413E-3</v>
      </c>
      <c r="D109" s="54">
        <v>13.03</v>
      </c>
      <c r="E109" s="19">
        <f t="shared" si="3"/>
        <v>6.1396776669224939E-2</v>
      </c>
      <c r="F109" s="19">
        <v>5.9126034204993294E-2</v>
      </c>
      <c r="G109" s="13">
        <f t="shared" si="4"/>
        <v>5.7697959068521598E-2</v>
      </c>
      <c r="H109" s="13">
        <f t="shared" si="5"/>
        <v>5.5427216604289953E-2</v>
      </c>
    </row>
    <row r="110" spans="2:8" ht="18" x14ac:dyDescent="0.2">
      <c r="B110" s="53">
        <v>36100</v>
      </c>
      <c r="C110" s="56">
        <v>3.9385528336748354E-3</v>
      </c>
      <c r="D110" s="54">
        <v>13.83</v>
      </c>
      <c r="E110" s="19">
        <f t="shared" si="3"/>
        <v>0.20824295010845995</v>
      </c>
      <c r="F110" s="19">
        <v>5.6375308302467175E-2</v>
      </c>
      <c r="G110" s="13">
        <f t="shared" si="4"/>
        <v>0.20430439727478511</v>
      </c>
      <c r="H110" s="13">
        <f t="shared" si="5"/>
        <v>5.243675546879234E-2</v>
      </c>
    </row>
    <row r="111" spans="2:8" ht="18" x14ac:dyDescent="0.2">
      <c r="B111" s="53">
        <v>36130</v>
      </c>
      <c r="C111" s="56">
        <v>3.7867936638156241E-3</v>
      </c>
      <c r="D111" s="54">
        <v>16.71</v>
      </c>
      <c r="E111" s="19">
        <f t="shared" si="3"/>
        <v>0.17534410532615197</v>
      </c>
      <c r="F111" s="19">
        <v>4.1009412396378231E-2</v>
      </c>
      <c r="G111" s="13">
        <f t="shared" si="4"/>
        <v>0.17155731166233634</v>
      </c>
      <c r="H111" s="13">
        <f t="shared" si="5"/>
        <v>3.7222618732562607E-2</v>
      </c>
    </row>
    <row r="112" spans="2:8" ht="18" x14ac:dyDescent="0.2">
      <c r="B112" s="53">
        <v>36161</v>
      </c>
      <c r="C112" s="56">
        <v>3.8507230235700352E-3</v>
      </c>
      <c r="D112" s="54">
        <v>19.64</v>
      </c>
      <c r="E112" s="19">
        <f t="shared" si="3"/>
        <v>-1.8839103869653817E-2</v>
      </c>
      <c r="F112" s="19">
        <v>-3.2282516957894525E-2</v>
      </c>
      <c r="G112" s="13">
        <f t="shared" si="4"/>
        <v>-2.2689826893223852E-2</v>
      </c>
      <c r="H112" s="13">
        <f t="shared" si="5"/>
        <v>-3.613323998146456E-2</v>
      </c>
    </row>
    <row r="113" spans="2:8" ht="18" x14ac:dyDescent="0.2">
      <c r="B113" s="53">
        <v>36192</v>
      </c>
      <c r="C113" s="56">
        <v>4.0741237836483535E-3</v>
      </c>
      <c r="D113" s="54">
        <v>19.27</v>
      </c>
      <c r="E113" s="19">
        <f t="shared" si="3"/>
        <v>6.6943435391800588E-2</v>
      </c>
      <c r="F113" s="19">
        <v>3.8794182487705164E-2</v>
      </c>
      <c r="G113" s="13">
        <f t="shared" si="4"/>
        <v>6.2869311608152234E-2</v>
      </c>
      <c r="H113" s="13">
        <f t="shared" si="5"/>
        <v>3.4720058704056811E-2</v>
      </c>
    </row>
    <row r="114" spans="2:8" ht="18" x14ac:dyDescent="0.2">
      <c r="B114" s="53">
        <v>36220</v>
      </c>
      <c r="C114" s="56">
        <v>4.2572234018702915E-3</v>
      </c>
      <c r="D114" s="54">
        <v>20.56</v>
      </c>
      <c r="E114" s="19">
        <f t="shared" si="3"/>
        <v>1.0214007782101131E-2</v>
      </c>
      <c r="F114" s="19">
        <v>3.7943981902563095E-2</v>
      </c>
      <c r="G114" s="13">
        <f t="shared" si="4"/>
        <v>5.9567843802308396E-3</v>
      </c>
      <c r="H114" s="13">
        <f t="shared" si="5"/>
        <v>3.3686758500692804E-2</v>
      </c>
    </row>
    <row r="115" spans="2:8" ht="18" x14ac:dyDescent="0.2">
      <c r="B115" s="53">
        <v>36251</v>
      </c>
      <c r="C115" s="56">
        <v>4.21745036527299E-3</v>
      </c>
      <c r="D115" s="54">
        <v>20.77</v>
      </c>
      <c r="E115" s="19">
        <f t="shared" si="3"/>
        <v>-6.4034665382763478E-2</v>
      </c>
      <c r="F115" s="19">
        <v>-2.4970415973876281E-2</v>
      </c>
      <c r="G115" s="13">
        <f t="shared" si="4"/>
        <v>-6.8252115748036468E-2</v>
      </c>
      <c r="H115" s="13">
        <f t="shared" si="5"/>
        <v>-2.9187866339149271E-2</v>
      </c>
    </row>
    <row r="116" spans="2:8" ht="18" x14ac:dyDescent="0.2">
      <c r="B116" s="53">
        <v>36281</v>
      </c>
      <c r="C116" s="56">
        <v>4.5034302658089054E-3</v>
      </c>
      <c r="D116" s="54">
        <v>19.440000000000001</v>
      </c>
      <c r="E116" s="19">
        <f t="shared" si="3"/>
        <v>3.3436213991769437E-2</v>
      </c>
      <c r="F116" s="19">
        <v>5.4438333435752551E-2</v>
      </c>
      <c r="G116" s="13">
        <f t="shared" si="4"/>
        <v>2.8932783725960531E-2</v>
      </c>
      <c r="H116" s="13">
        <f t="shared" si="5"/>
        <v>4.9934903169943645E-2</v>
      </c>
    </row>
    <row r="117" spans="2:8" ht="18" x14ac:dyDescent="0.2">
      <c r="B117" s="53">
        <v>36312</v>
      </c>
      <c r="C117" s="56">
        <v>4.7885173650881185E-3</v>
      </c>
      <c r="D117" s="54">
        <v>20.09</v>
      </c>
      <c r="E117" s="19">
        <f t="shared" si="3"/>
        <v>-4.9776007964161817E-3</v>
      </c>
      <c r="F117" s="19">
        <v>-3.2046098593293548E-2</v>
      </c>
      <c r="G117" s="13">
        <f t="shared" si="4"/>
        <v>-9.7661181615043002E-3</v>
      </c>
      <c r="H117" s="13">
        <f t="shared" si="5"/>
        <v>-3.6834615958381667E-2</v>
      </c>
    </row>
    <row r="118" spans="2:8" ht="18" x14ac:dyDescent="0.2">
      <c r="B118" s="53">
        <v>36342</v>
      </c>
      <c r="C118" s="56">
        <v>4.7015017912679369E-3</v>
      </c>
      <c r="D118" s="54">
        <v>19.989999999999998</v>
      </c>
      <c r="E118" s="19">
        <f t="shared" si="3"/>
        <v>-0.10655327663831915</v>
      </c>
      <c r="F118" s="19">
        <v>-6.2541393220543195E-3</v>
      </c>
      <c r="G118" s="13">
        <f t="shared" si="4"/>
        <v>-0.11125477842958709</v>
      </c>
      <c r="H118" s="13">
        <f t="shared" si="5"/>
        <v>-1.0955641113322256E-2</v>
      </c>
    </row>
    <row r="119" spans="2:8" ht="18" x14ac:dyDescent="0.2">
      <c r="B119" s="53">
        <v>36373</v>
      </c>
      <c r="C119" s="56">
        <v>4.8201388511142085E-3</v>
      </c>
      <c r="D119" s="54">
        <v>17.86</v>
      </c>
      <c r="E119" s="19">
        <f t="shared" si="3"/>
        <v>4.0873460246360516E-2</v>
      </c>
      <c r="F119" s="19">
        <v>-2.855173771783015E-2</v>
      </c>
      <c r="G119" s="13">
        <f t="shared" si="4"/>
        <v>3.6053321395246307E-2</v>
      </c>
      <c r="H119" s="13">
        <f t="shared" si="5"/>
        <v>-3.3371876568944359E-2</v>
      </c>
    </row>
    <row r="120" spans="2:8" ht="18" x14ac:dyDescent="0.2">
      <c r="B120" s="53">
        <v>36404</v>
      </c>
      <c r="C120" s="56">
        <v>4.8043294764150701E-3</v>
      </c>
      <c r="D120" s="54">
        <v>18.59</v>
      </c>
      <c r="E120" s="19">
        <f t="shared" si="3"/>
        <v>7.5847229693383644E-2</v>
      </c>
      <c r="F120" s="19">
        <v>6.2539467221741418E-2</v>
      </c>
      <c r="G120" s="13">
        <f t="shared" si="4"/>
        <v>7.1042900216968574E-2</v>
      </c>
      <c r="H120" s="13">
        <f t="shared" si="5"/>
        <v>5.7735137745326348E-2</v>
      </c>
    </row>
    <row r="121" spans="2:8" ht="18" x14ac:dyDescent="0.2">
      <c r="B121" s="53">
        <v>36434</v>
      </c>
      <c r="C121" s="56">
        <v>4.9544081844810073E-3</v>
      </c>
      <c r="D121" s="54">
        <v>20</v>
      </c>
      <c r="E121" s="19">
        <f t="shared" si="3"/>
        <v>9.2000000000000082E-2</v>
      </c>
      <c r="F121" s="19">
        <v>1.906187405075821E-2</v>
      </c>
      <c r="G121" s="13">
        <f t="shared" si="4"/>
        <v>8.7045591815519074E-2</v>
      </c>
      <c r="H121" s="13">
        <f t="shared" si="5"/>
        <v>1.4107465866277202E-2</v>
      </c>
    </row>
    <row r="122" spans="2:8" ht="18" x14ac:dyDescent="0.2">
      <c r="B122" s="53">
        <v>36465</v>
      </c>
      <c r="C122" s="56">
        <v>4.8912471980258054E-3</v>
      </c>
      <c r="D122" s="54">
        <v>21.84</v>
      </c>
      <c r="E122" s="19">
        <f t="shared" si="3"/>
        <v>4.2582417582417653E-2</v>
      </c>
      <c r="F122" s="19">
        <v>5.7843920772404189E-2</v>
      </c>
      <c r="G122" s="13">
        <f t="shared" si="4"/>
        <v>3.7691170384391848E-2</v>
      </c>
      <c r="H122" s="13">
        <f t="shared" si="5"/>
        <v>5.2952673574378384E-2</v>
      </c>
    </row>
    <row r="123" spans="2:8" ht="18" x14ac:dyDescent="0.2">
      <c r="B123" s="53">
        <v>36495</v>
      </c>
      <c r="C123" s="56">
        <v>5.0884804742696854E-3</v>
      </c>
      <c r="D123" s="54">
        <v>22.77</v>
      </c>
      <c r="E123" s="19">
        <f t="shared" si="3"/>
        <v>-0.10320597277119004</v>
      </c>
      <c r="F123" s="19">
        <v>-5.0903522205206664E-2</v>
      </c>
      <c r="G123" s="13">
        <f t="shared" si="4"/>
        <v>-0.10829445324545972</v>
      </c>
      <c r="H123" s="13">
        <f t="shared" si="5"/>
        <v>-5.5992002679476349E-2</v>
      </c>
    </row>
    <row r="124" spans="2:8" ht="18" x14ac:dyDescent="0.2">
      <c r="B124" s="53">
        <v>36526</v>
      </c>
      <c r="C124" s="56">
        <v>5.3874620588785227E-3</v>
      </c>
      <c r="D124" s="54">
        <v>20.420000000000002</v>
      </c>
      <c r="E124" s="19">
        <f t="shared" si="3"/>
        <v>-0.1043095004897161</v>
      </c>
      <c r="F124" s="19">
        <v>-2.0108142219927405E-2</v>
      </c>
      <c r="G124" s="13">
        <f t="shared" si="4"/>
        <v>-0.10969696254859462</v>
      </c>
      <c r="H124" s="13">
        <f t="shared" si="5"/>
        <v>-2.5495604278805928E-2</v>
      </c>
    </row>
    <row r="125" spans="2:8" ht="18" x14ac:dyDescent="0.2">
      <c r="B125" s="53">
        <v>36557</v>
      </c>
      <c r="C125" s="56">
        <v>5.2774247178459799E-3</v>
      </c>
      <c r="D125" s="54">
        <v>18.29</v>
      </c>
      <c r="E125" s="19">
        <f t="shared" si="3"/>
        <v>0.26899945325314389</v>
      </c>
      <c r="F125" s="19">
        <v>9.6719895786068655E-2</v>
      </c>
      <c r="G125" s="13">
        <f t="shared" si="4"/>
        <v>0.26372202853529791</v>
      </c>
      <c r="H125" s="13">
        <f t="shared" si="5"/>
        <v>9.1442471068222675E-2</v>
      </c>
    </row>
    <row r="126" spans="2:8" ht="18" x14ac:dyDescent="0.2">
      <c r="B126" s="53">
        <v>36586</v>
      </c>
      <c r="C126" s="56">
        <v>5.0727174711968637E-3</v>
      </c>
      <c r="D126" s="54">
        <v>23.21</v>
      </c>
      <c r="E126" s="19">
        <f t="shared" si="3"/>
        <v>-0.1094355881085739</v>
      </c>
      <c r="F126" s="19">
        <v>-3.0795820042973876E-2</v>
      </c>
      <c r="G126" s="13">
        <f t="shared" si="4"/>
        <v>-0.11450830557977076</v>
      </c>
      <c r="H126" s="13">
        <f t="shared" si="5"/>
        <v>-3.586853751417074E-2</v>
      </c>
    </row>
    <row r="127" spans="2:8" ht="18" x14ac:dyDescent="0.2">
      <c r="B127" s="53">
        <v>36617</v>
      </c>
      <c r="C127" s="56">
        <v>4.8596503216116194E-3</v>
      </c>
      <c r="D127" s="54">
        <v>20.67</v>
      </c>
      <c r="E127" s="19">
        <f t="shared" si="3"/>
        <v>-5.8055152394775211E-2</v>
      </c>
      <c r="F127" s="19">
        <v>-2.1914997624670529E-2</v>
      </c>
      <c r="G127" s="13">
        <f t="shared" si="4"/>
        <v>-6.2914802716386831E-2</v>
      </c>
      <c r="H127" s="13">
        <f t="shared" si="5"/>
        <v>-2.6774647946282149E-2</v>
      </c>
    </row>
    <row r="128" spans="2:8" ht="18" x14ac:dyDescent="0.2">
      <c r="B128" s="53">
        <v>36647</v>
      </c>
      <c r="C128" s="56">
        <v>5.2144867011501006E-3</v>
      </c>
      <c r="D128" s="54">
        <v>19.47</v>
      </c>
      <c r="E128" s="19">
        <f t="shared" si="3"/>
        <v>-7.3959938366717881E-2</v>
      </c>
      <c r="F128" s="19">
        <v>2.3933549204561366E-2</v>
      </c>
      <c r="G128" s="13">
        <f t="shared" si="4"/>
        <v>-7.9174425067867982E-2</v>
      </c>
      <c r="H128" s="13">
        <f t="shared" si="5"/>
        <v>1.8719062503411266E-2</v>
      </c>
    </row>
    <row r="129" spans="2:8" ht="18" x14ac:dyDescent="0.2">
      <c r="B129" s="53">
        <v>36678</v>
      </c>
      <c r="C129" s="56">
        <v>4.946515448805977E-3</v>
      </c>
      <c r="D129" s="54">
        <v>18.03</v>
      </c>
      <c r="E129" s="19">
        <f t="shared" si="3"/>
        <v>0</v>
      </c>
      <c r="F129" s="19">
        <v>-1.6341262202667406E-2</v>
      </c>
      <c r="G129" s="13">
        <f t="shared" si="4"/>
        <v>-4.946515448805977E-3</v>
      </c>
      <c r="H129" s="13">
        <f t="shared" si="5"/>
        <v>-2.1287777651473383E-2</v>
      </c>
    </row>
    <row r="130" spans="2:8" ht="18" x14ac:dyDescent="0.2">
      <c r="B130" s="53">
        <v>36708</v>
      </c>
      <c r="C130" s="56">
        <v>4.9070415389556032E-3</v>
      </c>
      <c r="D130" s="54">
        <v>18.03</v>
      </c>
      <c r="E130" s="19">
        <f t="shared" si="3"/>
        <v>-0.20022185246810875</v>
      </c>
      <c r="F130" s="19">
        <v>6.069903482594019E-2</v>
      </c>
      <c r="G130" s="13">
        <f t="shared" si="4"/>
        <v>-0.20512889400706436</v>
      </c>
      <c r="H130" s="13">
        <f t="shared" si="5"/>
        <v>5.5791993286984587E-2</v>
      </c>
    </row>
    <row r="131" spans="2:8" ht="18" x14ac:dyDescent="0.2">
      <c r="B131" s="53">
        <v>36739</v>
      </c>
      <c r="C131" s="56">
        <v>4.7331534101910933E-3</v>
      </c>
      <c r="D131" s="54">
        <v>14.42</v>
      </c>
      <c r="E131" s="19">
        <f t="shared" si="3"/>
        <v>0.10748959778085987</v>
      </c>
      <c r="F131" s="19">
        <v>-5.3482947656950164E-2</v>
      </c>
      <c r="G131" s="13">
        <f t="shared" si="4"/>
        <v>0.10275644437066878</v>
      </c>
      <c r="H131" s="13">
        <f t="shared" si="5"/>
        <v>-5.8216101067141257E-2</v>
      </c>
    </row>
    <row r="132" spans="2:8" ht="18" x14ac:dyDescent="0.2">
      <c r="B132" s="53">
        <v>36770</v>
      </c>
      <c r="C132" s="56">
        <v>4.7094157243421364E-3</v>
      </c>
      <c r="D132" s="54">
        <v>15.97</v>
      </c>
      <c r="E132" s="19">
        <f t="shared" si="3"/>
        <v>7.7645585472761347E-2</v>
      </c>
      <c r="F132" s="19">
        <v>-4.9494956526581202E-3</v>
      </c>
      <c r="G132" s="13">
        <f t="shared" si="4"/>
        <v>7.2936169748419211E-2</v>
      </c>
      <c r="H132" s="13">
        <f t="shared" si="5"/>
        <v>-9.6589113770002566E-3</v>
      </c>
    </row>
    <row r="133" spans="2:8" ht="18" x14ac:dyDescent="0.2">
      <c r="B133" s="53">
        <v>36800</v>
      </c>
      <c r="C133" s="56">
        <v>4.661921836872196E-3</v>
      </c>
      <c r="D133" s="54">
        <v>17.21</v>
      </c>
      <c r="E133" s="19">
        <f t="shared" ref="E133:E196" si="6">D134/D133-1</f>
        <v>8.8320743753631525E-2</v>
      </c>
      <c r="F133" s="19">
        <v>-8.0068560235063702E-2</v>
      </c>
      <c r="G133" s="13">
        <f t="shared" ref="G133:G196" si="7">E133-C133</f>
        <v>8.3658821916759329E-2</v>
      </c>
      <c r="H133" s="13">
        <f t="shared" ref="H133:H196" si="8">F133-C133</f>
        <v>-8.4730482071935898E-2</v>
      </c>
    </row>
    <row r="134" spans="2:8" ht="18" x14ac:dyDescent="0.2">
      <c r="B134" s="53">
        <v>36831</v>
      </c>
      <c r="C134" s="56">
        <v>4.6460850512481944E-3</v>
      </c>
      <c r="D134" s="54">
        <v>18.73</v>
      </c>
      <c r="E134" s="19">
        <f t="shared" si="6"/>
        <v>7.5280298985584526E-2</v>
      </c>
      <c r="F134" s="19">
        <v>4.0533860603064742E-3</v>
      </c>
      <c r="G134" s="13">
        <f t="shared" si="7"/>
        <v>7.0634213934336332E-2</v>
      </c>
      <c r="H134" s="13">
        <f t="shared" si="8"/>
        <v>-5.9269899094172018E-4</v>
      </c>
    </row>
    <row r="135" spans="2:8" ht="18" x14ac:dyDescent="0.2">
      <c r="B135" s="53">
        <v>36861</v>
      </c>
      <c r="C135" s="56">
        <v>4.2651759303415915E-3</v>
      </c>
      <c r="D135" s="54">
        <v>20.14</v>
      </c>
      <c r="E135" s="19">
        <f t="shared" si="6"/>
        <v>0.17725918570009935</v>
      </c>
      <c r="F135" s="19">
        <v>3.4636592238010078E-2</v>
      </c>
      <c r="G135" s="13">
        <f t="shared" si="7"/>
        <v>0.17299400976975776</v>
      </c>
      <c r="H135" s="13">
        <f t="shared" si="8"/>
        <v>3.0371416307668486E-2</v>
      </c>
    </row>
    <row r="136" spans="2:8" ht="18" x14ac:dyDescent="0.2">
      <c r="B136" s="53">
        <v>36892</v>
      </c>
      <c r="C136" s="56">
        <v>4.2015362976310922E-3</v>
      </c>
      <c r="D136" s="54">
        <v>23.71</v>
      </c>
      <c r="E136" s="19">
        <f t="shared" si="6"/>
        <v>2.6992830029523462E-2</v>
      </c>
      <c r="F136" s="19">
        <v>-9.2290686012547418E-2</v>
      </c>
      <c r="G136" s="13">
        <f t="shared" si="7"/>
        <v>2.279129373189237E-2</v>
      </c>
      <c r="H136" s="13">
        <f t="shared" si="8"/>
        <v>-9.649222231017851E-2</v>
      </c>
    </row>
    <row r="137" spans="2:8" ht="18" x14ac:dyDescent="0.2">
      <c r="B137" s="53">
        <v>36923</v>
      </c>
      <c r="C137" s="56">
        <v>4.1537774426925189E-3</v>
      </c>
      <c r="D137" s="54">
        <v>24.35</v>
      </c>
      <c r="E137" s="19">
        <f t="shared" si="6"/>
        <v>-7.3511293634497044E-2</v>
      </c>
      <c r="F137" s="19">
        <v>-6.4204719583205727E-2</v>
      </c>
      <c r="G137" s="13">
        <f t="shared" si="7"/>
        <v>-7.7665071077189562E-2</v>
      </c>
      <c r="H137" s="13">
        <f t="shared" si="8"/>
        <v>-6.8358497025898246E-2</v>
      </c>
    </row>
    <row r="138" spans="2:8" ht="18" x14ac:dyDescent="0.2">
      <c r="B138" s="53">
        <v>36951</v>
      </c>
      <c r="C138" s="56">
        <v>3.9864244012801642E-3</v>
      </c>
      <c r="D138" s="54">
        <v>22.56</v>
      </c>
      <c r="E138" s="19">
        <f t="shared" si="6"/>
        <v>6.560283687943258E-2</v>
      </c>
      <c r="F138" s="19">
        <v>7.6814354537071416E-2</v>
      </c>
      <c r="G138" s="13">
        <f t="shared" si="7"/>
        <v>6.1616412478152416E-2</v>
      </c>
      <c r="H138" s="13">
        <f t="shared" si="8"/>
        <v>7.2827930135791252E-2</v>
      </c>
    </row>
    <row r="139" spans="2:8" ht="18" x14ac:dyDescent="0.2">
      <c r="B139" s="53">
        <v>36982</v>
      </c>
      <c r="C139" s="56">
        <v>4.1856194553282489E-3</v>
      </c>
      <c r="D139" s="54">
        <v>24.04</v>
      </c>
      <c r="E139" s="19">
        <f t="shared" si="6"/>
        <v>-1.6638935108153063E-2</v>
      </c>
      <c r="F139" s="19">
        <v>5.0901989659533076E-3</v>
      </c>
      <c r="G139" s="13">
        <f t="shared" si="7"/>
        <v>-2.0824554563481312E-2</v>
      </c>
      <c r="H139" s="13">
        <f t="shared" si="8"/>
        <v>9.045795106250587E-4</v>
      </c>
    </row>
    <row r="140" spans="2:8" ht="18" x14ac:dyDescent="0.2">
      <c r="B140" s="53">
        <v>37012</v>
      </c>
      <c r="C140" s="56">
        <v>4.3843808093919634E-3</v>
      </c>
      <c r="D140" s="54">
        <v>23.64</v>
      </c>
      <c r="E140" s="19">
        <f t="shared" si="6"/>
        <v>-8.3333333333333259E-2</v>
      </c>
      <c r="F140" s="19">
        <v>-2.5035435014572061E-2</v>
      </c>
      <c r="G140" s="13">
        <f t="shared" si="7"/>
        <v>-8.7717714142725223E-2</v>
      </c>
      <c r="H140" s="13">
        <f t="shared" si="8"/>
        <v>-2.9419815823964024E-2</v>
      </c>
    </row>
    <row r="141" spans="2:8" ht="18" x14ac:dyDescent="0.2">
      <c r="B141" s="53">
        <v>37043</v>
      </c>
      <c r="C141" s="56">
        <v>4.2969791189388928E-3</v>
      </c>
      <c r="D141" s="54">
        <v>21.67</v>
      </c>
      <c r="E141" s="19">
        <f t="shared" si="6"/>
        <v>0.11813567143516379</v>
      </c>
      <c r="F141" s="19">
        <v>-1.0740129698296408E-2</v>
      </c>
      <c r="G141" s="13">
        <f t="shared" si="7"/>
        <v>0.1138386923162249</v>
      </c>
      <c r="H141" s="13">
        <f t="shared" si="8"/>
        <v>-1.5037108817235301E-2</v>
      </c>
    </row>
    <row r="142" spans="2:8" ht="18" x14ac:dyDescent="0.2">
      <c r="B142" s="53">
        <v>37073</v>
      </c>
      <c r="C142" s="56">
        <v>4.2651759303415915E-3</v>
      </c>
      <c r="D142" s="54">
        <v>24.23</v>
      </c>
      <c r="E142" s="19">
        <f t="shared" si="6"/>
        <v>-0.10441601320676852</v>
      </c>
      <c r="F142" s="19">
        <v>-6.4108385690579084E-2</v>
      </c>
      <c r="G142" s="13">
        <f t="shared" si="7"/>
        <v>-0.10868118913711011</v>
      </c>
      <c r="H142" s="13">
        <f t="shared" si="8"/>
        <v>-6.8373561620920675E-2</v>
      </c>
    </row>
    <row r="143" spans="2:8" ht="18" x14ac:dyDescent="0.2">
      <c r="B143" s="53">
        <v>37104</v>
      </c>
      <c r="C143" s="56">
        <v>4.0502141257032775E-3</v>
      </c>
      <c r="D143" s="54">
        <v>21.7</v>
      </c>
      <c r="E143" s="19">
        <f t="shared" si="6"/>
        <v>-8.2488479262672776E-2</v>
      </c>
      <c r="F143" s="19">
        <v>-8.1723389615201314E-2</v>
      </c>
      <c r="G143" s="13">
        <f t="shared" si="7"/>
        <v>-8.6538693388376053E-2</v>
      </c>
      <c r="H143" s="13">
        <f t="shared" si="8"/>
        <v>-8.5773603740904591E-2</v>
      </c>
    </row>
    <row r="144" spans="2:8" ht="18" x14ac:dyDescent="0.2">
      <c r="B144" s="53">
        <v>37135</v>
      </c>
      <c r="C144" s="56">
        <v>3.8587110455146068E-3</v>
      </c>
      <c r="D144" s="54">
        <v>19.91</v>
      </c>
      <c r="E144" s="19">
        <f t="shared" si="6"/>
        <v>-1.9085886489201398E-2</v>
      </c>
      <c r="F144" s="19">
        <v>1.8099025880454089E-2</v>
      </c>
      <c r="G144" s="13">
        <f t="shared" si="7"/>
        <v>-2.2944597534716005E-2</v>
      </c>
      <c r="H144" s="13">
        <f t="shared" si="8"/>
        <v>1.4240314834939483E-2</v>
      </c>
    </row>
    <row r="145" spans="2:8" ht="18" x14ac:dyDescent="0.2">
      <c r="B145" s="53">
        <v>37165</v>
      </c>
      <c r="C145" s="56">
        <v>3.7308187111868563E-3</v>
      </c>
      <c r="D145" s="54">
        <v>19.53</v>
      </c>
      <c r="E145" s="19">
        <f t="shared" si="6"/>
        <v>0.20532514080901176</v>
      </c>
      <c r="F145" s="19">
        <v>7.5175979920360847E-2</v>
      </c>
      <c r="G145" s="13">
        <f t="shared" si="7"/>
        <v>0.20159432209782491</v>
      </c>
      <c r="H145" s="13">
        <f t="shared" si="8"/>
        <v>7.1445161209173991E-2</v>
      </c>
    </row>
    <row r="146" spans="2:8" ht="18" x14ac:dyDescent="0.2">
      <c r="B146" s="53">
        <v>37196</v>
      </c>
      <c r="C146" s="56">
        <v>3.7947872834442897E-3</v>
      </c>
      <c r="D146" s="54">
        <v>23.54</v>
      </c>
      <c r="E146" s="19">
        <f t="shared" si="6"/>
        <v>9.5157179269328873E-2</v>
      </c>
      <c r="F146" s="19">
        <v>7.5738294791345417E-3</v>
      </c>
      <c r="G146" s="13">
        <f t="shared" si="7"/>
        <v>9.1362391985884583E-2</v>
      </c>
      <c r="H146" s="13">
        <f t="shared" si="8"/>
        <v>3.779042195690252E-3</v>
      </c>
    </row>
    <row r="147" spans="2:8" ht="18" x14ac:dyDescent="0.2">
      <c r="B147" s="53">
        <v>37226</v>
      </c>
      <c r="C147" s="56">
        <v>4.1458152037889828E-3</v>
      </c>
      <c r="D147" s="54">
        <v>25.78</v>
      </c>
      <c r="E147" s="19">
        <f t="shared" si="6"/>
        <v>8.1846392552366254E-2</v>
      </c>
      <c r="F147" s="19">
        <v>-1.5573827607832103E-2</v>
      </c>
      <c r="G147" s="13">
        <f t="shared" si="7"/>
        <v>7.7700577348577271E-2</v>
      </c>
      <c r="H147" s="13">
        <f t="shared" si="8"/>
        <v>-1.9719642811621085E-2</v>
      </c>
    </row>
    <row r="148" spans="2:8" ht="18" x14ac:dyDescent="0.2">
      <c r="B148" s="53">
        <v>37257</v>
      </c>
      <c r="C148" s="56">
        <v>4.1059935884708576E-3</v>
      </c>
      <c r="D148" s="54">
        <v>27.89</v>
      </c>
      <c r="E148" s="19">
        <f t="shared" si="6"/>
        <v>-5.6651129437074288E-2</v>
      </c>
      <c r="F148" s="19">
        <v>-2.0766236064413413E-2</v>
      </c>
      <c r="G148" s="13">
        <f t="shared" si="7"/>
        <v>-6.0757123025545146E-2</v>
      </c>
      <c r="H148" s="13">
        <f t="shared" si="8"/>
        <v>-2.487222965288427E-2</v>
      </c>
    </row>
    <row r="149" spans="2:8" ht="18" x14ac:dyDescent="0.2">
      <c r="B149" s="53">
        <v>37288</v>
      </c>
      <c r="C149" s="56">
        <v>4.002376012389508E-3</v>
      </c>
      <c r="D149" s="54">
        <v>26.31</v>
      </c>
      <c r="E149" s="19">
        <f t="shared" si="6"/>
        <v>3.0786773090079933E-2</v>
      </c>
      <c r="F149" s="19">
        <v>3.6738861330225081E-2</v>
      </c>
      <c r="G149" s="13">
        <f t="shared" si="7"/>
        <v>2.6784397077690425E-2</v>
      </c>
      <c r="H149" s="13">
        <f t="shared" si="8"/>
        <v>3.2736485317835573E-2</v>
      </c>
    </row>
    <row r="150" spans="2:8" ht="18" x14ac:dyDescent="0.2">
      <c r="B150" s="53">
        <v>37316</v>
      </c>
      <c r="C150" s="56">
        <v>4.2969791189388928E-3</v>
      </c>
      <c r="D150" s="54">
        <v>27.12</v>
      </c>
      <c r="E150" s="19">
        <f t="shared" si="6"/>
        <v>1.2168141592920234E-2</v>
      </c>
      <c r="F150" s="19">
        <v>-6.1417652236815723E-2</v>
      </c>
      <c r="G150" s="13">
        <f t="shared" si="7"/>
        <v>7.8711624739813413E-3</v>
      </c>
      <c r="H150" s="13">
        <f t="shared" si="8"/>
        <v>-6.5714631355754616E-2</v>
      </c>
    </row>
    <row r="151" spans="2:8" ht="18" x14ac:dyDescent="0.2">
      <c r="B151" s="53">
        <v>37347</v>
      </c>
      <c r="C151" s="56">
        <v>4.2413162664582948E-3</v>
      </c>
      <c r="D151" s="54">
        <v>27.45</v>
      </c>
      <c r="E151" s="19">
        <f t="shared" si="6"/>
        <v>-5.0273224043715814E-2</v>
      </c>
      <c r="F151" s="19">
        <v>-9.0814545184414452E-3</v>
      </c>
      <c r="G151" s="13">
        <f t="shared" si="7"/>
        <v>-5.4514540310174109E-2</v>
      </c>
      <c r="H151" s="13">
        <f t="shared" si="8"/>
        <v>-1.332277078489974E-2</v>
      </c>
    </row>
    <row r="152" spans="2:8" ht="18" x14ac:dyDescent="0.2">
      <c r="B152" s="53">
        <v>37377</v>
      </c>
      <c r="C152" s="56">
        <v>4.2015362976310922E-3</v>
      </c>
      <c r="D152" s="54">
        <v>26.07</v>
      </c>
      <c r="E152" s="19">
        <f t="shared" si="6"/>
        <v>-7.9785193709244417E-2</v>
      </c>
      <c r="F152" s="19">
        <v>-7.2455347939351933E-2</v>
      </c>
      <c r="G152" s="13">
        <f t="shared" si="7"/>
        <v>-8.398673000687551E-2</v>
      </c>
      <c r="H152" s="13">
        <f t="shared" si="8"/>
        <v>-7.6656884236983025E-2</v>
      </c>
    </row>
    <row r="153" spans="2:8" ht="18" x14ac:dyDescent="0.2">
      <c r="B153" s="53">
        <v>37408</v>
      </c>
      <c r="C153" s="56">
        <v>4.0183248361511659E-3</v>
      </c>
      <c r="D153" s="54">
        <v>23.99</v>
      </c>
      <c r="E153" s="19">
        <f t="shared" si="6"/>
        <v>-0.12463526469362229</v>
      </c>
      <c r="F153" s="19">
        <v>-7.9004263401426522E-2</v>
      </c>
      <c r="G153" s="13">
        <f t="shared" si="7"/>
        <v>-0.12865358952977346</v>
      </c>
      <c r="H153" s="13">
        <f t="shared" si="8"/>
        <v>-8.3022588237577688E-2</v>
      </c>
    </row>
    <row r="154" spans="2:8" ht="18" x14ac:dyDescent="0.2">
      <c r="B154" s="53">
        <v>37438</v>
      </c>
      <c r="C154" s="56">
        <v>3.7947872834442897E-3</v>
      </c>
      <c r="D154" s="54">
        <v>21</v>
      </c>
      <c r="E154" s="19">
        <f t="shared" si="6"/>
        <v>2.5714285714285579E-2</v>
      </c>
      <c r="F154" s="19">
        <v>4.8814198898663452E-3</v>
      </c>
      <c r="G154" s="13">
        <f t="shared" si="7"/>
        <v>2.1919498430841289E-2</v>
      </c>
      <c r="H154" s="13">
        <f t="shared" si="8"/>
        <v>1.0866326064220555E-3</v>
      </c>
    </row>
    <row r="155" spans="2:8" ht="18" x14ac:dyDescent="0.2">
      <c r="B155" s="53">
        <v>37469</v>
      </c>
      <c r="C155" s="56">
        <v>3.4825160297176083E-3</v>
      </c>
      <c r="D155" s="54">
        <v>21.54</v>
      </c>
      <c r="E155" s="19">
        <f t="shared" si="6"/>
        <v>-0.13556174558960066</v>
      </c>
      <c r="F155" s="19">
        <v>-0.11002434311788412</v>
      </c>
      <c r="G155" s="13">
        <f t="shared" si="7"/>
        <v>-0.13904426161931827</v>
      </c>
      <c r="H155" s="13">
        <f t="shared" si="8"/>
        <v>-0.11350685914760172</v>
      </c>
    </row>
    <row r="156" spans="2:8" ht="18" x14ac:dyDescent="0.2">
      <c r="B156" s="53">
        <v>37500</v>
      </c>
      <c r="C156" s="56">
        <v>3.1691721789193217E-3</v>
      </c>
      <c r="D156" s="54">
        <v>18.62</v>
      </c>
      <c r="E156" s="19">
        <f t="shared" si="6"/>
        <v>2.0408163265306145E-2</v>
      </c>
      <c r="F156" s="19">
        <v>8.644882739672255E-2</v>
      </c>
      <c r="G156" s="13">
        <f t="shared" si="7"/>
        <v>1.7238991086386823E-2</v>
      </c>
      <c r="H156" s="13">
        <f t="shared" si="8"/>
        <v>8.3279655217803228E-2</v>
      </c>
    </row>
    <row r="157" spans="2:8" ht="18" x14ac:dyDescent="0.2">
      <c r="B157" s="53">
        <v>37530</v>
      </c>
      <c r="C157" s="56">
        <v>3.2254927088173346E-3</v>
      </c>
      <c r="D157" s="54">
        <v>19</v>
      </c>
      <c r="E157" s="19">
        <f t="shared" si="6"/>
        <v>0.15473684210526328</v>
      </c>
      <c r="F157" s="19">
        <v>5.7069635115606809E-2</v>
      </c>
      <c r="G157" s="13">
        <f t="shared" si="7"/>
        <v>0.15151134939644595</v>
      </c>
      <c r="H157" s="13">
        <f t="shared" si="8"/>
        <v>5.3844142406789475E-2</v>
      </c>
    </row>
    <row r="158" spans="2:8" ht="18" x14ac:dyDescent="0.2">
      <c r="B158" s="53">
        <v>37561</v>
      </c>
      <c r="C158" s="56">
        <v>3.3139261897998651E-3</v>
      </c>
      <c r="D158" s="54">
        <v>21.94</v>
      </c>
      <c r="E158" s="19">
        <f t="shared" si="6"/>
        <v>-0.13582497721057429</v>
      </c>
      <c r="F158" s="19">
        <v>-6.0332582157618608E-2</v>
      </c>
      <c r="G158" s="13">
        <f t="shared" si="7"/>
        <v>-0.13913890340037416</v>
      </c>
      <c r="H158" s="13">
        <f t="shared" si="8"/>
        <v>-6.3646508347418473E-2</v>
      </c>
    </row>
    <row r="159" spans="2:8" ht="18" x14ac:dyDescent="0.2">
      <c r="B159" s="53">
        <v>37591</v>
      </c>
      <c r="C159" s="56">
        <v>3.2978537514263273E-3</v>
      </c>
      <c r="D159" s="54">
        <v>18.96</v>
      </c>
      <c r="E159" s="19">
        <f t="shared" si="6"/>
        <v>-5.9599156118143592E-2</v>
      </c>
      <c r="F159" s="19">
        <v>-2.7414698461048825E-2</v>
      </c>
      <c r="G159" s="13">
        <f t="shared" si="7"/>
        <v>-6.289700986956992E-2</v>
      </c>
      <c r="H159" s="13">
        <f t="shared" si="8"/>
        <v>-3.0712552212475153E-2</v>
      </c>
    </row>
    <row r="160" spans="2:8" ht="18" x14ac:dyDescent="0.2">
      <c r="B160" s="53">
        <v>37622</v>
      </c>
      <c r="C160" s="56">
        <v>3.3139261897998651E-3</v>
      </c>
      <c r="D160" s="54">
        <v>17.829999999999998</v>
      </c>
      <c r="E160" s="19">
        <f t="shared" si="6"/>
        <v>1.5703869882220944E-2</v>
      </c>
      <c r="F160" s="19">
        <v>-1.7003622764987791E-2</v>
      </c>
      <c r="G160" s="13">
        <f t="shared" si="7"/>
        <v>1.2389943692421079E-2</v>
      </c>
      <c r="H160" s="13">
        <f t="shared" si="8"/>
        <v>-2.0317548954787656E-2</v>
      </c>
    </row>
    <row r="161" spans="2:8" ht="18" x14ac:dyDescent="0.2">
      <c r="B161" s="53">
        <v>37653</v>
      </c>
      <c r="C161" s="56">
        <v>3.1933138078821255E-3</v>
      </c>
      <c r="D161" s="54">
        <v>18.11</v>
      </c>
      <c r="E161" s="19">
        <f t="shared" si="6"/>
        <v>2.3191606847045909E-2</v>
      </c>
      <c r="F161" s="19">
        <v>8.3576056589194092E-3</v>
      </c>
      <c r="G161" s="13">
        <f t="shared" si="7"/>
        <v>1.9998293039163784E-2</v>
      </c>
      <c r="H161" s="13">
        <f t="shared" si="8"/>
        <v>5.1642918510372837E-3</v>
      </c>
    </row>
    <row r="162" spans="2:8" ht="18" x14ac:dyDescent="0.2">
      <c r="B162" s="53">
        <v>37681</v>
      </c>
      <c r="C162" s="56">
        <v>3.1208697401348129E-3</v>
      </c>
      <c r="D162" s="54">
        <v>18.53</v>
      </c>
      <c r="E162" s="19">
        <f t="shared" si="6"/>
        <v>0.14301133297355628</v>
      </c>
      <c r="F162" s="19">
        <v>8.1044117993822162E-2</v>
      </c>
      <c r="G162" s="13">
        <f t="shared" si="7"/>
        <v>0.13989046323342147</v>
      </c>
      <c r="H162" s="13">
        <f t="shared" si="8"/>
        <v>7.7923248253687349E-2</v>
      </c>
    </row>
    <row r="163" spans="2:8" ht="18" x14ac:dyDescent="0.2">
      <c r="B163" s="53">
        <v>37712</v>
      </c>
      <c r="C163" s="56">
        <v>3.2415779026344627E-3</v>
      </c>
      <c r="D163" s="54">
        <v>21.18</v>
      </c>
      <c r="E163" s="19">
        <f t="shared" si="6"/>
        <v>9.5372993389990501E-2</v>
      </c>
      <c r="F163" s="19">
        <v>5.0898660733760925E-2</v>
      </c>
      <c r="G163" s="13">
        <f t="shared" si="7"/>
        <v>9.2131415487356039E-2</v>
      </c>
      <c r="H163" s="13">
        <f t="shared" si="8"/>
        <v>4.7657082831126463E-2</v>
      </c>
    </row>
    <row r="164" spans="2:8" ht="18" x14ac:dyDescent="0.2">
      <c r="B164" s="53">
        <v>37742</v>
      </c>
      <c r="C164" s="56">
        <v>2.9274037199951142E-3</v>
      </c>
      <c r="D164" s="54">
        <v>23.2</v>
      </c>
      <c r="E164" s="19">
        <f t="shared" si="6"/>
        <v>3.4913793103448443E-2</v>
      </c>
      <c r="F164" s="19">
        <v>1.1322242862628284E-2</v>
      </c>
      <c r="G164" s="13">
        <f t="shared" si="7"/>
        <v>3.1986389383453329E-2</v>
      </c>
      <c r="H164" s="13">
        <f t="shared" si="8"/>
        <v>8.3948391426331703E-3</v>
      </c>
    </row>
    <row r="165" spans="2:8" ht="18" x14ac:dyDescent="0.2">
      <c r="B165" s="53">
        <v>37773</v>
      </c>
      <c r="C165" s="56">
        <v>2.7335263083605454E-3</v>
      </c>
      <c r="D165" s="54">
        <v>24.01</v>
      </c>
      <c r="E165" s="19">
        <f t="shared" si="6"/>
        <v>1.2494793835901685E-2</v>
      </c>
      <c r="F165" s="19">
        <v>1.6223704463827593E-2</v>
      </c>
      <c r="G165" s="13">
        <f t="shared" si="7"/>
        <v>9.7612675275411398E-3</v>
      </c>
      <c r="H165" s="13">
        <f t="shared" si="8"/>
        <v>1.3490178155467047E-2</v>
      </c>
    </row>
    <row r="166" spans="2:8" ht="18" x14ac:dyDescent="0.2">
      <c r="B166" s="53">
        <v>37803</v>
      </c>
      <c r="C166" s="56">
        <v>3.2576602600797866E-3</v>
      </c>
      <c r="D166" s="54">
        <v>24.31</v>
      </c>
      <c r="E166" s="19">
        <f t="shared" si="6"/>
        <v>5.9646236116824403E-2</v>
      </c>
      <c r="F166" s="19">
        <v>1.7873191222950391E-2</v>
      </c>
      <c r="G166" s="13">
        <f t="shared" si="7"/>
        <v>5.6388575856744616E-2</v>
      </c>
      <c r="H166" s="13">
        <f t="shared" si="8"/>
        <v>1.4615530962870604E-2</v>
      </c>
    </row>
    <row r="167" spans="2:8" ht="18" x14ac:dyDescent="0.2">
      <c r="B167" s="53">
        <v>37834</v>
      </c>
      <c r="C167" s="56">
        <v>3.6347816898771867E-3</v>
      </c>
      <c r="D167" s="54">
        <v>25.76</v>
      </c>
      <c r="E167" s="19">
        <f t="shared" si="6"/>
        <v>-7.1428571428571397E-2</v>
      </c>
      <c r="F167" s="19">
        <v>-1.1944325949147294E-2</v>
      </c>
      <c r="G167" s="13">
        <f t="shared" si="7"/>
        <v>-7.5063353118448584E-2</v>
      </c>
      <c r="H167" s="13">
        <f t="shared" si="8"/>
        <v>-1.5579107639024481E-2</v>
      </c>
    </row>
    <row r="168" spans="2:8" ht="18" x14ac:dyDescent="0.2">
      <c r="B168" s="53">
        <v>37865</v>
      </c>
      <c r="C168" s="56">
        <v>3.4905363507502507E-3</v>
      </c>
      <c r="D168" s="54">
        <v>23.92</v>
      </c>
      <c r="E168" s="19">
        <f t="shared" si="6"/>
        <v>5.6020066889632014E-2</v>
      </c>
      <c r="F168" s="19">
        <v>5.4961494824141255E-2</v>
      </c>
      <c r="G168" s="13">
        <f t="shared" si="7"/>
        <v>5.2529530538881763E-2</v>
      </c>
      <c r="H168" s="13">
        <f t="shared" si="8"/>
        <v>5.1470958473391004E-2</v>
      </c>
    </row>
    <row r="169" spans="2:8" ht="18" x14ac:dyDescent="0.2">
      <c r="B169" s="53">
        <v>37895</v>
      </c>
      <c r="C169" s="56">
        <v>3.5065748777713956E-3</v>
      </c>
      <c r="D169" s="54">
        <v>25.26</v>
      </c>
      <c r="E169" s="19">
        <f t="shared" si="6"/>
        <v>-2.573238321456861E-2</v>
      </c>
      <c r="F169" s="19">
        <v>7.1285131006653124E-3</v>
      </c>
      <c r="G169" s="13">
        <f t="shared" si="7"/>
        <v>-2.9238958092340006E-2</v>
      </c>
      <c r="H169" s="13">
        <f t="shared" si="8"/>
        <v>3.6219382228939168E-3</v>
      </c>
    </row>
    <row r="170" spans="2:8" ht="18" x14ac:dyDescent="0.2">
      <c r="B170" s="53">
        <v>37926</v>
      </c>
      <c r="C170" s="56">
        <v>3.5145930840192463E-3</v>
      </c>
      <c r="D170" s="54">
        <v>24.61</v>
      </c>
      <c r="E170" s="19">
        <f t="shared" si="6"/>
        <v>-6.5014221861031674E-3</v>
      </c>
      <c r="F170" s="19">
        <v>5.0765450765450693E-2</v>
      </c>
      <c r="G170" s="13">
        <f t="shared" si="7"/>
        <v>-1.0016015270122414E-2</v>
      </c>
      <c r="H170" s="13">
        <f t="shared" si="8"/>
        <v>4.7250857681431446E-2</v>
      </c>
    </row>
    <row r="171" spans="2:8" ht="18" x14ac:dyDescent="0.2">
      <c r="B171" s="53">
        <v>37956</v>
      </c>
      <c r="C171" s="56">
        <v>3.4905363507502507E-3</v>
      </c>
      <c r="D171" s="54">
        <v>24.45</v>
      </c>
      <c r="E171" s="19">
        <f t="shared" si="6"/>
        <v>-1.1451942740286158E-2</v>
      </c>
      <c r="F171" s="19">
        <v>1.7276422764227695E-2</v>
      </c>
      <c r="G171" s="13">
        <f t="shared" si="7"/>
        <v>-1.4942479091036409E-2</v>
      </c>
      <c r="H171" s="13">
        <f t="shared" si="8"/>
        <v>1.3785886413477444E-2</v>
      </c>
    </row>
    <row r="172" spans="2:8" ht="18" x14ac:dyDescent="0.2">
      <c r="B172" s="53">
        <v>37987</v>
      </c>
      <c r="C172" s="56">
        <v>3.3942459274463044E-3</v>
      </c>
      <c r="D172" s="54">
        <v>24.17</v>
      </c>
      <c r="E172" s="19">
        <f t="shared" si="6"/>
        <v>0.15804716590815038</v>
      </c>
      <c r="F172" s="19">
        <v>1.2209029908144986E-2</v>
      </c>
      <c r="G172" s="13">
        <f t="shared" si="7"/>
        <v>0.15465291998070407</v>
      </c>
      <c r="H172" s="13">
        <f t="shared" si="8"/>
        <v>8.8147839806986816E-3</v>
      </c>
    </row>
    <row r="173" spans="2:8" ht="18" x14ac:dyDescent="0.2">
      <c r="B173" s="53">
        <v>38018</v>
      </c>
      <c r="C173" s="56">
        <v>3.3380295383023117E-3</v>
      </c>
      <c r="D173" s="54">
        <v>27.99</v>
      </c>
      <c r="E173" s="19">
        <f t="shared" si="6"/>
        <v>2.6438013576277397E-2</v>
      </c>
      <c r="F173" s="19">
        <v>-1.6358935839432598E-2</v>
      </c>
      <c r="G173" s="13">
        <f t="shared" si="7"/>
        <v>2.3099984037975085E-2</v>
      </c>
      <c r="H173" s="13">
        <f t="shared" si="8"/>
        <v>-1.969696537773491E-2</v>
      </c>
    </row>
    <row r="174" spans="2:8" ht="18" x14ac:dyDescent="0.2">
      <c r="B174" s="53">
        <v>38047</v>
      </c>
      <c r="C174" s="56">
        <v>3.1369733958956925E-3</v>
      </c>
      <c r="D174" s="54">
        <v>28.73</v>
      </c>
      <c r="E174" s="19">
        <f t="shared" si="6"/>
        <v>-3.7243299686738562E-2</v>
      </c>
      <c r="F174" s="19">
        <v>-1.6790829419024988E-2</v>
      </c>
      <c r="G174" s="13">
        <f t="shared" si="7"/>
        <v>-4.0380273082634255E-2</v>
      </c>
      <c r="H174" s="13">
        <f t="shared" si="8"/>
        <v>-1.9927802814920681E-2</v>
      </c>
    </row>
    <row r="175" spans="2:8" ht="18" x14ac:dyDescent="0.2">
      <c r="B175" s="53">
        <v>38078</v>
      </c>
      <c r="C175" s="56">
        <v>3.5546735478100278E-3</v>
      </c>
      <c r="D175" s="54">
        <v>27.66</v>
      </c>
      <c r="E175" s="19">
        <f t="shared" si="6"/>
        <v>3.0730296456977557E-2</v>
      </c>
      <c r="F175" s="19">
        <v>1.2083446220536587E-2</v>
      </c>
      <c r="G175" s="13">
        <f t="shared" si="7"/>
        <v>2.7175622909167529E-2</v>
      </c>
      <c r="H175" s="13">
        <f t="shared" si="8"/>
        <v>8.5287726727265589E-3</v>
      </c>
    </row>
    <row r="176" spans="2:8" ht="18" x14ac:dyDescent="0.2">
      <c r="B176" s="53">
        <v>38108</v>
      </c>
      <c r="C176" s="56">
        <v>3.8507230235700352E-3</v>
      </c>
      <c r="D176" s="54">
        <v>28.51</v>
      </c>
      <c r="E176" s="19">
        <f t="shared" si="6"/>
        <v>-4.8053314626446908E-2</v>
      </c>
      <c r="F176" s="19">
        <v>1.7989078059749364E-2</v>
      </c>
      <c r="G176" s="13">
        <f t="shared" si="7"/>
        <v>-5.1904037650016943E-2</v>
      </c>
      <c r="H176" s="13">
        <f t="shared" si="8"/>
        <v>1.4138355036179329E-2</v>
      </c>
    </row>
    <row r="177" spans="2:8" ht="18" x14ac:dyDescent="0.2">
      <c r="B177" s="53">
        <v>38139</v>
      </c>
      <c r="C177" s="56">
        <v>3.8587110455146068E-3</v>
      </c>
      <c r="D177" s="54">
        <v>27.14</v>
      </c>
      <c r="E177" s="19">
        <f t="shared" si="6"/>
        <v>2.6529108327192352E-2</v>
      </c>
      <c r="F177" s="19">
        <v>-3.4290522772693732E-2</v>
      </c>
      <c r="G177" s="13">
        <f t="shared" si="7"/>
        <v>2.2670397281677745E-2</v>
      </c>
      <c r="H177" s="13">
        <f t="shared" si="8"/>
        <v>-3.8149233818208339E-2</v>
      </c>
    </row>
    <row r="178" spans="2:8" ht="18" x14ac:dyDescent="0.2">
      <c r="B178" s="53">
        <v>38169</v>
      </c>
      <c r="C178" s="56">
        <v>3.6748094004368514E-3</v>
      </c>
      <c r="D178" s="54">
        <v>27.86</v>
      </c>
      <c r="E178" s="19">
        <f t="shared" si="6"/>
        <v>2.2254127781766053E-2</v>
      </c>
      <c r="F178" s="19">
        <v>2.2873325345822426E-3</v>
      </c>
      <c r="G178" s="13">
        <f t="shared" si="7"/>
        <v>1.8579318381329202E-2</v>
      </c>
      <c r="H178" s="13">
        <f t="shared" si="8"/>
        <v>-1.3874768658546088E-3</v>
      </c>
    </row>
    <row r="179" spans="2:8" ht="18" x14ac:dyDescent="0.2">
      <c r="B179" s="53">
        <v>38200</v>
      </c>
      <c r="C179" s="56">
        <v>3.4985559667248811E-3</v>
      </c>
      <c r="D179" s="54">
        <v>28.48</v>
      </c>
      <c r="E179" s="19">
        <f t="shared" si="6"/>
        <v>1.6853932584269593E-2</v>
      </c>
      <c r="F179" s="19">
        <v>9.3639063971600045E-3</v>
      </c>
      <c r="G179" s="13">
        <f t="shared" si="7"/>
        <v>1.3355376617544712E-2</v>
      </c>
      <c r="H179" s="13">
        <f t="shared" si="8"/>
        <v>5.8653504304351234E-3</v>
      </c>
    </row>
    <row r="180" spans="2:8" ht="18" x14ac:dyDescent="0.2">
      <c r="B180" s="53">
        <v>38231</v>
      </c>
      <c r="C180" s="56">
        <v>3.3781876370064801E-3</v>
      </c>
      <c r="D180" s="54">
        <v>28.96</v>
      </c>
      <c r="E180" s="19">
        <f t="shared" si="6"/>
        <v>0.10566298342541436</v>
      </c>
      <c r="F180" s="19">
        <v>1.4014247519245071E-2</v>
      </c>
      <c r="G180" s="13">
        <f t="shared" si="7"/>
        <v>0.10228479578840788</v>
      </c>
      <c r="H180" s="13">
        <f t="shared" si="8"/>
        <v>1.0636059882238591E-2</v>
      </c>
    </row>
    <row r="181" spans="2:8" ht="18" x14ac:dyDescent="0.2">
      <c r="B181" s="53">
        <v>38261</v>
      </c>
      <c r="C181" s="56">
        <v>3.3540948994528197E-3</v>
      </c>
      <c r="D181" s="54">
        <v>32.020000000000003</v>
      </c>
      <c r="E181" s="19">
        <f t="shared" si="6"/>
        <v>2.4047470331042931E-2</v>
      </c>
      <c r="F181" s="19">
        <v>3.8594938948858459E-2</v>
      </c>
      <c r="G181" s="13">
        <f t="shared" si="7"/>
        <v>2.0693375431590111E-2</v>
      </c>
      <c r="H181" s="13">
        <f t="shared" si="8"/>
        <v>3.524084404940564E-2</v>
      </c>
    </row>
    <row r="182" spans="2:8" ht="18" x14ac:dyDescent="0.2">
      <c r="B182" s="53">
        <v>38292</v>
      </c>
      <c r="C182" s="56">
        <v>3.4263540299781514E-3</v>
      </c>
      <c r="D182" s="54">
        <v>32.79</v>
      </c>
      <c r="E182" s="19">
        <f t="shared" si="6"/>
        <v>1.5248551387618159E-2</v>
      </c>
      <c r="F182" s="19">
        <v>3.2458128162750732E-2</v>
      </c>
      <c r="G182" s="13">
        <f t="shared" si="7"/>
        <v>1.1822197357640007E-2</v>
      </c>
      <c r="H182" s="13">
        <f t="shared" si="8"/>
        <v>2.9031774132772581E-2</v>
      </c>
    </row>
    <row r="183" spans="2:8" ht="18" x14ac:dyDescent="0.2">
      <c r="B183" s="53">
        <v>38322</v>
      </c>
      <c r="C183" s="56">
        <v>3.4584508349766452E-3</v>
      </c>
      <c r="D183" s="54">
        <v>33.29</v>
      </c>
      <c r="E183" s="19">
        <f t="shared" si="6"/>
        <v>-2.2228897566836991E-2</v>
      </c>
      <c r="F183" s="19">
        <v>-2.5290448214403627E-2</v>
      </c>
      <c r="G183" s="13">
        <f t="shared" si="7"/>
        <v>-2.5687348401813637E-2</v>
      </c>
      <c r="H183" s="13">
        <f t="shared" si="8"/>
        <v>-2.8748899049380272E-2</v>
      </c>
    </row>
    <row r="184" spans="2:8" ht="18" x14ac:dyDescent="0.2">
      <c r="B184" s="53">
        <v>38353</v>
      </c>
      <c r="C184" s="56">
        <v>3.4504276924163246E-3</v>
      </c>
      <c r="D184" s="54">
        <v>32.549999999999997</v>
      </c>
      <c r="E184" s="19">
        <f t="shared" si="6"/>
        <v>9.2165898617513342E-4</v>
      </c>
      <c r="F184" s="19">
        <v>1.8903383646414307E-2</v>
      </c>
      <c r="G184" s="13">
        <f t="shared" si="7"/>
        <v>-2.5287687062411912E-3</v>
      </c>
      <c r="H184" s="13">
        <f t="shared" si="8"/>
        <v>1.5452955953997982E-2</v>
      </c>
    </row>
    <row r="185" spans="2:8" ht="18" x14ac:dyDescent="0.2">
      <c r="B185" s="53">
        <v>38384</v>
      </c>
      <c r="C185" s="56">
        <v>3.4103013914235092E-3</v>
      </c>
      <c r="D185" s="54">
        <v>32.58</v>
      </c>
      <c r="E185" s="19">
        <f t="shared" si="6"/>
        <v>-1.411909146715784E-2</v>
      </c>
      <c r="F185" s="19">
        <v>-1.9117647058823573E-2</v>
      </c>
      <c r="G185" s="13">
        <f t="shared" si="7"/>
        <v>-1.752939285858135E-2</v>
      </c>
      <c r="H185" s="13">
        <f t="shared" si="8"/>
        <v>-2.2527948450247082E-2</v>
      </c>
    </row>
    <row r="186" spans="2:8" ht="18" x14ac:dyDescent="0.2">
      <c r="B186" s="53">
        <v>38412</v>
      </c>
      <c r="C186" s="56">
        <v>3.6748094004368514E-3</v>
      </c>
      <c r="D186" s="54">
        <v>32.119999999999997</v>
      </c>
      <c r="E186" s="19">
        <f t="shared" si="6"/>
        <v>-7.2229140722291363E-2</v>
      </c>
      <c r="F186" s="19">
        <v>-2.010858977291019E-2</v>
      </c>
      <c r="G186" s="13">
        <f t="shared" si="7"/>
        <v>-7.5903950122728214E-2</v>
      </c>
      <c r="H186" s="13">
        <f t="shared" si="8"/>
        <v>-2.3783399173347042E-2</v>
      </c>
    </row>
    <row r="187" spans="2:8" ht="18" x14ac:dyDescent="0.2">
      <c r="B187" s="53">
        <v>38443</v>
      </c>
      <c r="C187" s="56">
        <v>3.5466588636137164E-3</v>
      </c>
      <c r="D187" s="54">
        <v>29.8</v>
      </c>
      <c r="E187" s="19">
        <f t="shared" si="6"/>
        <v>0.15704697986577165</v>
      </c>
      <c r="F187" s="19">
        <v>2.9952024895189666E-2</v>
      </c>
      <c r="G187" s="13">
        <f t="shared" si="7"/>
        <v>0.15350032100215794</v>
      </c>
      <c r="H187" s="13">
        <f t="shared" si="8"/>
        <v>2.640536603157595E-2</v>
      </c>
    </row>
    <row r="188" spans="2:8" ht="18" x14ac:dyDescent="0.2">
      <c r="B188" s="53">
        <v>38473</v>
      </c>
      <c r="C188" s="56">
        <v>3.3862171355991677E-3</v>
      </c>
      <c r="D188" s="54">
        <v>34.479999999999997</v>
      </c>
      <c r="E188" s="19">
        <f t="shared" si="6"/>
        <v>1.4791183294663668E-2</v>
      </c>
      <c r="F188" s="19">
        <v>-1.4267729752415192E-4</v>
      </c>
      <c r="G188" s="13">
        <f t="shared" si="7"/>
        <v>1.14049661590645E-2</v>
      </c>
      <c r="H188" s="13">
        <f t="shared" si="8"/>
        <v>-3.5288944331233196E-3</v>
      </c>
    </row>
    <row r="189" spans="2:8" ht="18" x14ac:dyDescent="0.2">
      <c r="B189" s="53">
        <v>38504</v>
      </c>
      <c r="C189" s="56">
        <v>3.2737397821989145E-3</v>
      </c>
      <c r="D189" s="54">
        <v>34.99</v>
      </c>
      <c r="E189" s="19">
        <f t="shared" si="6"/>
        <v>7.9737067733638201E-2</v>
      </c>
      <c r="F189" s="19">
        <v>3.5968203604375137E-2</v>
      </c>
      <c r="G189" s="13">
        <f t="shared" si="7"/>
        <v>7.6463327951439286E-2</v>
      </c>
      <c r="H189" s="13">
        <f t="shared" si="8"/>
        <v>3.2694463822176223E-2</v>
      </c>
    </row>
    <row r="190" spans="2:8" ht="18" x14ac:dyDescent="0.2">
      <c r="B190" s="53">
        <v>38534</v>
      </c>
      <c r="C190" s="56">
        <v>3.4183280638138136E-3</v>
      </c>
      <c r="D190" s="54">
        <v>37.78</v>
      </c>
      <c r="E190" s="19">
        <f t="shared" si="6"/>
        <v>-8.496559025939654E-2</v>
      </c>
      <c r="F190" s="19">
        <v>-1.1222025960556881E-2</v>
      </c>
      <c r="G190" s="13">
        <f t="shared" si="7"/>
        <v>-8.8383918323210353E-2</v>
      </c>
      <c r="H190" s="13">
        <f t="shared" si="8"/>
        <v>-1.4640354024370694E-2</v>
      </c>
    </row>
    <row r="191" spans="2:8" ht="18" x14ac:dyDescent="0.2">
      <c r="B191" s="53">
        <v>38565</v>
      </c>
      <c r="C191" s="56">
        <v>3.4825160297176083E-3</v>
      </c>
      <c r="D191" s="54">
        <v>34.57</v>
      </c>
      <c r="E191" s="19">
        <f t="shared" si="6"/>
        <v>-3.2108764824992697E-2</v>
      </c>
      <c r="F191" s="19">
        <v>6.9489400408087043E-3</v>
      </c>
      <c r="G191" s="13">
        <f t="shared" si="7"/>
        <v>-3.5591280854710305E-2</v>
      </c>
      <c r="H191" s="13">
        <f t="shared" si="8"/>
        <v>3.466424011091096E-3</v>
      </c>
    </row>
    <row r="192" spans="2:8" ht="18" x14ac:dyDescent="0.2">
      <c r="B192" s="53">
        <v>38596</v>
      </c>
      <c r="C192" s="56">
        <v>3.4343792900468628E-3</v>
      </c>
      <c r="D192" s="54">
        <v>33.46</v>
      </c>
      <c r="E192" s="19">
        <f t="shared" si="6"/>
        <v>7.2325164375373729E-2</v>
      </c>
      <c r="F192" s="19">
        <v>-1.7740741042146402E-2</v>
      </c>
      <c r="G192" s="13">
        <f t="shared" si="7"/>
        <v>6.8890785085326867E-2</v>
      </c>
      <c r="H192" s="13">
        <f t="shared" si="8"/>
        <v>-2.1175120332193265E-2</v>
      </c>
    </row>
    <row r="193" spans="2:8" ht="18" x14ac:dyDescent="0.2">
      <c r="B193" s="53">
        <v>38626</v>
      </c>
      <c r="C193" s="56">
        <v>3.6427886369352347E-3</v>
      </c>
      <c r="D193" s="54">
        <v>35.880000000000003</v>
      </c>
      <c r="E193" s="19">
        <f t="shared" si="6"/>
        <v>-3.9018952062430445E-2</v>
      </c>
      <c r="F193" s="19">
        <v>3.518612107604735E-2</v>
      </c>
      <c r="G193" s="13">
        <f t="shared" si="7"/>
        <v>-4.266174069936568E-2</v>
      </c>
      <c r="H193" s="13">
        <f t="shared" si="8"/>
        <v>3.1543332439112115E-2</v>
      </c>
    </row>
    <row r="194" spans="2:8" ht="18" x14ac:dyDescent="0.2">
      <c r="B194" s="53">
        <v>38657</v>
      </c>
      <c r="C194" s="56">
        <v>3.6988176007033413E-3</v>
      </c>
      <c r="D194" s="54">
        <v>34.479999999999997</v>
      </c>
      <c r="E194" s="19">
        <f t="shared" si="6"/>
        <v>2.9002320185614883E-2</v>
      </c>
      <c r="F194" s="19">
        <v>-9.5239619681797283E-4</v>
      </c>
      <c r="G194" s="13">
        <f t="shared" si="7"/>
        <v>2.5303502584911541E-2</v>
      </c>
      <c r="H194" s="13">
        <f t="shared" si="8"/>
        <v>-4.6512137975213141E-3</v>
      </c>
    </row>
    <row r="195" spans="2:8" ht="18" x14ac:dyDescent="0.2">
      <c r="B195" s="53">
        <v>38687</v>
      </c>
      <c r="C195" s="56">
        <v>3.650794881391306E-3</v>
      </c>
      <c r="D195" s="54">
        <v>35.479999999999997</v>
      </c>
      <c r="E195" s="19">
        <f t="shared" si="6"/>
        <v>-3.9458850056367512E-3</v>
      </c>
      <c r="F195" s="19">
        <v>2.5466838635253009E-2</v>
      </c>
      <c r="G195" s="13">
        <f t="shared" si="7"/>
        <v>-7.5966798870280572E-3</v>
      </c>
      <c r="H195" s="13">
        <f t="shared" si="8"/>
        <v>2.1816043753861702E-2</v>
      </c>
    </row>
    <row r="196" spans="2:8" ht="18" x14ac:dyDescent="0.2">
      <c r="B196" s="53">
        <v>38718</v>
      </c>
      <c r="C196" s="56">
        <v>3.6107566318024364E-3</v>
      </c>
      <c r="D196" s="54">
        <v>35.340000000000003</v>
      </c>
      <c r="E196" s="19">
        <f t="shared" si="6"/>
        <v>-6.508205998868255E-3</v>
      </c>
      <c r="F196" s="19">
        <v>4.5309668145754323E-4</v>
      </c>
      <c r="G196" s="13">
        <f t="shared" si="7"/>
        <v>-1.0118962630670691E-2</v>
      </c>
      <c r="H196" s="13">
        <f t="shared" si="8"/>
        <v>-3.1576599503448932E-3</v>
      </c>
    </row>
    <row r="197" spans="2:8" ht="18" x14ac:dyDescent="0.2">
      <c r="B197" s="53">
        <v>38749</v>
      </c>
      <c r="C197" s="56">
        <v>3.7308187111868563E-3</v>
      </c>
      <c r="D197" s="54">
        <v>35.11</v>
      </c>
      <c r="E197" s="19">
        <f t="shared" ref="E197:E260" si="9">D198/D197-1</f>
        <v>-4.2153232697237142E-2</v>
      </c>
      <c r="F197" s="19">
        <v>1.1095841206877566E-2</v>
      </c>
      <c r="G197" s="13">
        <f t="shared" ref="G197:G260" si="10">E197-C197</f>
        <v>-4.5884051408423998E-2</v>
      </c>
      <c r="H197" s="13">
        <f t="shared" ref="H197:H260" si="11">F197-C197</f>
        <v>7.3650224956907095E-3</v>
      </c>
    </row>
    <row r="198" spans="2:8" ht="18" x14ac:dyDescent="0.2">
      <c r="B198" s="53">
        <v>38777</v>
      </c>
      <c r="C198" s="56">
        <v>3.8507230235700352E-3</v>
      </c>
      <c r="D198" s="54">
        <v>33.630000000000003</v>
      </c>
      <c r="E198" s="19">
        <f t="shared" si="9"/>
        <v>2.1112102289622348E-2</v>
      </c>
      <c r="F198" s="19">
        <v>1.2155660413786684E-2</v>
      </c>
      <c r="G198" s="13">
        <f t="shared" si="10"/>
        <v>1.7261379266052312E-2</v>
      </c>
      <c r="H198" s="13">
        <f t="shared" si="11"/>
        <v>8.304937390216649E-3</v>
      </c>
    </row>
    <row r="199" spans="2:8" ht="18" x14ac:dyDescent="0.2">
      <c r="B199" s="53">
        <v>38808</v>
      </c>
      <c r="C199" s="56">
        <v>4.0661545935285481E-3</v>
      </c>
      <c r="D199" s="54">
        <v>34.340000000000003</v>
      </c>
      <c r="E199" s="19">
        <f t="shared" si="9"/>
        <v>-7.8916715200932019E-2</v>
      </c>
      <c r="F199" s="19">
        <v>-3.091690129023883E-2</v>
      </c>
      <c r="G199" s="13">
        <f t="shared" si="10"/>
        <v>-8.2982869794460568E-2</v>
      </c>
      <c r="H199" s="13">
        <f t="shared" si="11"/>
        <v>-3.4983055883767378E-2</v>
      </c>
    </row>
    <row r="200" spans="2:8" ht="18" x14ac:dyDescent="0.2">
      <c r="B200" s="53">
        <v>38838</v>
      </c>
      <c r="C200" s="56">
        <v>4.1617389871715371E-3</v>
      </c>
      <c r="D200" s="54">
        <v>31.63</v>
      </c>
      <c r="E200" s="19">
        <f t="shared" si="9"/>
        <v>1.2646221941194913E-3</v>
      </c>
      <c r="F200" s="19">
        <v>8.6608035651192239E-5</v>
      </c>
      <c r="G200" s="13">
        <f t="shared" si="10"/>
        <v>-2.8971167930520458E-3</v>
      </c>
      <c r="H200" s="13">
        <f t="shared" si="11"/>
        <v>-4.0751309515203449E-3</v>
      </c>
    </row>
    <row r="201" spans="2:8" ht="18" x14ac:dyDescent="0.2">
      <c r="B201" s="53">
        <v>38869</v>
      </c>
      <c r="C201" s="56">
        <v>4.1617389871715371E-3</v>
      </c>
      <c r="D201" s="54">
        <v>31.67</v>
      </c>
      <c r="E201" s="19">
        <f t="shared" si="9"/>
        <v>-6.0625197347647708E-2</v>
      </c>
      <c r="F201" s="19">
        <v>5.0858132577547011E-3</v>
      </c>
      <c r="G201" s="13">
        <f t="shared" si="10"/>
        <v>-6.4786936334819245E-2</v>
      </c>
      <c r="H201" s="13">
        <f t="shared" si="11"/>
        <v>9.2407427058316394E-4</v>
      </c>
    </row>
    <row r="202" spans="2:8" ht="18" x14ac:dyDescent="0.2">
      <c r="B202" s="53">
        <v>38899</v>
      </c>
      <c r="C202" s="56">
        <v>4.1458152037889828E-3</v>
      </c>
      <c r="D202" s="54">
        <v>29.75</v>
      </c>
      <c r="E202" s="19">
        <f t="shared" si="9"/>
        <v>5.3781512605042048E-2</v>
      </c>
      <c r="F202" s="19">
        <v>2.1274262528785837E-2</v>
      </c>
      <c r="G202" s="13">
        <f t="shared" si="10"/>
        <v>4.9635697401253065E-2</v>
      </c>
      <c r="H202" s="13">
        <f t="shared" si="11"/>
        <v>1.7128447324996854E-2</v>
      </c>
    </row>
    <row r="203" spans="2:8" ht="18" x14ac:dyDescent="0.2">
      <c r="B203" s="53">
        <v>38930</v>
      </c>
      <c r="C203" s="56">
        <v>3.9784475501516425E-3</v>
      </c>
      <c r="D203" s="54">
        <v>31.35</v>
      </c>
      <c r="E203" s="19">
        <f t="shared" si="9"/>
        <v>0.14481658692185007</v>
      </c>
      <c r="F203" s="19">
        <v>2.4566274485741779E-2</v>
      </c>
      <c r="G203" s="13">
        <f t="shared" si="10"/>
        <v>0.14083813937169842</v>
      </c>
      <c r="H203" s="13">
        <f t="shared" si="11"/>
        <v>2.0587826935590137E-2</v>
      </c>
    </row>
    <row r="204" spans="2:8" ht="18" x14ac:dyDescent="0.2">
      <c r="B204" s="53">
        <v>38961</v>
      </c>
      <c r="C204" s="56">
        <v>3.8507230235700352E-3</v>
      </c>
      <c r="D204" s="54">
        <v>35.89</v>
      </c>
      <c r="E204" s="19">
        <f t="shared" si="9"/>
        <v>7.1050431875174125E-2</v>
      </c>
      <c r="F204" s="19">
        <v>3.1508028596025195E-2</v>
      </c>
      <c r="G204" s="13">
        <f t="shared" si="10"/>
        <v>6.719970885160409E-2</v>
      </c>
      <c r="H204" s="13">
        <f t="shared" si="11"/>
        <v>2.765730557245516E-2</v>
      </c>
    </row>
    <row r="205" spans="2:8" ht="18" x14ac:dyDescent="0.2">
      <c r="B205" s="53">
        <v>38991</v>
      </c>
      <c r="C205" s="56">
        <v>3.8587110455146068E-3</v>
      </c>
      <c r="D205" s="54">
        <v>38.44</v>
      </c>
      <c r="E205" s="19">
        <f t="shared" si="9"/>
        <v>-1.8470343392299693E-2</v>
      </c>
      <c r="F205" s="19">
        <v>1.6466609576614388E-2</v>
      </c>
      <c r="G205" s="13">
        <f t="shared" si="10"/>
        <v>-2.23290544378143E-2</v>
      </c>
      <c r="H205" s="13">
        <f t="shared" si="11"/>
        <v>1.2607898531099782E-2</v>
      </c>
    </row>
    <row r="206" spans="2:8" ht="18" x14ac:dyDescent="0.2">
      <c r="B206" s="53">
        <v>39022</v>
      </c>
      <c r="C206" s="56">
        <v>3.7548121811461499E-3</v>
      </c>
      <c r="D206" s="54">
        <v>37.729999999999997</v>
      </c>
      <c r="E206" s="19">
        <f t="shared" si="9"/>
        <v>-1.5902464882056599E-2</v>
      </c>
      <c r="F206" s="19">
        <v>1.2615751483260995E-2</v>
      </c>
      <c r="G206" s="13">
        <f t="shared" si="10"/>
        <v>-1.9657277063202749E-2</v>
      </c>
      <c r="H206" s="13">
        <f t="shared" si="11"/>
        <v>8.8609393021148453E-3</v>
      </c>
    </row>
    <row r="207" spans="2:8" ht="18" x14ac:dyDescent="0.2">
      <c r="B207" s="53">
        <v>39052</v>
      </c>
      <c r="C207" s="56">
        <v>3.7228194856664398E-3</v>
      </c>
      <c r="D207" s="54">
        <v>37.130000000000003</v>
      </c>
      <c r="E207" s="19">
        <f t="shared" si="9"/>
        <v>7.56800430918394E-2</v>
      </c>
      <c r="F207" s="19">
        <v>1.4059084819854739E-2</v>
      </c>
      <c r="G207" s="13">
        <f t="shared" si="10"/>
        <v>7.195722360617296E-2</v>
      </c>
      <c r="H207" s="13">
        <f t="shared" si="11"/>
        <v>1.0336265334188299E-2</v>
      </c>
    </row>
    <row r="208" spans="2:8" ht="18" x14ac:dyDescent="0.2">
      <c r="B208" s="53">
        <v>39083</v>
      </c>
      <c r="C208" s="56">
        <v>3.8826709170549645E-3</v>
      </c>
      <c r="D208" s="54">
        <v>39.94</v>
      </c>
      <c r="E208" s="19">
        <f t="shared" si="9"/>
        <v>2.7541311967951287E-3</v>
      </c>
      <c r="F208" s="19">
        <v>-2.1846145288686225E-2</v>
      </c>
      <c r="G208" s="13">
        <f t="shared" si="10"/>
        <v>-1.1285397202598357E-3</v>
      </c>
      <c r="H208" s="13">
        <f t="shared" si="11"/>
        <v>-2.572881620574119E-2</v>
      </c>
    </row>
    <row r="209" spans="2:8" ht="18" x14ac:dyDescent="0.2">
      <c r="B209" s="53">
        <v>39114</v>
      </c>
      <c r="C209" s="56">
        <v>3.8507230235700352E-3</v>
      </c>
      <c r="D209" s="54">
        <v>40.049999999999997</v>
      </c>
      <c r="E209" s="19">
        <f t="shared" si="9"/>
        <v>-3.4956304619225942E-2</v>
      </c>
      <c r="F209" s="19">
        <v>9.9799547916576969E-3</v>
      </c>
      <c r="G209" s="13">
        <f t="shared" si="10"/>
        <v>-3.8807027642795977E-2</v>
      </c>
      <c r="H209" s="13">
        <f t="shared" si="11"/>
        <v>6.1292317680876618E-3</v>
      </c>
    </row>
    <row r="210" spans="2:8" ht="18" x14ac:dyDescent="0.2">
      <c r="B210" s="53">
        <v>39142</v>
      </c>
      <c r="C210" s="56">
        <v>3.7228194856664398E-3</v>
      </c>
      <c r="D210" s="54">
        <v>38.65</v>
      </c>
      <c r="E210" s="19">
        <f t="shared" si="9"/>
        <v>1.8111254851229663E-3</v>
      </c>
      <c r="F210" s="19">
        <v>4.3290683107413797E-2</v>
      </c>
      <c r="G210" s="13">
        <f t="shared" si="10"/>
        <v>-1.9116940005434735E-3</v>
      </c>
      <c r="H210" s="13">
        <f t="shared" si="11"/>
        <v>3.9567863621747357E-2</v>
      </c>
    </row>
    <row r="211" spans="2:8" ht="18" x14ac:dyDescent="0.2">
      <c r="B211" s="53">
        <v>39173</v>
      </c>
      <c r="C211" s="56">
        <v>3.8267547616503972E-3</v>
      </c>
      <c r="D211" s="54">
        <v>38.72</v>
      </c>
      <c r="E211" s="19">
        <f t="shared" si="9"/>
        <v>5.1394628099173501E-2</v>
      </c>
      <c r="F211" s="19">
        <v>3.2549228600146973E-2</v>
      </c>
      <c r="G211" s="13">
        <f t="shared" si="10"/>
        <v>4.7567873337523103E-2</v>
      </c>
      <c r="H211" s="13">
        <f t="shared" si="11"/>
        <v>2.8722473838496576E-2</v>
      </c>
    </row>
    <row r="212" spans="2:8" ht="18" x14ac:dyDescent="0.2">
      <c r="B212" s="53">
        <v>39203</v>
      </c>
      <c r="C212" s="56">
        <v>3.8746849921291737E-3</v>
      </c>
      <c r="D212" s="54">
        <v>40.71</v>
      </c>
      <c r="E212" s="19">
        <f t="shared" si="9"/>
        <v>2.0879390813067999E-2</v>
      </c>
      <c r="F212" s="19">
        <v>-1.7816309730697366E-2</v>
      </c>
      <c r="G212" s="13">
        <f t="shared" si="10"/>
        <v>1.7004705820938826E-2</v>
      </c>
      <c r="H212" s="13">
        <f t="shared" si="11"/>
        <v>-2.169099472282654E-2</v>
      </c>
    </row>
    <row r="213" spans="2:8" ht="18" x14ac:dyDescent="0.2">
      <c r="B213" s="53">
        <v>39234</v>
      </c>
      <c r="C213" s="56">
        <v>4.1537774426925189E-3</v>
      </c>
      <c r="D213" s="54">
        <v>41.56</v>
      </c>
      <c r="E213" s="19">
        <f t="shared" si="9"/>
        <v>-4.7641963426371614E-2</v>
      </c>
      <c r="F213" s="19">
        <v>-3.1981907074200899E-2</v>
      </c>
      <c r="G213" s="13">
        <f t="shared" si="10"/>
        <v>-5.1795740869064133E-2</v>
      </c>
      <c r="H213" s="13">
        <f t="shared" si="11"/>
        <v>-3.6135684516893418E-2</v>
      </c>
    </row>
    <row r="214" spans="2:8" ht="18" x14ac:dyDescent="0.2">
      <c r="B214" s="53">
        <v>39264</v>
      </c>
      <c r="C214" s="56">
        <v>4.0741237836483535E-3</v>
      </c>
      <c r="D214" s="54">
        <v>39.58</v>
      </c>
      <c r="E214" s="19">
        <f t="shared" si="9"/>
        <v>8.8681152097018767E-2</v>
      </c>
      <c r="F214" s="19">
        <v>1.2863592323073991E-2</v>
      </c>
      <c r="G214" s="13">
        <f t="shared" si="10"/>
        <v>8.4607028313370414E-2</v>
      </c>
      <c r="H214" s="13">
        <f t="shared" si="11"/>
        <v>8.7894685394256378E-3</v>
      </c>
    </row>
    <row r="215" spans="2:8" ht="18" x14ac:dyDescent="0.2">
      <c r="B215" s="53">
        <v>39295</v>
      </c>
      <c r="C215" s="56">
        <v>3.8107724223526152E-3</v>
      </c>
      <c r="D215" s="54">
        <v>43.09</v>
      </c>
      <c r="E215" s="19">
        <f t="shared" si="9"/>
        <v>-3.365049895567418E-2</v>
      </c>
      <c r="F215" s="19">
        <v>3.579400131615551E-2</v>
      </c>
      <c r="G215" s="13">
        <f t="shared" si="10"/>
        <v>-3.7461271378026795E-2</v>
      </c>
      <c r="H215" s="13">
        <f t="shared" si="11"/>
        <v>3.1983228893802895E-2</v>
      </c>
    </row>
    <row r="216" spans="2:8" ht="18" x14ac:dyDescent="0.2">
      <c r="B216" s="53">
        <v>39326</v>
      </c>
      <c r="C216" s="56">
        <v>3.690815569153072E-3</v>
      </c>
      <c r="D216" s="54">
        <v>41.64</v>
      </c>
      <c r="E216" s="19">
        <f t="shared" si="9"/>
        <v>-3.4582132564841439E-2</v>
      </c>
      <c r="F216" s="19">
        <v>1.4822335025380884E-2</v>
      </c>
      <c r="G216" s="13">
        <f t="shared" si="10"/>
        <v>-3.8272948133994511E-2</v>
      </c>
      <c r="H216" s="13">
        <f t="shared" si="11"/>
        <v>1.1131519456227812E-2</v>
      </c>
    </row>
    <row r="217" spans="2:8" ht="18" x14ac:dyDescent="0.2">
      <c r="B217" s="53">
        <v>39356</v>
      </c>
      <c r="C217" s="56">
        <v>3.6988176007033413E-3</v>
      </c>
      <c r="D217" s="54">
        <v>40.200000000000003</v>
      </c>
      <c r="E217" s="19">
        <f t="shared" si="9"/>
        <v>-2.2636815920398123E-2</v>
      </c>
      <c r="F217" s="19">
        <v>-4.4043423821141348E-2</v>
      </c>
      <c r="G217" s="13">
        <f t="shared" si="10"/>
        <v>-2.6335633521101465E-2</v>
      </c>
      <c r="H217" s="13">
        <f t="shared" si="11"/>
        <v>-4.7742241421844689E-2</v>
      </c>
    </row>
    <row r="218" spans="2:8" ht="18" x14ac:dyDescent="0.2">
      <c r="B218" s="53">
        <v>39387</v>
      </c>
      <c r="C218" s="56">
        <v>3.3942459274463044E-3</v>
      </c>
      <c r="D218" s="54">
        <v>39.29</v>
      </c>
      <c r="E218" s="19">
        <f t="shared" si="9"/>
        <v>-0.16416390939170267</v>
      </c>
      <c r="F218" s="19">
        <v>-8.628488866683881E-3</v>
      </c>
      <c r="G218" s="13">
        <f t="shared" si="10"/>
        <v>-0.16755815531914897</v>
      </c>
      <c r="H218" s="13">
        <f t="shared" si="11"/>
        <v>-1.2022734794130185E-2</v>
      </c>
    </row>
    <row r="219" spans="2:8" ht="18" x14ac:dyDescent="0.2">
      <c r="B219" s="53">
        <v>39417</v>
      </c>
      <c r="C219" s="56">
        <v>3.3540948994528197E-3</v>
      </c>
      <c r="D219" s="54">
        <v>32.840000000000003</v>
      </c>
      <c r="E219" s="19">
        <f t="shared" si="9"/>
        <v>0.10840438489646753</v>
      </c>
      <c r="F219" s="19">
        <v>-6.1163474897164116E-2</v>
      </c>
      <c r="G219" s="13">
        <f t="shared" si="10"/>
        <v>0.10505028999701471</v>
      </c>
      <c r="H219" s="13">
        <f t="shared" si="11"/>
        <v>-6.4517569796616936E-2</v>
      </c>
    </row>
    <row r="220" spans="2:8" ht="18" x14ac:dyDescent="0.2">
      <c r="B220" s="53">
        <v>39448</v>
      </c>
      <c r="C220" s="56">
        <v>3.0644845397465037E-3</v>
      </c>
      <c r="D220" s="54">
        <v>36.4</v>
      </c>
      <c r="E220" s="19">
        <f t="shared" si="9"/>
        <v>-5.0824175824175866E-2</v>
      </c>
      <c r="F220" s="19">
        <v>-3.4761162090602316E-2</v>
      </c>
      <c r="G220" s="13">
        <f t="shared" si="10"/>
        <v>-5.3888660363922369E-2</v>
      </c>
      <c r="H220" s="13">
        <f t="shared" si="11"/>
        <v>-3.7825646630348819E-2</v>
      </c>
    </row>
    <row r="221" spans="2:8" ht="18" x14ac:dyDescent="0.2">
      <c r="B221" s="53">
        <v>39479</v>
      </c>
      <c r="C221" s="56">
        <v>3.0644845397465037E-3</v>
      </c>
      <c r="D221" s="54">
        <v>34.549999999999997</v>
      </c>
      <c r="E221" s="19">
        <f t="shared" si="9"/>
        <v>-3.415340086830676E-2</v>
      </c>
      <c r="F221" s="19">
        <v>-5.9595830546433914E-3</v>
      </c>
      <c r="G221" s="13">
        <f t="shared" si="10"/>
        <v>-3.7217885408053264E-2</v>
      </c>
      <c r="H221" s="13">
        <f t="shared" si="11"/>
        <v>-9.0240675943898951E-3</v>
      </c>
    </row>
    <row r="222" spans="2:8" ht="18" x14ac:dyDescent="0.2">
      <c r="B222" s="53">
        <v>39508</v>
      </c>
      <c r="C222" s="56">
        <v>2.8789730064431307E-3</v>
      </c>
      <c r="D222" s="54">
        <v>33.369999999999997</v>
      </c>
      <c r="E222" s="19">
        <f t="shared" si="9"/>
        <v>4.8546598741384672E-2</v>
      </c>
      <c r="F222" s="19">
        <v>4.7546684811370588E-2</v>
      </c>
      <c r="G222" s="13">
        <f t="shared" si="10"/>
        <v>4.5667625734941542E-2</v>
      </c>
      <c r="H222" s="13">
        <f t="shared" si="11"/>
        <v>4.4667711804927457E-2</v>
      </c>
    </row>
    <row r="223" spans="2:8" ht="18" x14ac:dyDescent="0.2">
      <c r="B223" s="53">
        <v>39539</v>
      </c>
      <c r="C223" s="56">
        <v>3.0080644524299593E-3</v>
      </c>
      <c r="D223" s="54">
        <v>34.99</v>
      </c>
      <c r="E223" s="19">
        <f t="shared" si="9"/>
        <v>4.2869391254642952E-3</v>
      </c>
      <c r="F223" s="19">
        <v>1.0674153248796614E-2</v>
      </c>
      <c r="G223" s="13">
        <f t="shared" si="10"/>
        <v>1.2788746730343359E-3</v>
      </c>
      <c r="H223" s="13">
        <f t="shared" si="11"/>
        <v>7.6660887963666546E-3</v>
      </c>
    </row>
    <row r="224" spans="2:8" ht="18" x14ac:dyDescent="0.2">
      <c r="B224" s="53">
        <v>39569</v>
      </c>
      <c r="C224" s="56">
        <v>3.1772200986699417E-3</v>
      </c>
      <c r="D224" s="54">
        <v>35.14</v>
      </c>
      <c r="E224" s="19">
        <f t="shared" si="9"/>
        <v>-0.12663631189527602</v>
      </c>
      <c r="F224" s="19">
        <v>-8.5962381639269392E-2</v>
      </c>
      <c r="G224" s="13">
        <f t="shared" si="10"/>
        <v>-0.12981353199394596</v>
      </c>
      <c r="H224" s="13">
        <f t="shared" si="11"/>
        <v>-8.9139601737939334E-2</v>
      </c>
    </row>
    <row r="225" spans="2:8" ht="18" x14ac:dyDescent="0.2">
      <c r="B225" s="53">
        <v>39600</v>
      </c>
      <c r="C225" s="56">
        <v>3.3540948994528197E-3</v>
      </c>
      <c r="D225" s="54">
        <v>30.69</v>
      </c>
      <c r="E225" s="19">
        <f t="shared" si="9"/>
        <v>-2.7044639947865767E-2</v>
      </c>
      <c r="F225" s="19">
        <v>-9.8593749999998925E-3</v>
      </c>
      <c r="G225" s="13">
        <f t="shared" si="10"/>
        <v>-3.0398734847318587E-2</v>
      </c>
      <c r="H225" s="13">
        <f t="shared" si="11"/>
        <v>-1.3213469899452712E-2</v>
      </c>
    </row>
    <row r="226" spans="2:8" ht="18" x14ac:dyDescent="0.2">
      <c r="B226" s="53">
        <v>39630</v>
      </c>
      <c r="C226" s="56">
        <v>3.281778480337616E-3</v>
      </c>
      <c r="D226" s="54">
        <v>29.86</v>
      </c>
      <c r="E226" s="19">
        <f t="shared" si="9"/>
        <v>0.172136637642331</v>
      </c>
      <c r="F226" s="19">
        <v>1.2190503242910378E-2</v>
      </c>
      <c r="G226" s="13">
        <f t="shared" si="10"/>
        <v>0.16885485916199339</v>
      </c>
      <c r="H226" s="13">
        <f t="shared" si="11"/>
        <v>8.9087247625727617E-3</v>
      </c>
    </row>
    <row r="227" spans="2:8" ht="18" x14ac:dyDescent="0.2">
      <c r="B227" s="53">
        <v>39661</v>
      </c>
      <c r="C227" s="56">
        <v>3.1852673082803928E-3</v>
      </c>
      <c r="D227" s="54">
        <v>35</v>
      </c>
      <c r="E227" s="19">
        <f t="shared" si="9"/>
        <v>-7.2000000000000064E-2</v>
      </c>
      <c r="F227" s="19">
        <v>-9.0791453271283018E-2</v>
      </c>
      <c r="G227" s="13">
        <f t="shared" si="10"/>
        <v>-7.5185267308280457E-2</v>
      </c>
      <c r="H227" s="13">
        <f t="shared" si="11"/>
        <v>-9.3976720579563411E-2</v>
      </c>
    </row>
    <row r="228" spans="2:8" ht="18" x14ac:dyDescent="0.2">
      <c r="B228" s="53">
        <v>39692</v>
      </c>
      <c r="C228" s="56">
        <v>3.0241880399000109E-3</v>
      </c>
      <c r="D228" s="54">
        <v>32.479999999999997</v>
      </c>
      <c r="E228" s="19">
        <f t="shared" si="9"/>
        <v>-0.18195812807881762</v>
      </c>
      <c r="F228" s="19">
        <v>-0.16942453444905514</v>
      </c>
      <c r="G228" s="13">
        <f t="shared" si="10"/>
        <v>-0.18498231611871763</v>
      </c>
      <c r="H228" s="13">
        <f t="shared" si="11"/>
        <v>-0.17244872248895515</v>
      </c>
    </row>
    <row r="229" spans="2:8" ht="18" x14ac:dyDescent="0.2">
      <c r="B229" s="53">
        <v>39722</v>
      </c>
      <c r="C229" s="56">
        <v>3.1208697401348129E-3</v>
      </c>
      <c r="D229" s="54">
        <v>26.57</v>
      </c>
      <c r="E229" s="19">
        <f t="shared" si="9"/>
        <v>-0.1584493789988709</v>
      </c>
      <c r="F229" s="19">
        <v>-7.4849032258064496E-2</v>
      </c>
      <c r="G229" s="13">
        <f t="shared" si="10"/>
        <v>-0.16157024873900572</v>
      </c>
      <c r="H229" s="13">
        <f t="shared" si="11"/>
        <v>-7.7969901998199309E-2</v>
      </c>
    </row>
    <row r="230" spans="2:8" ht="18" x14ac:dyDescent="0.2">
      <c r="B230" s="53">
        <v>39753</v>
      </c>
      <c r="C230" s="56">
        <v>2.8951194362685229E-3</v>
      </c>
      <c r="D230" s="54">
        <v>22.36</v>
      </c>
      <c r="E230" s="19">
        <f t="shared" si="9"/>
        <v>2.7728085867620766E-2</v>
      </c>
      <c r="F230" s="19">
        <v>7.8215656520574939E-3</v>
      </c>
      <c r="G230" s="13">
        <f t="shared" si="10"/>
        <v>2.4832966431352244E-2</v>
      </c>
      <c r="H230" s="13">
        <f t="shared" si="11"/>
        <v>4.926446215788971E-3</v>
      </c>
    </row>
    <row r="231" spans="2:8" ht="18" x14ac:dyDescent="0.2">
      <c r="B231" s="53">
        <v>39783</v>
      </c>
      <c r="C231" s="56">
        <v>1.9946383202138485E-3</v>
      </c>
      <c r="D231" s="54">
        <v>22.98</v>
      </c>
      <c r="E231" s="19">
        <f t="shared" si="9"/>
        <v>-9.6170583115752883E-2</v>
      </c>
      <c r="F231" s="19">
        <v>-8.5657348463880401E-2</v>
      </c>
      <c r="G231" s="13">
        <f t="shared" si="10"/>
        <v>-9.8165221435966732E-2</v>
      </c>
      <c r="H231" s="13">
        <f t="shared" si="11"/>
        <v>-8.7651986784094249E-2</v>
      </c>
    </row>
    <row r="232" spans="2:8" ht="18" x14ac:dyDescent="0.2">
      <c r="B232" s="53">
        <v>39814</v>
      </c>
      <c r="C232" s="56">
        <v>2.0761284687424997E-3</v>
      </c>
      <c r="D232" s="54">
        <v>20.77</v>
      </c>
      <c r="E232" s="19">
        <f t="shared" si="9"/>
        <v>-9.2922484352431334E-2</v>
      </c>
      <c r="F232" s="19">
        <v>-0.10993122487528451</v>
      </c>
      <c r="G232" s="13">
        <f t="shared" si="10"/>
        <v>-9.4998612821173833E-2</v>
      </c>
      <c r="H232" s="13">
        <f t="shared" si="11"/>
        <v>-0.11200735334402701</v>
      </c>
    </row>
    <row r="233" spans="2:8" ht="18" x14ac:dyDescent="0.2">
      <c r="B233" s="53">
        <v>39845</v>
      </c>
      <c r="C233" s="56">
        <v>2.3607713389290907E-3</v>
      </c>
      <c r="D233" s="54">
        <v>18.84</v>
      </c>
      <c r="E233" s="19">
        <f t="shared" si="9"/>
        <v>0.22133757961783451</v>
      </c>
      <c r="F233" s="19">
        <v>8.5404508291501591E-2</v>
      </c>
      <c r="G233" s="13">
        <f t="shared" si="10"/>
        <v>0.21897680827890542</v>
      </c>
      <c r="H233" s="13">
        <f t="shared" si="11"/>
        <v>8.30437369525725E-2</v>
      </c>
    </row>
    <row r="234" spans="2:8" ht="18" x14ac:dyDescent="0.2">
      <c r="B234" s="53">
        <v>39873</v>
      </c>
      <c r="C234" s="56">
        <v>2.3201624741928661E-3</v>
      </c>
      <c r="D234" s="54">
        <v>23.01</v>
      </c>
      <c r="E234" s="19">
        <f t="shared" si="9"/>
        <v>0.1999130812690133</v>
      </c>
      <c r="F234" s="19">
        <v>9.3925075513554779E-2</v>
      </c>
      <c r="G234" s="13">
        <f t="shared" si="10"/>
        <v>0.19759291879482044</v>
      </c>
      <c r="H234" s="13">
        <f t="shared" si="11"/>
        <v>9.1604913039361913E-2</v>
      </c>
    </row>
    <row r="235" spans="2:8" ht="18" x14ac:dyDescent="0.2">
      <c r="B235" s="53">
        <v>39904</v>
      </c>
      <c r="C235" s="56">
        <v>2.4094781004899701E-3</v>
      </c>
      <c r="D235" s="54">
        <v>27.61</v>
      </c>
      <c r="E235" s="19">
        <f t="shared" si="9"/>
        <v>-4.7446577327055373E-2</v>
      </c>
      <c r="F235" s="19">
        <v>5.3081426656431674E-2</v>
      </c>
      <c r="G235" s="13">
        <f t="shared" si="10"/>
        <v>-4.9856055427545343E-2</v>
      </c>
      <c r="H235" s="13">
        <f t="shared" si="11"/>
        <v>5.0671948555941704E-2</v>
      </c>
    </row>
    <row r="236" spans="2:8" ht="18" x14ac:dyDescent="0.2">
      <c r="B236" s="53">
        <v>39934</v>
      </c>
      <c r="C236" s="56">
        <v>2.7011732814758993E-3</v>
      </c>
      <c r="D236" s="54">
        <v>26.3</v>
      </c>
      <c r="E236" s="19">
        <f t="shared" si="9"/>
        <v>8.365019011406849E-3</v>
      </c>
      <c r="F236" s="19">
        <v>1.9583523728705643E-4</v>
      </c>
      <c r="G236" s="13">
        <f t="shared" si="10"/>
        <v>5.6638457299309497E-3</v>
      </c>
      <c r="H236" s="13">
        <f t="shared" si="11"/>
        <v>-2.5053380441888429E-3</v>
      </c>
    </row>
    <row r="237" spans="2:8" ht="18" x14ac:dyDescent="0.2">
      <c r="B237" s="53">
        <v>39965</v>
      </c>
      <c r="C237" s="56">
        <v>3.0483680766628662E-3</v>
      </c>
      <c r="D237" s="54">
        <v>26.52</v>
      </c>
      <c r="E237" s="19">
        <f t="shared" si="9"/>
        <v>0.10520361990950233</v>
      </c>
      <c r="F237" s="19">
        <v>7.4141756950789617E-2</v>
      </c>
      <c r="G237" s="13">
        <f t="shared" si="10"/>
        <v>0.10215525183283947</v>
      </c>
      <c r="H237" s="13">
        <f t="shared" si="11"/>
        <v>7.1093388874126751E-2</v>
      </c>
    </row>
    <row r="238" spans="2:8" ht="18" x14ac:dyDescent="0.2">
      <c r="B238" s="53">
        <v>39995</v>
      </c>
      <c r="C238" s="56">
        <v>2.9193337207231718E-3</v>
      </c>
      <c r="D238" s="54">
        <v>29.31</v>
      </c>
      <c r="E238" s="19">
        <f t="shared" si="9"/>
        <v>7.7447969976117248E-2</v>
      </c>
      <c r="F238" s="19">
        <v>3.3560173370599911E-2</v>
      </c>
      <c r="G238" s="13">
        <f t="shared" si="10"/>
        <v>7.4528636255394076E-2</v>
      </c>
      <c r="H238" s="13">
        <f t="shared" si="11"/>
        <v>3.0640839649876739E-2</v>
      </c>
    </row>
    <row r="239" spans="2:8" ht="18" x14ac:dyDescent="0.2">
      <c r="B239" s="53">
        <v>40026</v>
      </c>
      <c r="C239" s="56">
        <v>2.9435415760119543E-3</v>
      </c>
      <c r="D239" s="54">
        <v>31.58</v>
      </c>
      <c r="E239" s="19">
        <f t="shared" si="9"/>
        <v>-2.8499050031665085E-3</v>
      </c>
      <c r="F239" s="19">
        <v>3.5723383825517763E-2</v>
      </c>
      <c r="G239" s="13">
        <f t="shared" si="10"/>
        <v>-5.7934465791784628E-3</v>
      </c>
      <c r="H239" s="13">
        <f t="shared" si="11"/>
        <v>3.2779842249505808E-2</v>
      </c>
    </row>
    <row r="240" spans="2:8" ht="18" x14ac:dyDescent="0.2">
      <c r="B240" s="53">
        <v>40057</v>
      </c>
      <c r="C240" s="56">
        <v>2.7901164905321796E-3</v>
      </c>
      <c r="D240" s="54">
        <v>31.49</v>
      </c>
      <c r="E240" s="19">
        <f t="shared" si="9"/>
        <v>3.7472213401079868E-2</v>
      </c>
      <c r="F240" s="19">
        <v>-1.9761985847807084E-2</v>
      </c>
      <c r="G240" s="13">
        <f t="shared" si="10"/>
        <v>3.4682096910547688E-2</v>
      </c>
      <c r="H240" s="13">
        <f t="shared" si="11"/>
        <v>-2.2552102338339264E-2</v>
      </c>
    </row>
    <row r="241" spans="2:8" ht="18" x14ac:dyDescent="0.2">
      <c r="B241" s="53">
        <v>40087</v>
      </c>
      <c r="C241" s="56">
        <v>2.7820343292721539E-3</v>
      </c>
      <c r="D241" s="54">
        <v>32.67</v>
      </c>
      <c r="E241" s="19">
        <f t="shared" si="9"/>
        <v>-3.8567493112947715E-2</v>
      </c>
      <c r="F241" s="19">
        <v>5.7363996950366314E-2</v>
      </c>
      <c r="G241" s="13">
        <f t="shared" si="10"/>
        <v>-4.1349527442219869E-2</v>
      </c>
      <c r="H241" s="13">
        <f t="shared" si="11"/>
        <v>5.458196262109416E-2</v>
      </c>
    </row>
    <row r="242" spans="2:8" ht="18" x14ac:dyDescent="0.2">
      <c r="B242" s="53">
        <v>40118</v>
      </c>
      <c r="C242" s="56">
        <v>2.7901164905321796E-3</v>
      </c>
      <c r="D242" s="54">
        <v>31.41</v>
      </c>
      <c r="E242" s="19">
        <f t="shared" si="9"/>
        <v>4.2661572747532572E-2</v>
      </c>
      <c r="F242" s="19">
        <v>1.7770597738287375E-2</v>
      </c>
      <c r="G242" s="13">
        <f t="shared" si="10"/>
        <v>3.9871456257000393E-2</v>
      </c>
      <c r="H242" s="13">
        <f t="shared" si="11"/>
        <v>1.4980481247755195E-2</v>
      </c>
    </row>
    <row r="243" spans="2:8" ht="18" x14ac:dyDescent="0.2">
      <c r="B243" s="53">
        <v>40148</v>
      </c>
      <c r="C243" s="56">
        <v>2.9435415760119543E-3</v>
      </c>
      <c r="D243" s="54">
        <v>32.75</v>
      </c>
      <c r="E243" s="19">
        <f t="shared" si="9"/>
        <v>5.9847328244274856E-2</v>
      </c>
      <c r="F243" s="19">
        <v>-3.6974262397991176E-2</v>
      </c>
      <c r="G243" s="13">
        <f t="shared" si="10"/>
        <v>5.6903786668262901E-2</v>
      </c>
      <c r="H243" s="13">
        <f t="shared" si="11"/>
        <v>-3.991780397400313E-2</v>
      </c>
    </row>
    <row r="244" spans="2:8" ht="18" x14ac:dyDescent="0.2">
      <c r="B244" s="53">
        <v>40179</v>
      </c>
      <c r="C244" s="56">
        <v>3.0564266642594262E-3</v>
      </c>
      <c r="D244" s="54">
        <v>34.71</v>
      </c>
      <c r="E244" s="19">
        <f t="shared" si="9"/>
        <v>4.8977239988476917E-3</v>
      </c>
      <c r="F244" s="19">
        <v>2.8513693463827261E-2</v>
      </c>
      <c r="G244" s="13">
        <f t="shared" si="10"/>
        <v>1.8412973345882655E-3</v>
      </c>
      <c r="H244" s="13">
        <f t="shared" si="11"/>
        <v>2.5457266799567835E-2</v>
      </c>
    </row>
    <row r="245" spans="2:8" ht="18" x14ac:dyDescent="0.2">
      <c r="B245" s="53">
        <v>40210</v>
      </c>
      <c r="C245" s="56">
        <v>3.0241880399000109E-3</v>
      </c>
      <c r="D245" s="54">
        <v>34.880000000000003</v>
      </c>
      <c r="E245" s="19">
        <f t="shared" si="9"/>
        <v>2.4369266055045635E-2</v>
      </c>
      <c r="F245" s="19">
        <v>5.8796367554255768E-2</v>
      </c>
      <c r="G245" s="13">
        <f t="shared" si="10"/>
        <v>2.1345078015145624E-2</v>
      </c>
      <c r="H245" s="13">
        <f t="shared" si="11"/>
        <v>5.5772179514355757E-2</v>
      </c>
    </row>
    <row r="246" spans="2:8" ht="18" x14ac:dyDescent="0.2">
      <c r="B246" s="53">
        <v>40238</v>
      </c>
      <c r="C246" s="56">
        <v>3.0564266642594262E-3</v>
      </c>
      <c r="D246" s="54">
        <v>35.729999999999997</v>
      </c>
      <c r="E246" s="19">
        <f t="shared" si="9"/>
        <v>8.1164287713406225E-2</v>
      </c>
      <c r="F246" s="19">
        <v>1.4759327193589966E-2</v>
      </c>
      <c r="G246" s="13">
        <f t="shared" si="10"/>
        <v>7.8107861049146798E-2</v>
      </c>
      <c r="H246" s="13">
        <f t="shared" si="11"/>
        <v>1.170290052933054E-2</v>
      </c>
    </row>
    <row r="247" spans="2:8" ht="18" x14ac:dyDescent="0.2">
      <c r="B247" s="53">
        <v>40269</v>
      </c>
      <c r="C247" s="56">
        <v>3.1530742084739938E-3</v>
      </c>
      <c r="D247" s="54">
        <v>38.630000000000003</v>
      </c>
      <c r="E247" s="19">
        <f t="shared" si="9"/>
        <v>-4.1159720424540636E-2</v>
      </c>
      <c r="F247" s="19">
        <v>-8.1975916203894883E-2</v>
      </c>
      <c r="G247" s="13">
        <f t="shared" si="10"/>
        <v>-4.4312794633014629E-2</v>
      </c>
      <c r="H247" s="13">
        <f t="shared" si="11"/>
        <v>-8.5128990412368877E-2</v>
      </c>
    </row>
    <row r="248" spans="2:8" ht="18" x14ac:dyDescent="0.2">
      <c r="B248" s="53">
        <v>40299</v>
      </c>
      <c r="C248" s="56">
        <v>2.8062786637694792E-3</v>
      </c>
      <c r="D248" s="54">
        <v>37.04</v>
      </c>
      <c r="E248" s="19">
        <f t="shared" si="9"/>
        <v>-9.5572354211662991E-2</v>
      </c>
      <c r="F248" s="19">
        <v>-5.3882376699314394E-2</v>
      </c>
      <c r="G248" s="13">
        <f t="shared" si="10"/>
        <v>-9.837863287543247E-2</v>
      </c>
      <c r="H248" s="13">
        <f t="shared" si="11"/>
        <v>-5.6688655363083873E-2</v>
      </c>
    </row>
    <row r="249" spans="2:8" ht="18" x14ac:dyDescent="0.2">
      <c r="B249" s="53">
        <v>40330</v>
      </c>
      <c r="C249" s="56">
        <v>2.6283369587845051E-3</v>
      </c>
      <c r="D249" s="54">
        <v>33.5</v>
      </c>
      <c r="E249" s="19">
        <f t="shared" si="9"/>
        <v>4.3880597014925415E-2</v>
      </c>
      <c r="F249" s="19">
        <v>6.8777832756061308E-2</v>
      </c>
      <c r="G249" s="13">
        <f t="shared" si="10"/>
        <v>4.125226005614091E-2</v>
      </c>
      <c r="H249" s="13">
        <f t="shared" si="11"/>
        <v>6.6149495797276803E-2</v>
      </c>
    </row>
    <row r="250" spans="2:8" ht="18" x14ac:dyDescent="0.2">
      <c r="B250" s="53">
        <v>40360</v>
      </c>
      <c r="C250" s="56">
        <v>2.4743799799444854E-3</v>
      </c>
      <c r="D250" s="54">
        <v>34.97</v>
      </c>
      <c r="E250" s="19">
        <f t="shared" si="9"/>
        <v>-3.1455533314269646E-3</v>
      </c>
      <c r="F250" s="19">
        <v>-4.7449164851125603E-2</v>
      </c>
      <c r="G250" s="13">
        <f t="shared" si="10"/>
        <v>-5.61993331137145E-3</v>
      </c>
      <c r="H250" s="13">
        <f t="shared" si="11"/>
        <v>-4.9923544831070088E-2</v>
      </c>
    </row>
    <row r="251" spans="2:8" ht="18" x14ac:dyDescent="0.2">
      <c r="B251" s="53">
        <v>40391</v>
      </c>
      <c r="C251" s="56">
        <v>2.2226272943570713E-3</v>
      </c>
      <c r="D251" s="54">
        <v>34.86</v>
      </c>
      <c r="E251" s="19">
        <f t="shared" si="9"/>
        <v>4.9627079747561753E-2</v>
      </c>
      <c r="F251" s="19">
        <v>8.7551104037814742E-2</v>
      </c>
      <c r="G251" s="13">
        <f t="shared" si="10"/>
        <v>4.7404452453204682E-2</v>
      </c>
      <c r="H251" s="13">
        <f t="shared" si="11"/>
        <v>8.5328476743457671E-2</v>
      </c>
    </row>
    <row r="252" spans="2:8" ht="18" x14ac:dyDescent="0.2">
      <c r="B252" s="53">
        <v>40422</v>
      </c>
      <c r="C252" s="56">
        <v>2.18195680041533E-3</v>
      </c>
      <c r="D252" s="54">
        <v>36.590000000000003</v>
      </c>
      <c r="E252" s="19">
        <f t="shared" si="9"/>
        <v>-2.7876468980595925E-2</v>
      </c>
      <c r="F252" s="19">
        <v>3.6855941114616098E-2</v>
      </c>
      <c r="G252" s="13">
        <f t="shared" si="10"/>
        <v>-3.0058425781011255E-2</v>
      </c>
      <c r="H252" s="13">
        <f t="shared" si="11"/>
        <v>3.4673984314200768E-2</v>
      </c>
    </row>
    <row r="253" spans="2:8" ht="18" x14ac:dyDescent="0.2">
      <c r="B253" s="53">
        <v>40452</v>
      </c>
      <c r="C253" s="56">
        <v>2.0924177544194844E-3</v>
      </c>
      <c r="D253" s="54">
        <v>35.57</v>
      </c>
      <c r="E253" s="19">
        <f t="shared" si="9"/>
        <v>9.6148439696373433E-2</v>
      </c>
      <c r="F253" s="19">
        <v>-2.2902827780877377E-3</v>
      </c>
      <c r="G253" s="13">
        <f t="shared" si="10"/>
        <v>9.4056021941953949E-2</v>
      </c>
      <c r="H253" s="13">
        <f t="shared" si="11"/>
        <v>-4.3827005325072221E-3</v>
      </c>
    </row>
    <row r="254" spans="2:8" ht="18" x14ac:dyDescent="0.2">
      <c r="B254" s="53">
        <v>40483</v>
      </c>
      <c r="C254" s="56">
        <v>2.2714079351586758E-3</v>
      </c>
      <c r="D254" s="54">
        <v>38.99</v>
      </c>
      <c r="E254" s="19">
        <f t="shared" si="9"/>
        <v>6.1041292639138156E-2</v>
      </c>
      <c r="F254" s="19">
        <v>6.5300072000338938E-2</v>
      </c>
      <c r="G254" s="13">
        <f t="shared" si="10"/>
        <v>5.876988470397948E-2</v>
      </c>
      <c r="H254" s="13">
        <f t="shared" si="11"/>
        <v>6.3028664065180262E-2</v>
      </c>
    </row>
    <row r="255" spans="2:8" ht="18" x14ac:dyDescent="0.2">
      <c r="B255" s="53">
        <v>40513</v>
      </c>
      <c r="C255" s="56">
        <v>2.7011732814758993E-3</v>
      </c>
      <c r="D255" s="54">
        <v>41.37</v>
      </c>
      <c r="E255" s="19">
        <f t="shared" si="9"/>
        <v>-8.8228184674885135E-2</v>
      </c>
      <c r="F255" s="19">
        <v>2.2645590152984729E-2</v>
      </c>
      <c r="G255" s="13">
        <f t="shared" si="10"/>
        <v>-9.0929357956361034E-2</v>
      </c>
      <c r="H255" s="13">
        <f t="shared" si="11"/>
        <v>1.994441687150883E-2</v>
      </c>
    </row>
    <row r="256" spans="2:8" ht="18" x14ac:dyDescent="0.2">
      <c r="B256" s="53">
        <v>40544</v>
      </c>
      <c r="C256" s="56">
        <v>2.7820343292721539E-3</v>
      </c>
      <c r="D256" s="54">
        <v>37.72</v>
      </c>
      <c r="E256" s="19">
        <f t="shared" si="9"/>
        <v>-4.1622481442205705E-2</v>
      </c>
      <c r="F256" s="19">
        <v>3.1956582589494076E-2</v>
      </c>
      <c r="G256" s="13">
        <f t="shared" si="10"/>
        <v>-4.4404515771477859E-2</v>
      </c>
      <c r="H256" s="13">
        <f t="shared" si="11"/>
        <v>2.9174548260221922E-2</v>
      </c>
    </row>
    <row r="257" spans="2:8" ht="18" x14ac:dyDescent="0.2">
      <c r="B257" s="53">
        <v>40575</v>
      </c>
      <c r="C257" s="56">
        <v>2.9354730050472622E-3</v>
      </c>
      <c r="D257" s="54">
        <v>36.15</v>
      </c>
      <c r="E257" s="19">
        <f t="shared" si="9"/>
        <v>-4.3983402489626511E-2</v>
      </c>
      <c r="F257" s="19">
        <v>-1.0473018791158362E-3</v>
      </c>
      <c r="G257" s="13">
        <f t="shared" si="10"/>
        <v>-4.6918875494673773E-2</v>
      </c>
      <c r="H257" s="13">
        <f t="shared" si="11"/>
        <v>-3.9827748841630983E-3</v>
      </c>
    </row>
    <row r="258" spans="2:8" ht="18" x14ac:dyDescent="0.2">
      <c r="B258" s="53">
        <v>40603</v>
      </c>
      <c r="C258" s="56">
        <v>2.7981979353204345E-3</v>
      </c>
      <c r="D258" s="54">
        <v>34.56</v>
      </c>
      <c r="E258" s="19">
        <f t="shared" si="9"/>
        <v>-1.8229166666666741E-2</v>
      </c>
      <c r="F258" s="19">
        <v>2.8495357625034856E-2</v>
      </c>
      <c r="G258" s="13">
        <f t="shared" si="10"/>
        <v>-2.1027364601987175E-2</v>
      </c>
      <c r="H258" s="13">
        <f t="shared" si="11"/>
        <v>2.5697159689714422E-2</v>
      </c>
    </row>
    <row r="259" spans="2:8" ht="18" x14ac:dyDescent="0.2">
      <c r="B259" s="53">
        <v>40634</v>
      </c>
      <c r="C259" s="56">
        <v>2.8305165524094011E-3</v>
      </c>
      <c r="D259" s="54">
        <v>33.93</v>
      </c>
      <c r="E259" s="19">
        <f t="shared" si="9"/>
        <v>8.8417329796639521E-3</v>
      </c>
      <c r="F259" s="19">
        <v>-1.350092768460176E-2</v>
      </c>
      <c r="G259" s="13">
        <f t="shared" si="10"/>
        <v>6.011216427254551E-3</v>
      </c>
      <c r="H259" s="13">
        <f t="shared" si="11"/>
        <v>-1.6331444237011161E-2</v>
      </c>
    </row>
    <row r="260" spans="2:8" ht="18" x14ac:dyDescent="0.2">
      <c r="B260" s="53">
        <v>40664</v>
      </c>
      <c r="C260" s="56">
        <v>2.6040452449183071E-3</v>
      </c>
      <c r="D260" s="54">
        <v>34.229999999999997</v>
      </c>
      <c r="E260" s="19">
        <f t="shared" si="9"/>
        <v>-4.8203330411919376E-2</v>
      </c>
      <c r="F260" s="19">
        <v>-1.8257508177222714E-2</v>
      </c>
      <c r="G260" s="13">
        <f t="shared" si="10"/>
        <v>-5.0807375656837683E-2</v>
      </c>
      <c r="H260" s="13">
        <f t="shared" si="11"/>
        <v>-2.0861553422141021E-2</v>
      </c>
    </row>
    <row r="261" spans="2:8" ht="18" x14ac:dyDescent="0.2">
      <c r="B261" s="53">
        <v>40695</v>
      </c>
      <c r="C261" s="56">
        <v>2.4662697723036864E-3</v>
      </c>
      <c r="D261" s="54">
        <v>32.58</v>
      </c>
      <c r="E261" s="19">
        <f t="shared" ref="E261:E324" si="12">D262/D261-1</f>
        <v>9.7605893186003767E-2</v>
      </c>
      <c r="F261" s="19">
        <v>-2.1474436636782279E-2</v>
      </c>
      <c r="G261" s="13">
        <f t="shared" ref="G261:G324" si="13">E261-C261</f>
        <v>9.5139623413700081E-2</v>
      </c>
      <c r="H261" s="13">
        <f t="shared" ref="H261:H324" si="14">F261-C261</f>
        <v>-2.3940706409085966E-2</v>
      </c>
    </row>
    <row r="262" spans="2:8" ht="18" x14ac:dyDescent="0.2">
      <c r="B262" s="53">
        <v>40725</v>
      </c>
      <c r="C262" s="56">
        <v>2.4662697723036864E-3</v>
      </c>
      <c r="D262" s="54">
        <v>35.76</v>
      </c>
      <c r="E262" s="19">
        <f t="shared" si="12"/>
        <v>3.3557046979866278E-3</v>
      </c>
      <c r="F262" s="19">
        <v>-5.6791097904478782E-2</v>
      </c>
      <c r="G262" s="13">
        <f t="shared" si="13"/>
        <v>8.8943492568294147E-4</v>
      </c>
      <c r="H262" s="13">
        <f t="shared" si="14"/>
        <v>-5.9257367676782469E-2</v>
      </c>
    </row>
    <row r="263" spans="2:8" ht="18" x14ac:dyDescent="0.2">
      <c r="B263" s="53">
        <v>40756</v>
      </c>
      <c r="C263" s="56">
        <v>1.8967538135683526E-3</v>
      </c>
      <c r="D263" s="54">
        <v>35.880000000000003</v>
      </c>
      <c r="E263" s="19">
        <f t="shared" si="12"/>
        <v>-4.4871794871794823E-2</v>
      </c>
      <c r="F263" s="19">
        <v>-7.1762012979021961E-2</v>
      </c>
      <c r="G263" s="13">
        <f t="shared" si="13"/>
        <v>-4.6768548685363176E-2</v>
      </c>
      <c r="H263" s="13">
        <f t="shared" si="14"/>
        <v>-7.3658766792590313E-2</v>
      </c>
    </row>
    <row r="264" spans="2:8" ht="18" x14ac:dyDescent="0.2">
      <c r="B264" s="53">
        <v>40787</v>
      </c>
      <c r="C264" s="56">
        <v>1.635212974954614E-3</v>
      </c>
      <c r="D264" s="54">
        <v>34.270000000000003</v>
      </c>
      <c r="E264" s="19">
        <f t="shared" si="12"/>
        <v>0.11642836299970805</v>
      </c>
      <c r="F264" s="19">
        <v>0.10772303830584562</v>
      </c>
      <c r="G264" s="13">
        <f t="shared" si="13"/>
        <v>0.11479315002475343</v>
      </c>
      <c r="H264" s="13">
        <f t="shared" si="14"/>
        <v>0.10608782533089101</v>
      </c>
    </row>
    <row r="265" spans="2:8" ht="18" x14ac:dyDescent="0.2">
      <c r="B265" s="53">
        <v>40817</v>
      </c>
      <c r="C265" s="56">
        <v>1.7742500619855051E-3</v>
      </c>
      <c r="D265" s="54">
        <v>38.26</v>
      </c>
      <c r="E265" s="19">
        <f t="shared" si="12"/>
        <v>-3.7375849451123933E-2</v>
      </c>
      <c r="F265" s="19">
        <v>-5.0586451767333784E-3</v>
      </c>
      <c r="G265" s="13">
        <f t="shared" si="13"/>
        <v>-3.9150099513109438E-2</v>
      </c>
      <c r="H265" s="13">
        <f t="shared" si="14"/>
        <v>-6.8328952387188835E-3</v>
      </c>
    </row>
    <row r="266" spans="2:8" ht="18" x14ac:dyDescent="0.2">
      <c r="B266" s="53">
        <v>40848</v>
      </c>
      <c r="C266" s="56">
        <v>1.6597643621756308E-3</v>
      </c>
      <c r="D266" s="54">
        <v>36.83</v>
      </c>
      <c r="E266" s="19">
        <f t="shared" si="12"/>
        <v>-2.2535976106434874E-2</v>
      </c>
      <c r="F266" s="19">
        <v>8.5327516520175006E-3</v>
      </c>
      <c r="G266" s="13">
        <f t="shared" si="13"/>
        <v>-2.4195740468610505E-2</v>
      </c>
      <c r="H266" s="13">
        <f t="shared" si="14"/>
        <v>6.8729872898418698E-3</v>
      </c>
    </row>
    <row r="267" spans="2:8" ht="18" x14ac:dyDescent="0.2">
      <c r="B267" s="53">
        <v>40878</v>
      </c>
      <c r="C267" s="56">
        <v>1.635212974954614E-3</v>
      </c>
      <c r="D267" s="54">
        <v>36</v>
      </c>
      <c r="E267" s="19">
        <f t="shared" si="12"/>
        <v>-8.0555555555554825E-3</v>
      </c>
      <c r="F267" s="19">
        <v>4.3583015267175673E-2</v>
      </c>
      <c r="G267" s="13">
        <f t="shared" si="13"/>
        <v>-9.6907685305100966E-3</v>
      </c>
      <c r="H267" s="13">
        <f t="shared" si="14"/>
        <v>4.1947802292221059E-2</v>
      </c>
    </row>
    <row r="268" spans="2:8" ht="18" x14ac:dyDescent="0.2">
      <c r="B268" s="53">
        <v>40909</v>
      </c>
      <c r="C268" s="56">
        <v>1.6270277079681872E-3</v>
      </c>
      <c r="D268" s="54">
        <v>35.71</v>
      </c>
      <c r="E268" s="19">
        <f t="shared" si="12"/>
        <v>0.11565387846541597</v>
      </c>
      <c r="F268" s="19">
        <v>4.0589449943234213E-2</v>
      </c>
      <c r="G268" s="13">
        <f t="shared" si="13"/>
        <v>0.11402685075744778</v>
      </c>
      <c r="H268" s="13">
        <f t="shared" si="14"/>
        <v>3.8962422235266025E-2</v>
      </c>
    </row>
    <row r="269" spans="2:8" ht="18" x14ac:dyDescent="0.2">
      <c r="B269" s="53">
        <v>40940</v>
      </c>
      <c r="C269" s="56">
        <v>1.6270277079681872E-3</v>
      </c>
      <c r="D269" s="54">
        <v>39.840000000000003</v>
      </c>
      <c r="E269" s="19">
        <f t="shared" si="12"/>
        <v>3.3885542168674565E-2</v>
      </c>
      <c r="F269" s="19">
        <v>3.1332376545017748E-2</v>
      </c>
      <c r="G269" s="13">
        <f t="shared" si="13"/>
        <v>3.2258514460706378E-2</v>
      </c>
      <c r="H269" s="13">
        <f t="shared" si="14"/>
        <v>2.9705348837049561E-2</v>
      </c>
    </row>
    <row r="270" spans="2:8" ht="18" x14ac:dyDescent="0.2">
      <c r="B270" s="53">
        <v>40969</v>
      </c>
      <c r="C270" s="56">
        <v>1.7905934192179451E-3</v>
      </c>
      <c r="D270" s="54">
        <v>41.19</v>
      </c>
      <c r="E270" s="19">
        <f t="shared" si="12"/>
        <v>-5.8266569555716075E-3</v>
      </c>
      <c r="F270" s="19">
        <v>-7.497497284287169E-3</v>
      </c>
      <c r="G270" s="13">
        <f t="shared" si="13"/>
        <v>-7.6172503747895526E-3</v>
      </c>
      <c r="H270" s="13">
        <f t="shared" si="14"/>
        <v>-9.2880907035051141E-3</v>
      </c>
    </row>
    <row r="271" spans="2:8" ht="18" x14ac:dyDescent="0.2">
      <c r="B271" s="53">
        <v>41000</v>
      </c>
      <c r="C271" s="56">
        <v>1.6924892515723933E-3</v>
      </c>
      <c r="D271" s="54">
        <v>40.950000000000003</v>
      </c>
      <c r="E271" s="19">
        <f t="shared" si="12"/>
        <v>-4.8840048840059769E-4</v>
      </c>
      <c r="F271" s="19">
        <v>-6.2650671359386623E-2</v>
      </c>
      <c r="G271" s="13">
        <f t="shared" si="13"/>
        <v>-2.180889739972991E-3</v>
      </c>
      <c r="H271" s="13">
        <f t="shared" si="14"/>
        <v>-6.4343160610959016E-2</v>
      </c>
    </row>
    <row r="272" spans="2:8" ht="18" x14ac:dyDescent="0.2">
      <c r="B272" s="53">
        <v>41030</v>
      </c>
      <c r="C272" s="56">
        <v>1.4877654706024757E-3</v>
      </c>
      <c r="D272" s="54">
        <v>40.93</v>
      </c>
      <c r="E272" s="19">
        <f t="shared" si="12"/>
        <v>1.0261421939897319E-2</v>
      </c>
      <c r="F272" s="19">
        <v>3.9554921279372435E-2</v>
      </c>
      <c r="G272" s="13">
        <f t="shared" si="13"/>
        <v>8.7736564692948438E-3</v>
      </c>
      <c r="H272" s="13">
        <f t="shared" si="14"/>
        <v>3.8067155808769959E-2</v>
      </c>
    </row>
    <row r="273" spans="2:8" ht="18" x14ac:dyDescent="0.2">
      <c r="B273" s="53">
        <v>41061</v>
      </c>
      <c r="C273" s="56">
        <v>1.3400787856630014E-3</v>
      </c>
      <c r="D273" s="54">
        <v>41.35</v>
      </c>
      <c r="E273" s="19">
        <f t="shared" si="12"/>
        <v>4.2321644498186206E-2</v>
      </c>
      <c r="F273" s="19">
        <v>1.2597639043871345E-2</v>
      </c>
      <c r="G273" s="13">
        <f t="shared" si="13"/>
        <v>4.0981565712523205E-2</v>
      </c>
      <c r="H273" s="13">
        <f t="shared" si="14"/>
        <v>1.1257560258208343E-2</v>
      </c>
    </row>
    <row r="274" spans="2:8" ht="18" x14ac:dyDescent="0.2">
      <c r="B274" s="53">
        <v>41091</v>
      </c>
      <c r="C274" s="56">
        <v>1.2661454966749197E-3</v>
      </c>
      <c r="D274" s="54">
        <v>43.1</v>
      </c>
      <c r="E274" s="19">
        <f t="shared" si="12"/>
        <v>5.6844547563805081E-2</v>
      </c>
      <c r="F274" s="19">
        <v>1.9763361656468303E-2</v>
      </c>
      <c r="G274" s="13">
        <f t="shared" si="13"/>
        <v>5.5578402067130162E-2</v>
      </c>
      <c r="H274" s="13">
        <f t="shared" si="14"/>
        <v>1.8497216159793384E-2</v>
      </c>
    </row>
    <row r="275" spans="2:8" ht="18" x14ac:dyDescent="0.2">
      <c r="B275" s="53">
        <v>41122</v>
      </c>
      <c r="C275" s="56">
        <v>1.3893343063426933E-3</v>
      </c>
      <c r="D275" s="54">
        <v>45.55</v>
      </c>
      <c r="E275" s="19">
        <f t="shared" si="12"/>
        <v>-3.9517014270032957E-3</v>
      </c>
      <c r="F275" s="19">
        <v>2.4236090375236552E-2</v>
      </c>
      <c r="G275" s="13">
        <f t="shared" si="13"/>
        <v>-5.341035733345989E-3</v>
      </c>
      <c r="H275" s="13">
        <f t="shared" si="14"/>
        <v>2.2846756068893859E-2</v>
      </c>
    </row>
    <row r="276" spans="2:8" ht="18" x14ac:dyDescent="0.2">
      <c r="B276" s="53">
        <v>41153</v>
      </c>
      <c r="C276" s="56">
        <v>1.422156520640705E-3</v>
      </c>
      <c r="D276" s="54">
        <v>45.37</v>
      </c>
      <c r="E276" s="19">
        <f t="shared" si="12"/>
        <v>4.408199250606204E-3</v>
      </c>
      <c r="F276" s="19">
        <v>-1.9789403541407791E-2</v>
      </c>
      <c r="G276" s="13">
        <f t="shared" si="13"/>
        <v>2.986042729965499E-3</v>
      </c>
      <c r="H276" s="13">
        <f t="shared" si="14"/>
        <v>-2.1211560062048496E-2</v>
      </c>
    </row>
    <row r="277" spans="2:8" ht="18" x14ac:dyDescent="0.2">
      <c r="B277" s="53">
        <v>41183</v>
      </c>
      <c r="C277" s="56">
        <v>1.4467654179763922E-3</v>
      </c>
      <c r="D277" s="54">
        <v>45.57</v>
      </c>
      <c r="E277" s="19">
        <f t="shared" si="12"/>
        <v>-9.8749177090191598E-3</v>
      </c>
      <c r="F277" s="19">
        <v>2.8467029231815655E-3</v>
      </c>
      <c r="G277" s="13">
        <f t="shared" si="13"/>
        <v>-1.1321683126995552E-2</v>
      </c>
      <c r="H277" s="13">
        <f t="shared" si="14"/>
        <v>1.3999375052051732E-3</v>
      </c>
    </row>
    <row r="278" spans="2:8" ht="18" x14ac:dyDescent="0.2">
      <c r="B278" s="53">
        <v>41214</v>
      </c>
      <c r="C278" s="56">
        <v>1.364709877352599E-3</v>
      </c>
      <c r="D278" s="54">
        <v>45.12</v>
      </c>
      <c r="E278" s="19">
        <f t="shared" si="12"/>
        <v>-5.7180851063829752E-2</v>
      </c>
      <c r="F278" s="19">
        <v>7.0683105254980561E-3</v>
      </c>
      <c r="G278" s="13">
        <f t="shared" si="13"/>
        <v>-5.8545560941182351E-2</v>
      </c>
      <c r="H278" s="13">
        <f t="shared" si="14"/>
        <v>5.7036006481454571E-3</v>
      </c>
    </row>
    <row r="279" spans="2:8" ht="18" x14ac:dyDescent="0.2">
      <c r="B279" s="53">
        <v>41244</v>
      </c>
      <c r="C279" s="56">
        <v>1.422156520640705E-3</v>
      </c>
      <c r="D279" s="54">
        <v>42.54</v>
      </c>
      <c r="E279" s="19">
        <f t="shared" si="12"/>
        <v>2.092148566055485E-2</v>
      </c>
      <c r="F279" s="19">
        <v>5.0428063581991145E-2</v>
      </c>
      <c r="G279" s="13">
        <f t="shared" si="13"/>
        <v>1.9499329139914146E-2</v>
      </c>
      <c r="H279" s="13">
        <f t="shared" si="14"/>
        <v>4.900590706135044E-2</v>
      </c>
    </row>
    <row r="280" spans="2:8" ht="18" x14ac:dyDescent="0.2">
      <c r="B280" s="53">
        <v>41275</v>
      </c>
      <c r="C280" s="56">
        <v>1.5779006482814495E-3</v>
      </c>
      <c r="D280" s="54">
        <v>43.43</v>
      </c>
      <c r="E280" s="19">
        <f t="shared" si="12"/>
        <v>4.213677181671649E-2</v>
      </c>
      <c r="F280" s="19">
        <v>1.1060603026480154E-2</v>
      </c>
      <c r="G280" s="13">
        <f t="shared" si="13"/>
        <v>4.055887116843504E-2</v>
      </c>
      <c r="H280" s="13">
        <f t="shared" si="14"/>
        <v>9.4827023781987041E-3</v>
      </c>
    </row>
    <row r="281" spans="2:8" ht="18" x14ac:dyDescent="0.2">
      <c r="B281" s="53">
        <v>41306</v>
      </c>
      <c r="C281" s="56">
        <v>1.635212974954614E-3</v>
      </c>
      <c r="D281" s="54">
        <v>45.26</v>
      </c>
      <c r="E281" s="19">
        <f t="shared" si="12"/>
        <v>9.3460008837825903E-2</v>
      </c>
      <c r="F281" s="19">
        <v>3.5987799403174314E-2</v>
      </c>
      <c r="G281" s="13">
        <f t="shared" si="13"/>
        <v>9.1824795862871289E-2</v>
      </c>
      <c r="H281" s="13">
        <f t="shared" si="14"/>
        <v>3.43525864282197E-2</v>
      </c>
    </row>
    <row r="282" spans="2:8" ht="18" x14ac:dyDescent="0.2">
      <c r="B282" s="53">
        <v>41334</v>
      </c>
      <c r="C282" s="56">
        <v>1.6188417051281601E-3</v>
      </c>
      <c r="D282" s="54">
        <v>49.49</v>
      </c>
      <c r="E282" s="19">
        <f t="shared" si="12"/>
        <v>3.091533643160238E-2</v>
      </c>
      <c r="F282" s="19">
        <v>1.8085763992887971E-2</v>
      </c>
      <c r="G282" s="13">
        <f t="shared" si="13"/>
        <v>2.929649472647422E-2</v>
      </c>
      <c r="H282" s="13">
        <f t="shared" si="14"/>
        <v>1.6466922287759811E-2</v>
      </c>
    </row>
    <row r="283" spans="2:8" ht="18" x14ac:dyDescent="0.2">
      <c r="B283" s="53">
        <v>41365</v>
      </c>
      <c r="C283" s="56">
        <v>1.4549669057570824E-3</v>
      </c>
      <c r="D283" s="54">
        <v>51.02</v>
      </c>
      <c r="E283" s="19">
        <f t="shared" si="12"/>
        <v>-1.5092120736965975E-2</v>
      </c>
      <c r="F283" s="19">
        <v>2.0762783477406455E-2</v>
      </c>
      <c r="G283" s="13">
        <f t="shared" si="13"/>
        <v>-1.6547087642723057E-2</v>
      </c>
      <c r="H283" s="13">
        <f t="shared" si="14"/>
        <v>1.9307816571649372E-2</v>
      </c>
    </row>
    <row r="284" spans="2:8" ht="18" x14ac:dyDescent="0.2">
      <c r="B284" s="53">
        <v>41395</v>
      </c>
      <c r="C284" s="56">
        <v>1.5942792801031391E-3</v>
      </c>
      <c r="D284" s="54">
        <v>50.25</v>
      </c>
      <c r="E284" s="19">
        <f t="shared" si="12"/>
        <v>-3.9800995024875663E-3</v>
      </c>
      <c r="F284" s="19">
        <v>-1.499932545960736E-2</v>
      </c>
      <c r="G284" s="13">
        <f t="shared" si="13"/>
        <v>-5.5743787825907054E-3</v>
      </c>
      <c r="H284" s="13">
        <f t="shared" si="14"/>
        <v>-1.6593604739710499E-2</v>
      </c>
    </row>
    <row r="285" spans="2:8" ht="18" x14ac:dyDescent="0.2">
      <c r="B285" s="53">
        <v>41426</v>
      </c>
      <c r="C285" s="56">
        <v>1.8967538135683526E-3</v>
      </c>
      <c r="D285" s="54">
        <v>50.05</v>
      </c>
      <c r="E285" s="19">
        <f t="shared" si="12"/>
        <v>3.4565434565434705E-2</v>
      </c>
      <c r="F285" s="19">
        <v>4.9462111213487203E-2</v>
      </c>
      <c r="G285" s="13">
        <f t="shared" si="13"/>
        <v>3.2668680751866352E-2</v>
      </c>
      <c r="H285" s="13">
        <f t="shared" si="14"/>
        <v>4.7565357399918851E-2</v>
      </c>
    </row>
    <row r="286" spans="2:8" ht="18" x14ac:dyDescent="0.2">
      <c r="B286" s="53">
        <v>41456</v>
      </c>
      <c r="C286" s="56">
        <v>2.1249875904596482E-3</v>
      </c>
      <c r="D286" s="54">
        <v>51.78</v>
      </c>
      <c r="E286" s="19">
        <f t="shared" si="12"/>
        <v>-0.11143298570876792</v>
      </c>
      <c r="F286" s="19">
        <v>-3.1298013323604601E-2</v>
      </c>
      <c r="G286" s="13">
        <f t="shared" si="13"/>
        <v>-0.11355797329922757</v>
      </c>
      <c r="H286" s="13">
        <f t="shared" si="14"/>
        <v>-3.3423000914064249E-2</v>
      </c>
    </row>
    <row r="287" spans="2:8" ht="18" x14ac:dyDescent="0.2">
      <c r="B287" s="53">
        <v>41487</v>
      </c>
      <c r="C287" s="56">
        <v>2.2551506231971441E-3</v>
      </c>
      <c r="D287" s="54">
        <v>46.01</v>
      </c>
      <c r="E287" s="19">
        <f t="shared" si="12"/>
        <v>1.6952836339926058E-2</v>
      </c>
      <c r="F287" s="19">
        <v>2.9749474883188354E-2</v>
      </c>
      <c r="G287" s="13">
        <f t="shared" si="13"/>
        <v>1.4697685716728914E-2</v>
      </c>
      <c r="H287" s="13">
        <f t="shared" si="14"/>
        <v>2.749432425999121E-2</v>
      </c>
    </row>
    <row r="288" spans="2:8" ht="18" x14ac:dyDescent="0.2">
      <c r="B288" s="53">
        <v>41518</v>
      </c>
      <c r="C288" s="56">
        <v>2.3120385290706924E-3</v>
      </c>
      <c r="D288" s="54">
        <v>46.79</v>
      </c>
      <c r="E288" s="19">
        <f t="shared" si="12"/>
        <v>1.2823252831801746E-2</v>
      </c>
      <c r="F288" s="19">
        <v>4.4595759864410889E-2</v>
      </c>
      <c r="G288" s="13">
        <f t="shared" si="13"/>
        <v>1.0511214302731053E-2</v>
      </c>
      <c r="H288" s="13">
        <f t="shared" si="14"/>
        <v>4.2283721335340196E-2</v>
      </c>
    </row>
    <row r="289" spans="2:8" ht="18" x14ac:dyDescent="0.2">
      <c r="B289" s="53">
        <v>41548</v>
      </c>
      <c r="C289" s="56">
        <v>2.157545786668047E-3</v>
      </c>
      <c r="D289" s="54">
        <v>47.39</v>
      </c>
      <c r="E289" s="19">
        <f t="shared" si="12"/>
        <v>-1.3293943870014813E-2</v>
      </c>
      <c r="F289" s="19">
        <v>2.804946087194149E-2</v>
      </c>
      <c r="G289" s="13">
        <f t="shared" si="13"/>
        <v>-1.545148965668286E-2</v>
      </c>
      <c r="H289" s="13">
        <f t="shared" si="14"/>
        <v>2.5891915085273443E-2</v>
      </c>
    </row>
    <row r="290" spans="2:8" ht="18" x14ac:dyDescent="0.2">
      <c r="B290" s="53">
        <v>41579</v>
      </c>
      <c r="C290" s="56">
        <v>2.2388904099577278E-3</v>
      </c>
      <c r="D290" s="54">
        <v>46.76</v>
      </c>
      <c r="E290" s="19">
        <f t="shared" si="12"/>
        <v>-4.0633019674934934E-3</v>
      </c>
      <c r="F290" s="19">
        <v>2.3562833299184183E-2</v>
      </c>
      <c r="G290" s="13">
        <f t="shared" si="13"/>
        <v>-6.3021923774512212E-3</v>
      </c>
      <c r="H290" s="13">
        <f t="shared" si="14"/>
        <v>2.1323942889226455E-2</v>
      </c>
    </row>
    <row r="291" spans="2:8" ht="18" x14ac:dyDescent="0.2">
      <c r="B291" s="53">
        <v>41609</v>
      </c>
      <c r="C291" s="56">
        <v>2.3851279739270925E-3</v>
      </c>
      <c r="D291" s="54">
        <v>46.57</v>
      </c>
      <c r="E291" s="19">
        <f t="shared" si="12"/>
        <v>-0.10478849044449223</v>
      </c>
      <c r="F291" s="19">
        <v>-3.5582895107013734E-2</v>
      </c>
      <c r="G291" s="13">
        <f t="shared" si="13"/>
        <v>-0.10717361841841933</v>
      </c>
      <c r="H291" s="13">
        <f t="shared" si="14"/>
        <v>-3.7968023080940827E-2</v>
      </c>
    </row>
    <row r="292" spans="2:8" ht="18" x14ac:dyDescent="0.2">
      <c r="B292" s="53">
        <v>41640</v>
      </c>
      <c r="C292" s="56">
        <v>2.3526510136486767E-3</v>
      </c>
      <c r="D292" s="54">
        <v>41.69</v>
      </c>
      <c r="E292" s="19">
        <f t="shared" si="12"/>
        <v>0.1043415687215159</v>
      </c>
      <c r="F292" s="19">
        <v>4.3117037568930705E-2</v>
      </c>
      <c r="G292" s="13">
        <f t="shared" si="13"/>
        <v>0.10198891770786722</v>
      </c>
      <c r="H292" s="13">
        <f t="shared" si="14"/>
        <v>4.0764386555282028E-2</v>
      </c>
    </row>
    <row r="293" spans="2:8" ht="18" x14ac:dyDescent="0.2">
      <c r="B293" s="53">
        <v>41671</v>
      </c>
      <c r="C293" s="56">
        <v>2.2307592150201394E-3</v>
      </c>
      <c r="D293" s="54">
        <v>46.04</v>
      </c>
      <c r="E293" s="19">
        <f t="shared" si="12"/>
        <v>-2.5195482189400487E-2</v>
      </c>
      <c r="F293" s="19">
        <v>6.9321573583585039E-3</v>
      </c>
      <c r="G293" s="13">
        <f t="shared" si="13"/>
        <v>-2.7426241404420626E-2</v>
      </c>
      <c r="H293" s="13">
        <f t="shared" si="14"/>
        <v>4.7013981433383645E-3</v>
      </c>
    </row>
    <row r="294" spans="2:8" ht="18" x14ac:dyDescent="0.2">
      <c r="B294" s="53">
        <v>41699</v>
      </c>
      <c r="C294" s="56">
        <v>2.2388904099577278E-3</v>
      </c>
      <c r="D294" s="54">
        <v>44.88</v>
      </c>
      <c r="E294" s="19">
        <f t="shared" si="12"/>
        <v>2.0499108734402638E-2</v>
      </c>
      <c r="F294" s="19">
        <v>6.2007968638175814E-3</v>
      </c>
      <c r="G294" s="13">
        <f t="shared" si="13"/>
        <v>1.826021832444491E-2</v>
      </c>
      <c r="H294" s="13">
        <f t="shared" si="14"/>
        <v>3.9619064538598536E-3</v>
      </c>
    </row>
    <row r="295" spans="2:8" ht="18" x14ac:dyDescent="0.2">
      <c r="B295" s="53">
        <v>41730</v>
      </c>
      <c r="C295" s="56">
        <v>2.2307592150201394E-3</v>
      </c>
      <c r="D295" s="54">
        <v>45.8</v>
      </c>
      <c r="E295" s="19">
        <f t="shared" si="12"/>
        <v>-8.0786026200873273E-2</v>
      </c>
      <c r="F295" s="19">
        <v>2.1030282120013677E-2</v>
      </c>
      <c r="G295" s="13">
        <f t="shared" si="13"/>
        <v>-8.3016785415893413E-2</v>
      </c>
      <c r="H295" s="13">
        <f t="shared" si="14"/>
        <v>1.8799522904993538E-2</v>
      </c>
    </row>
    <row r="296" spans="2:8" ht="18" x14ac:dyDescent="0.2">
      <c r="B296" s="53">
        <v>41760</v>
      </c>
      <c r="C296" s="56">
        <v>2.1087041279623797E-3</v>
      </c>
      <c r="D296" s="54">
        <v>42.1</v>
      </c>
      <c r="E296" s="19">
        <f t="shared" si="12"/>
        <v>2.8503562945368044E-2</v>
      </c>
      <c r="F296" s="19">
        <v>1.9058313448431896E-2</v>
      </c>
      <c r="G296" s="13">
        <f t="shared" si="13"/>
        <v>2.6394858817405664E-2</v>
      </c>
      <c r="H296" s="13">
        <f t="shared" si="14"/>
        <v>1.6949609320469516E-2</v>
      </c>
    </row>
    <row r="297" spans="2:8" ht="18" x14ac:dyDescent="0.2">
      <c r="B297" s="53">
        <v>41791</v>
      </c>
      <c r="C297" s="56">
        <v>2.1412681429993086E-3</v>
      </c>
      <c r="D297" s="54">
        <v>43.3</v>
      </c>
      <c r="E297" s="19">
        <f t="shared" si="12"/>
        <v>2.8406466512702178E-2</v>
      </c>
      <c r="F297" s="19">
        <v>-1.5079863077291922E-2</v>
      </c>
      <c r="G297" s="13">
        <f t="shared" si="13"/>
        <v>2.6265198369702869E-2</v>
      </c>
      <c r="H297" s="13">
        <f t="shared" si="14"/>
        <v>-1.722113122029123E-2</v>
      </c>
    </row>
    <row r="298" spans="2:8" ht="18" x14ac:dyDescent="0.2">
      <c r="B298" s="53">
        <v>41821</v>
      </c>
      <c r="C298" s="56">
        <v>2.0924177544194844E-3</v>
      </c>
      <c r="D298" s="54">
        <v>44.53</v>
      </c>
      <c r="E298" s="19">
        <f t="shared" si="12"/>
        <v>7.859869750729942E-3</v>
      </c>
      <c r="F298" s="19">
        <v>3.7655321727690261E-2</v>
      </c>
      <c r="G298" s="13">
        <f t="shared" si="13"/>
        <v>5.7674519963104576E-3</v>
      </c>
      <c r="H298" s="13">
        <f t="shared" si="14"/>
        <v>3.5562903973270776E-2</v>
      </c>
    </row>
    <row r="299" spans="2:8" ht="18" x14ac:dyDescent="0.2">
      <c r="B299" s="53">
        <v>41852</v>
      </c>
      <c r="C299" s="56">
        <v>1.9946383202138485E-3</v>
      </c>
      <c r="D299" s="54">
        <v>44.88</v>
      </c>
      <c r="E299" s="19">
        <f t="shared" si="12"/>
        <v>5.3030303030302983E-2</v>
      </c>
      <c r="F299" s="19">
        <v>-1.5513859147336717E-2</v>
      </c>
      <c r="G299" s="13">
        <f t="shared" si="13"/>
        <v>5.1035664710089135E-2</v>
      </c>
      <c r="H299" s="13">
        <f t="shared" si="14"/>
        <v>-1.7508497467550566E-2</v>
      </c>
    </row>
    <row r="300" spans="2:8" ht="18" x14ac:dyDescent="0.2">
      <c r="B300" s="53">
        <v>41883</v>
      </c>
      <c r="C300" s="56">
        <v>2.0842734756658654E-3</v>
      </c>
      <c r="D300" s="54">
        <v>47.26</v>
      </c>
      <c r="E300" s="19">
        <f t="shared" si="12"/>
        <v>-1.3753702920016875E-2</v>
      </c>
      <c r="F300" s="19">
        <v>2.3201456175308888E-2</v>
      </c>
      <c r="G300" s="13">
        <f t="shared" si="13"/>
        <v>-1.583797639568274E-2</v>
      </c>
      <c r="H300" s="13">
        <f t="shared" si="14"/>
        <v>2.1117182699643022E-2</v>
      </c>
    </row>
    <row r="301" spans="2:8" ht="18" x14ac:dyDescent="0.2">
      <c r="B301" s="53">
        <v>41913</v>
      </c>
      <c r="C301" s="56">
        <v>1.8967538135683526E-3</v>
      </c>
      <c r="D301" s="54">
        <v>46.61</v>
      </c>
      <c r="E301" s="19">
        <f t="shared" si="12"/>
        <v>0.19695344346706722</v>
      </c>
      <c r="F301" s="19">
        <v>2.4533584400783015E-2</v>
      </c>
      <c r="G301" s="13">
        <f t="shared" si="13"/>
        <v>0.19505668965349887</v>
      </c>
      <c r="H301" s="13">
        <f t="shared" si="14"/>
        <v>2.2636830587214662E-2</v>
      </c>
    </row>
    <row r="302" spans="2:8" ht="18" x14ac:dyDescent="0.2">
      <c r="B302" s="53">
        <v>41944</v>
      </c>
      <c r="C302" s="56">
        <v>1.921234803683225E-3</v>
      </c>
      <c r="D302" s="54">
        <v>55.79</v>
      </c>
      <c r="E302" s="19">
        <f t="shared" si="12"/>
        <v>3.3697795303818001E-2</v>
      </c>
      <c r="F302" s="19">
        <v>-4.1885120625277938E-3</v>
      </c>
      <c r="G302" s="13">
        <f t="shared" si="13"/>
        <v>3.1776560500134776E-2</v>
      </c>
      <c r="H302" s="13">
        <f t="shared" si="14"/>
        <v>-6.1097468662110188E-3</v>
      </c>
    </row>
    <row r="303" spans="2:8" ht="18" x14ac:dyDescent="0.2">
      <c r="B303" s="53">
        <v>41974</v>
      </c>
      <c r="C303" s="56">
        <v>1.8232713376404863E-3</v>
      </c>
      <c r="D303" s="54">
        <v>57.67</v>
      </c>
      <c r="E303" s="19">
        <f t="shared" si="12"/>
        <v>-3.0345066759146833E-2</v>
      </c>
      <c r="F303" s="19">
        <v>-3.1040847054252363E-2</v>
      </c>
      <c r="G303" s="13">
        <f t="shared" si="13"/>
        <v>-3.2168338096787319E-2</v>
      </c>
      <c r="H303" s="13">
        <f t="shared" si="14"/>
        <v>-3.2864118391892849E-2</v>
      </c>
    </row>
    <row r="304" spans="2:8" ht="18" x14ac:dyDescent="0.2">
      <c r="B304" s="53">
        <v>42005</v>
      </c>
      <c r="C304" s="56">
        <v>1.5533271750713951E-3</v>
      </c>
      <c r="D304" s="54">
        <v>55.92</v>
      </c>
      <c r="E304" s="19">
        <f t="shared" si="12"/>
        <v>4.3812589413447789E-2</v>
      </c>
      <c r="F304" s="19">
        <v>5.4892505726845675E-2</v>
      </c>
      <c r="G304" s="13">
        <f t="shared" si="13"/>
        <v>4.2259262238376394E-2</v>
      </c>
      <c r="H304" s="13">
        <f t="shared" si="14"/>
        <v>5.333917855177428E-2</v>
      </c>
    </row>
    <row r="305" spans="2:8" ht="18" x14ac:dyDescent="0.2">
      <c r="B305" s="53">
        <v>42036</v>
      </c>
      <c r="C305" s="56">
        <v>1.635212974954614E-3</v>
      </c>
      <c r="D305" s="54">
        <v>58.37</v>
      </c>
      <c r="E305" s="19">
        <f t="shared" si="12"/>
        <v>7.5552509850950855E-2</v>
      </c>
      <c r="F305" s="19">
        <v>-1.7396056070325572E-2</v>
      </c>
      <c r="G305" s="13">
        <f t="shared" si="13"/>
        <v>7.3917296875996241E-2</v>
      </c>
      <c r="H305" s="13">
        <f t="shared" si="14"/>
        <v>-1.9031269045280186E-2</v>
      </c>
    </row>
    <row r="306" spans="2:8" ht="18" x14ac:dyDescent="0.2">
      <c r="B306" s="53">
        <v>42064</v>
      </c>
      <c r="C306" s="56">
        <v>1.6843091316907088E-3</v>
      </c>
      <c r="D306" s="54">
        <v>62.78</v>
      </c>
      <c r="E306" s="19">
        <f t="shared" si="12"/>
        <v>-3.9503026441541911E-2</v>
      </c>
      <c r="F306" s="19">
        <v>8.5207627098153882E-3</v>
      </c>
      <c r="G306" s="13">
        <f t="shared" si="13"/>
        <v>-4.118733557323262E-2</v>
      </c>
      <c r="H306" s="13">
        <f t="shared" si="14"/>
        <v>6.8364535781246794E-3</v>
      </c>
    </row>
    <row r="307" spans="2:8" ht="18" x14ac:dyDescent="0.2">
      <c r="B307" s="53">
        <v>42095</v>
      </c>
      <c r="C307" s="56">
        <v>1.5942792801031391E-3</v>
      </c>
      <c r="D307" s="54">
        <v>60.3</v>
      </c>
      <c r="E307" s="19">
        <f t="shared" si="12"/>
        <v>6.1359867330017526E-3</v>
      </c>
      <c r="F307" s="19">
        <v>1.0491438545008114E-2</v>
      </c>
      <c r="G307" s="13">
        <f t="shared" si="13"/>
        <v>4.5417074528986134E-3</v>
      </c>
      <c r="H307" s="13">
        <f t="shared" si="14"/>
        <v>8.8971592649049747E-3</v>
      </c>
    </row>
    <row r="308" spans="2:8" ht="18" x14ac:dyDescent="0.2">
      <c r="B308" s="53">
        <v>42125</v>
      </c>
      <c r="C308" s="56">
        <v>1.8151029571964461E-3</v>
      </c>
      <c r="D308" s="54">
        <v>60.67</v>
      </c>
      <c r="E308" s="19">
        <f t="shared" si="12"/>
        <v>3.6096917751771818E-2</v>
      </c>
      <c r="F308" s="19">
        <v>-2.10117728564716E-2</v>
      </c>
      <c r="G308" s="13">
        <f t="shared" si="13"/>
        <v>3.4281814794575372E-2</v>
      </c>
      <c r="H308" s="13">
        <f t="shared" si="14"/>
        <v>-2.2826875813668046E-2</v>
      </c>
    </row>
    <row r="309" spans="2:8" ht="18" x14ac:dyDescent="0.2">
      <c r="B309" s="53">
        <v>42156</v>
      </c>
      <c r="C309" s="56">
        <v>1.945709215699809E-3</v>
      </c>
      <c r="D309" s="54">
        <v>62.86</v>
      </c>
      <c r="E309" s="19">
        <f t="shared" si="12"/>
        <v>2.7044225262489174E-3</v>
      </c>
      <c r="F309" s="19">
        <v>1.9742039930008559E-2</v>
      </c>
      <c r="G309" s="13">
        <f t="shared" si="13"/>
        <v>7.587133105491084E-4</v>
      </c>
      <c r="H309" s="13">
        <f t="shared" si="14"/>
        <v>1.779633071430875E-2</v>
      </c>
    </row>
    <row r="310" spans="2:8" ht="18" x14ac:dyDescent="0.2">
      <c r="B310" s="53">
        <v>42186</v>
      </c>
      <c r="C310" s="56">
        <v>1.913075204727166E-3</v>
      </c>
      <c r="D310" s="54">
        <v>63.03</v>
      </c>
      <c r="E310" s="19">
        <f t="shared" si="12"/>
        <v>-5.0610820244328059E-2</v>
      </c>
      <c r="F310" s="19">
        <v>-6.258080462392579E-2</v>
      </c>
      <c r="G310" s="13">
        <f t="shared" si="13"/>
        <v>-5.2523895449055225E-2</v>
      </c>
      <c r="H310" s="13">
        <f t="shared" si="14"/>
        <v>-6.4493879828652956E-2</v>
      </c>
    </row>
    <row r="311" spans="2:8" ht="18" x14ac:dyDescent="0.2">
      <c r="B311" s="53">
        <v>42217</v>
      </c>
      <c r="C311" s="56">
        <v>1.7905934192179451E-3</v>
      </c>
      <c r="D311" s="54">
        <v>59.84</v>
      </c>
      <c r="E311" s="19">
        <f t="shared" si="12"/>
        <v>1.9385026737967825E-2</v>
      </c>
      <c r="F311" s="19">
        <v>-2.6442819620927094E-2</v>
      </c>
      <c r="G311" s="13">
        <f t="shared" si="13"/>
        <v>1.759443331874988E-2</v>
      </c>
      <c r="H311" s="13">
        <f t="shared" si="14"/>
        <v>-2.8233413040145039E-2</v>
      </c>
    </row>
    <row r="312" spans="2:8" ht="18" x14ac:dyDescent="0.2">
      <c r="B312" s="53">
        <v>42248</v>
      </c>
      <c r="C312" s="56">
        <v>1.7905934192179451E-3</v>
      </c>
      <c r="D312" s="54">
        <v>61</v>
      </c>
      <c r="E312" s="19">
        <f t="shared" si="12"/>
        <v>-1.885245901639343E-2</v>
      </c>
      <c r="F312" s="19">
        <v>8.2983078389400333E-2</v>
      </c>
      <c r="G312" s="13">
        <f t="shared" si="13"/>
        <v>-2.0643052435611375E-2</v>
      </c>
      <c r="H312" s="13">
        <f t="shared" si="14"/>
        <v>8.1192484970182388E-2</v>
      </c>
    </row>
    <row r="313" spans="2:8" ht="18" x14ac:dyDescent="0.2">
      <c r="B313" s="53">
        <v>42278</v>
      </c>
      <c r="C313" s="56">
        <v>1.7088472872288651E-3</v>
      </c>
      <c r="D313" s="54">
        <v>59.85</v>
      </c>
      <c r="E313" s="19">
        <f t="shared" si="12"/>
        <v>-6.0651629072681734E-2</v>
      </c>
      <c r="F313" s="19">
        <v>5.0496306555847248E-4</v>
      </c>
      <c r="G313" s="13">
        <f t="shared" si="13"/>
        <v>-6.2360476359910599E-2</v>
      </c>
      <c r="H313" s="13">
        <f t="shared" si="14"/>
        <v>-1.2038842216703927E-3</v>
      </c>
    </row>
    <row r="314" spans="2:8" ht="18" x14ac:dyDescent="0.2">
      <c r="B314" s="53">
        <v>42309</v>
      </c>
      <c r="C314" s="56">
        <v>1.8641022544263475E-3</v>
      </c>
      <c r="D314" s="54">
        <v>56.22</v>
      </c>
      <c r="E314" s="19">
        <f t="shared" si="12"/>
        <v>9.4272500889363009E-3</v>
      </c>
      <c r="F314" s="19">
        <v>-1.7530198374358763E-2</v>
      </c>
      <c r="G314" s="13">
        <f t="shared" si="13"/>
        <v>7.5631478345099534E-3</v>
      </c>
      <c r="H314" s="13">
        <f t="shared" si="14"/>
        <v>-1.9394300628785111E-2</v>
      </c>
    </row>
    <row r="315" spans="2:8" ht="18" x14ac:dyDescent="0.2">
      <c r="B315" s="53">
        <v>42339</v>
      </c>
      <c r="C315" s="56">
        <v>1.8477720842495771E-3</v>
      </c>
      <c r="D315" s="54">
        <v>56.75</v>
      </c>
      <c r="E315" s="19">
        <f t="shared" si="12"/>
        <v>-2.6431718061673548E-3</v>
      </c>
      <c r="F315" s="19">
        <v>-5.0735344481736222E-2</v>
      </c>
      <c r="G315" s="13">
        <f t="shared" si="13"/>
        <v>-4.4909438904169319E-3</v>
      </c>
      <c r="H315" s="13">
        <f t="shared" si="14"/>
        <v>-5.2583116565985799E-2</v>
      </c>
    </row>
    <row r="316" spans="2:8" ht="18" x14ac:dyDescent="0.2">
      <c r="B316" s="53">
        <v>42370</v>
      </c>
      <c r="C316" s="56">
        <v>1.7252023849956277E-3</v>
      </c>
      <c r="D316" s="54">
        <v>56.6</v>
      </c>
      <c r="E316" s="19">
        <f t="shared" si="12"/>
        <v>8.3215547703180182E-2</v>
      </c>
      <c r="F316" s="19">
        <v>-4.1283552550199776E-3</v>
      </c>
      <c r="G316" s="13">
        <f t="shared" si="13"/>
        <v>8.1490345318184554E-2</v>
      </c>
      <c r="H316" s="13">
        <f t="shared" si="14"/>
        <v>-5.8535576400156053E-3</v>
      </c>
    </row>
    <row r="317" spans="2:8" ht="18" x14ac:dyDescent="0.2">
      <c r="B317" s="53">
        <v>42401</v>
      </c>
      <c r="C317" s="56">
        <v>1.4713676651572083E-3</v>
      </c>
      <c r="D317" s="54">
        <v>61.31</v>
      </c>
      <c r="E317" s="19">
        <f t="shared" si="12"/>
        <v>5.7576251834937198E-2</v>
      </c>
      <c r="F317" s="19">
        <v>6.5991108718941094E-2</v>
      </c>
      <c r="G317" s="13">
        <f t="shared" si="13"/>
        <v>5.6104884169779989E-2</v>
      </c>
      <c r="H317" s="13">
        <f t="shared" si="14"/>
        <v>6.4519741053783886E-2</v>
      </c>
    </row>
    <row r="318" spans="2:8" ht="18" x14ac:dyDescent="0.2">
      <c r="B318" s="53">
        <v>42430</v>
      </c>
      <c r="C318" s="56">
        <v>1.5615190697231274E-3</v>
      </c>
      <c r="D318" s="54">
        <v>64.84</v>
      </c>
      <c r="E318" s="19">
        <f t="shared" si="12"/>
        <v>-3.3775447254781099E-2</v>
      </c>
      <c r="F318" s="19">
        <v>2.69936982337593E-3</v>
      </c>
      <c r="G318" s="13">
        <f t="shared" si="13"/>
        <v>-3.5336966324504226E-2</v>
      </c>
      <c r="H318" s="13">
        <f t="shared" si="14"/>
        <v>1.1378507536528026E-3</v>
      </c>
    </row>
    <row r="319" spans="2:8" ht="18" x14ac:dyDescent="0.2">
      <c r="B319" s="53">
        <v>42461</v>
      </c>
      <c r="C319" s="56">
        <v>1.4959632659397037E-3</v>
      </c>
      <c r="D319" s="54">
        <v>62.65</v>
      </c>
      <c r="E319" s="19">
        <f t="shared" si="12"/>
        <v>-0.13487629688747005</v>
      </c>
      <c r="F319" s="19">
        <v>1.5324650171887777E-2</v>
      </c>
      <c r="G319" s="13">
        <f t="shared" si="13"/>
        <v>-0.13637226015340975</v>
      </c>
      <c r="H319" s="13">
        <f t="shared" si="14"/>
        <v>1.3828686905948073E-2</v>
      </c>
    </row>
    <row r="320" spans="2:8" ht="18" x14ac:dyDescent="0.2">
      <c r="B320" s="53">
        <v>42491</v>
      </c>
      <c r="C320" s="56">
        <v>1.4959632659397037E-3</v>
      </c>
      <c r="D320" s="54">
        <v>54.2</v>
      </c>
      <c r="E320" s="19">
        <f t="shared" si="12"/>
        <v>2.2878228782287735E-2</v>
      </c>
      <c r="F320" s="19">
        <v>9.1084670593022388E-4</v>
      </c>
      <c r="G320" s="13">
        <f t="shared" si="13"/>
        <v>2.1382265516348031E-2</v>
      </c>
      <c r="H320" s="13">
        <f t="shared" si="14"/>
        <v>-5.8511656000947987E-4</v>
      </c>
    </row>
    <row r="321" spans="2:8" ht="18" x14ac:dyDescent="0.2">
      <c r="B321" s="53">
        <v>42522</v>
      </c>
      <c r="C321" s="56">
        <v>1.3565002539421833E-3</v>
      </c>
      <c r="D321" s="54">
        <v>55.44</v>
      </c>
      <c r="E321" s="19">
        <f t="shared" si="12"/>
        <v>7.9004329004328966E-2</v>
      </c>
      <c r="F321" s="19">
        <v>3.5609807228685897E-2</v>
      </c>
      <c r="G321" s="13">
        <f t="shared" si="13"/>
        <v>7.7647828750386783E-2</v>
      </c>
      <c r="H321" s="13">
        <f t="shared" si="14"/>
        <v>3.4253306974743714E-2</v>
      </c>
    </row>
    <row r="322" spans="2:8" ht="18" x14ac:dyDescent="0.2">
      <c r="B322" s="53">
        <v>42552</v>
      </c>
      <c r="C322" s="56">
        <v>1.2414877164492744E-3</v>
      </c>
      <c r="D322" s="54">
        <v>59.82</v>
      </c>
      <c r="E322" s="19">
        <f t="shared" si="12"/>
        <v>-6.8204613841524542E-2</v>
      </c>
      <c r="F322" s="19">
        <v>-1.2191755612808164E-3</v>
      </c>
      <c r="G322" s="13">
        <f t="shared" si="13"/>
        <v>-6.9446101557973816E-2</v>
      </c>
      <c r="H322" s="13">
        <f t="shared" si="14"/>
        <v>-2.4606632777300907E-3</v>
      </c>
    </row>
    <row r="323" spans="2:8" ht="18" x14ac:dyDescent="0.2">
      <c r="B323" s="53">
        <v>42583</v>
      </c>
      <c r="C323" s="56">
        <v>1.2907965990995862E-3</v>
      </c>
      <c r="D323" s="54">
        <v>55.74</v>
      </c>
      <c r="E323" s="19">
        <f t="shared" si="12"/>
        <v>-1.3814137064944387E-2</v>
      </c>
      <c r="F323" s="19">
        <v>-1.2344825997834263E-3</v>
      </c>
      <c r="G323" s="13">
        <f t="shared" si="13"/>
        <v>-1.5104933664043974E-2</v>
      </c>
      <c r="H323" s="13">
        <f t="shared" si="14"/>
        <v>-2.5252791988830126E-3</v>
      </c>
    </row>
    <row r="324" spans="2:8" ht="18" x14ac:dyDescent="0.2">
      <c r="B324" s="53">
        <v>42614</v>
      </c>
      <c r="C324" s="56">
        <v>1.3482898900922802E-3</v>
      </c>
      <c r="D324" s="54">
        <v>54.97</v>
      </c>
      <c r="E324" s="19">
        <f t="shared" si="12"/>
        <v>7.2766963798431838E-4</v>
      </c>
      <c r="F324" s="19">
        <v>-1.9425625037472249E-2</v>
      </c>
      <c r="G324" s="13">
        <f t="shared" si="13"/>
        <v>-6.2062025210796179E-4</v>
      </c>
      <c r="H324" s="13">
        <f t="shared" si="14"/>
        <v>-2.077391492756453E-2</v>
      </c>
    </row>
    <row r="325" spans="2:8" ht="18" x14ac:dyDescent="0.2">
      <c r="B325" s="53">
        <v>42644</v>
      </c>
      <c r="C325" s="56">
        <v>1.4549669057570824E-3</v>
      </c>
      <c r="D325" s="54">
        <v>55.01</v>
      </c>
      <c r="E325" s="19">
        <f t="shared" ref="E325:E388" si="15">D326/D325-1</f>
        <v>0.12379567351390652</v>
      </c>
      <c r="F325" s="19">
        <v>3.4174446769983158E-2</v>
      </c>
      <c r="G325" s="13">
        <f t="shared" ref="G325:G388" si="16">E325-C325</f>
        <v>0.12234070660814944</v>
      </c>
      <c r="H325" s="13">
        <f t="shared" ref="H325:H388" si="17">F325-C325</f>
        <v>3.2719479864226075E-2</v>
      </c>
    </row>
    <row r="326" spans="2:8" ht="18" x14ac:dyDescent="0.2">
      <c r="B326" s="53">
        <v>42675</v>
      </c>
      <c r="C326" s="56">
        <v>1.7660772833825167E-3</v>
      </c>
      <c r="D326" s="54">
        <v>61.82</v>
      </c>
      <c r="E326" s="19">
        <f t="shared" si="15"/>
        <v>-5.6939501779359469E-2</v>
      </c>
      <c r="F326" s="19">
        <v>1.8200754044233047E-2</v>
      </c>
      <c r="G326" s="13">
        <f t="shared" si="16"/>
        <v>-5.8705579062741986E-2</v>
      </c>
      <c r="H326" s="13">
        <f t="shared" si="17"/>
        <v>1.6434676760850531E-2</v>
      </c>
    </row>
    <row r="327" spans="2:8" ht="18" x14ac:dyDescent="0.2">
      <c r="B327" s="53">
        <v>42705</v>
      </c>
      <c r="C327" s="56">
        <v>2.051689077593899E-3</v>
      </c>
      <c r="D327" s="54">
        <v>58.3</v>
      </c>
      <c r="E327" s="19">
        <f t="shared" si="15"/>
        <v>-0.10720411663807894</v>
      </c>
      <c r="F327" s="19">
        <v>1.7884341374735824E-2</v>
      </c>
      <c r="G327" s="13">
        <f t="shared" si="16"/>
        <v>-0.10925580571567284</v>
      </c>
      <c r="H327" s="13">
        <f t="shared" si="17"/>
        <v>1.5832652297141925E-2</v>
      </c>
    </row>
    <row r="328" spans="2:8" ht="18" x14ac:dyDescent="0.2">
      <c r="B328" s="53">
        <v>42736</v>
      </c>
      <c r="C328" s="56">
        <v>2.0027906163269105E-3</v>
      </c>
      <c r="D328" s="54">
        <v>52.05</v>
      </c>
      <c r="E328" s="19">
        <f t="shared" si="15"/>
        <v>-8.8568683957732985E-2</v>
      </c>
      <c r="F328" s="19">
        <v>3.7198260541408734E-2</v>
      </c>
      <c r="G328" s="13">
        <f t="shared" si="16"/>
        <v>-9.0571474574059896E-2</v>
      </c>
      <c r="H328" s="13">
        <f t="shared" si="17"/>
        <v>3.5195469925081824E-2</v>
      </c>
    </row>
    <row r="329" spans="2:8" ht="18" x14ac:dyDescent="0.2">
      <c r="B329" s="53">
        <v>42767</v>
      </c>
      <c r="C329" s="56">
        <v>1.9946383202138485E-3</v>
      </c>
      <c r="D329" s="54">
        <v>47.44</v>
      </c>
      <c r="E329" s="19">
        <f t="shared" si="15"/>
        <v>-5.227655986509272E-2</v>
      </c>
      <c r="F329" s="19">
        <v>-3.8923017041514463E-4</v>
      </c>
      <c r="G329" s="13">
        <f t="shared" si="16"/>
        <v>-5.4271198185306568E-2</v>
      </c>
      <c r="H329" s="13">
        <f t="shared" si="17"/>
        <v>-2.3838684906289931E-3</v>
      </c>
    </row>
    <row r="330" spans="2:8" ht="18" x14ac:dyDescent="0.2">
      <c r="B330" s="53">
        <v>42795</v>
      </c>
      <c r="C330" s="56">
        <v>2.043541156630635E-3</v>
      </c>
      <c r="D330" s="54">
        <v>44.96</v>
      </c>
      <c r="E330" s="19">
        <f t="shared" si="15"/>
        <v>1.2010676156583688E-2</v>
      </c>
      <c r="F330" s="19">
        <v>9.0912169025529899E-3</v>
      </c>
      <c r="G330" s="13">
        <f t="shared" si="16"/>
        <v>9.9671349999530534E-3</v>
      </c>
      <c r="H330" s="13">
        <f t="shared" si="17"/>
        <v>7.0476757459223549E-3</v>
      </c>
    </row>
    <row r="331" spans="2:8" ht="18" x14ac:dyDescent="0.2">
      <c r="B331" s="53">
        <v>42826</v>
      </c>
      <c r="C331" s="56">
        <v>1.7987639981225101E-3</v>
      </c>
      <c r="D331" s="54">
        <v>45.5</v>
      </c>
      <c r="E331" s="19">
        <f t="shared" si="15"/>
        <v>-1.252747252747255E-2</v>
      </c>
      <c r="F331" s="19">
        <v>1.1576210049492719E-2</v>
      </c>
      <c r="G331" s="13">
        <f t="shared" si="16"/>
        <v>-1.432623652559506E-2</v>
      </c>
      <c r="H331" s="13">
        <f t="shared" si="17"/>
        <v>9.7774460513702088E-3</v>
      </c>
    </row>
    <row r="332" spans="2:8" ht="18" x14ac:dyDescent="0.2">
      <c r="B332" s="53">
        <v>42856</v>
      </c>
      <c r="C332" s="56">
        <v>1.8967538135683526E-3</v>
      </c>
      <c r="D332" s="54">
        <v>44.93</v>
      </c>
      <c r="E332" s="19">
        <f t="shared" si="15"/>
        <v>-4.1620298241709319E-2</v>
      </c>
      <c r="F332" s="19">
        <v>4.8138319927024664E-3</v>
      </c>
      <c r="G332" s="13">
        <f t="shared" si="16"/>
        <v>-4.3517052055277672E-2</v>
      </c>
      <c r="H332" s="13">
        <f t="shared" si="17"/>
        <v>2.9170781791341138E-3</v>
      </c>
    </row>
    <row r="333" spans="2:8" ht="18" x14ac:dyDescent="0.2">
      <c r="B333" s="53">
        <v>42887</v>
      </c>
      <c r="C333" s="56">
        <v>1.8069338440696026E-3</v>
      </c>
      <c r="D333" s="54">
        <v>43.06</v>
      </c>
      <c r="E333" s="19">
        <f t="shared" si="15"/>
        <v>8.3836507199256838E-2</v>
      </c>
      <c r="F333" s="19">
        <v>1.9348768883515444E-2</v>
      </c>
      <c r="G333" s="13">
        <f t="shared" si="16"/>
        <v>8.2029573355187235E-2</v>
      </c>
      <c r="H333" s="13">
        <f t="shared" si="17"/>
        <v>1.7541835039445841E-2</v>
      </c>
    </row>
    <row r="334" spans="2:8" ht="18" x14ac:dyDescent="0.2">
      <c r="B334" s="53">
        <v>42917</v>
      </c>
      <c r="C334" s="56">
        <v>1.913075204727166E-3</v>
      </c>
      <c r="D334" s="54">
        <v>46.67</v>
      </c>
      <c r="E334" s="19">
        <f t="shared" si="15"/>
        <v>-3.7711592029140872E-2</v>
      </c>
      <c r="F334" s="19">
        <v>5.4649232886694321E-4</v>
      </c>
      <c r="G334" s="13">
        <f t="shared" si="16"/>
        <v>-3.9624667233868038E-2</v>
      </c>
      <c r="H334" s="13">
        <f t="shared" si="17"/>
        <v>-1.3665828758602228E-3</v>
      </c>
    </row>
    <row r="335" spans="2:8" ht="18" x14ac:dyDescent="0.2">
      <c r="B335" s="53">
        <v>42948</v>
      </c>
      <c r="C335" s="56">
        <v>1.8232713376404863E-3</v>
      </c>
      <c r="D335" s="54">
        <v>44.91</v>
      </c>
      <c r="E335" s="19">
        <f t="shared" si="15"/>
        <v>9.4188376753507219E-2</v>
      </c>
      <c r="F335" s="19">
        <v>1.9302894827342154E-2</v>
      </c>
      <c r="G335" s="13">
        <f t="shared" si="16"/>
        <v>9.2365105415866733E-2</v>
      </c>
      <c r="H335" s="13">
        <f t="shared" si="17"/>
        <v>1.7479623489701668E-2</v>
      </c>
    </row>
    <row r="336" spans="2:8" ht="18" x14ac:dyDescent="0.2">
      <c r="B336" s="53">
        <v>42979</v>
      </c>
      <c r="C336" s="56">
        <v>1.8151029571964461E-3</v>
      </c>
      <c r="D336" s="54">
        <v>49.14</v>
      </c>
      <c r="E336" s="19">
        <f t="shared" si="15"/>
        <v>6.1050061050060833E-4</v>
      </c>
      <c r="F336" s="19">
        <v>2.2188174774546043E-2</v>
      </c>
      <c r="G336" s="13">
        <f t="shared" si="16"/>
        <v>-1.2046023466958378E-3</v>
      </c>
      <c r="H336" s="13">
        <f t="shared" si="17"/>
        <v>2.0373071817349597E-2</v>
      </c>
    </row>
    <row r="337" spans="2:8" ht="18" x14ac:dyDescent="0.2">
      <c r="B337" s="53">
        <v>43009</v>
      </c>
      <c r="C337" s="56">
        <v>1.945709215699809E-3</v>
      </c>
      <c r="D337" s="54">
        <v>49.17</v>
      </c>
      <c r="E337" s="19">
        <f t="shared" si="15"/>
        <v>1.4439699003457429E-2</v>
      </c>
      <c r="F337" s="19">
        <v>2.8082601368405458E-2</v>
      </c>
      <c r="G337" s="13">
        <f t="shared" si="16"/>
        <v>1.249398978775762E-2</v>
      </c>
      <c r="H337" s="13">
        <f t="shared" si="17"/>
        <v>2.6136892152705649E-2</v>
      </c>
    </row>
    <row r="338" spans="2:8" ht="18" x14ac:dyDescent="0.2">
      <c r="B338" s="53">
        <v>43040</v>
      </c>
      <c r="C338" s="56">
        <v>1.937551809032545E-3</v>
      </c>
      <c r="D338" s="54">
        <v>49.88</v>
      </c>
      <c r="E338" s="19">
        <f t="shared" si="15"/>
        <v>0.10064153969526846</v>
      </c>
      <c r="F338" s="19">
        <v>9.8316198188534987E-3</v>
      </c>
      <c r="G338" s="13">
        <f t="shared" si="16"/>
        <v>9.8703987886235911E-2</v>
      </c>
      <c r="H338" s="13">
        <f t="shared" si="17"/>
        <v>7.8940680098209537E-3</v>
      </c>
    </row>
    <row r="339" spans="2:8" ht="18" x14ac:dyDescent="0.2">
      <c r="B339" s="53">
        <v>43070</v>
      </c>
      <c r="C339" s="56">
        <v>1.9783315388433032E-3</v>
      </c>
      <c r="D339" s="54">
        <v>54.9</v>
      </c>
      <c r="E339" s="19">
        <f t="shared" si="15"/>
        <v>0.15282331511839709</v>
      </c>
      <c r="F339" s="19">
        <v>5.6178724645703726E-2</v>
      </c>
      <c r="G339" s="13">
        <f t="shared" si="16"/>
        <v>0.15084498357955378</v>
      </c>
      <c r="H339" s="13">
        <f t="shared" si="17"/>
        <v>5.4200393106860423E-2</v>
      </c>
    </row>
    <row r="340" spans="2:8" ht="18" x14ac:dyDescent="0.2">
      <c r="B340" s="53">
        <v>43101</v>
      </c>
      <c r="C340" s="56">
        <v>2.1249875904596482E-3</v>
      </c>
      <c r="D340" s="54">
        <v>63.29</v>
      </c>
      <c r="E340" s="19">
        <f t="shared" si="15"/>
        <v>2.5280455048191097E-3</v>
      </c>
      <c r="F340" s="19">
        <v>-3.8947379604151844E-2</v>
      </c>
      <c r="G340" s="13">
        <f t="shared" si="16"/>
        <v>4.0305791435946148E-4</v>
      </c>
      <c r="H340" s="13">
        <f t="shared" si="17"/>
        <v>-4.1072367194611492E-2</v>
      </c>
    </row>
    <row r="341" spans="2:8" ht="18" x14ac:dyDescent="0.2">
      <c r="B341" s="53">
        <v>43132</v>
      </c>
      <c r="C341" s="56">
        <v>2.3526510136486767E-3</v>
      </c>
      <c r="D341" s="54">
        <v>63.45</v>
      </c>
      <c r="E341" s="19">
        <f t="shared" si="15"/>
        <v>-7.171000788022075E-2</v>
      </c>
      <c r="F341" s="19">
        <v>-2.6884513768364315E-2</v>
      </c>
      <c r="G341" s="13">
        <f t="shared" si="16"/>
        <v>-7.4062658893869426E-2</v>
      </c>
      <c r="H341" s="13">
        <f t="shared" si="17"/>
        <v>-2.9237164782012992E-2</v>
      </c>
    </row>
    <row r="342" spans="2:8" ht="18" x14ac:dyDescent="0.2">
      <c r="B342" s="53">
        <v>43160</v>
      </c>
      <c r="C342" s="56">
        <v>2.3364081918575419E-3</v>
      </c>
      <c r="D342" s="54">
        <v>58.9</v>
      </c>
      <c r="E342" s="19">
        <f t="shared" si="15"/>
        <v>4.567062818336165E-2</v>
      </c>
      <c r="F342" s="19">
        <v>2.718801001185378E-3</v>
      </c>
      <c r="G342" s="13">
        <f t="shared" si="16"/>
        <v>4.3334219991504108E-2</v>
      </c>
      <c r="H342" s="13">
        <f t="shared" si="17"/>
        <v>3.8239280932783615E-4</v>
      </c>
    </row>
    <row r="343" spans="2:8" ht="18" x14ac:dyDescent="0.2">
      <c r="B343" s="53">
        <v>43191</v>
      </c>
      <c r="C343" s="56">
        <v>2.3607713389290907E-3</v>
      </c>
      <c r="D343" s="54">
        <v>61.59</v>
      </c>
      <c r="E343" s="19">
        <f t="shared" si="15"/>
        <v>4.0591005033283611E-3</v>
      </c>
      <c r="F343" s="19">
        <v>2.1608353316591389E-2</v>
      </c>
      <c r="G343" s="13">
        <f t="shared" si="16"/>
        <v>1.6983291643992704E-3</v>
      </c>
      <c r="H343" s="13">
        <f t="shared" si="17"/>
        <v>1.9247581977662298E-2</v>
      </c>
    </row>
    <row r="344" spans="2:8" ht="18" x14ac:dyDescent="0.2">
      <c r="B344" s="53">
        <v>43221</v>
      </c>
      <c r="C344" s="56">
        <v>2.4500471914443711E-3</v>
      </c>
      <c r="D344" s="54">
        <v>61.84</v>
      </c>
      <c r="E344" s="19">
        <f t="shared" si="15"/>
        <v>5.3201811125485055E-2</v>
      </c>
      <c r="F344" s="19">
        <v>4.8424002040461378E-3</v>
      </c>
      <c r="G344" s="13">
        <f t="shared" si="16"/>
        <v>5.0751763934040683E-2</v>
      </c>
      <c r="H344" s="13">
        <f t="shared" si="17"/>
        <v>2.3923530126017667E-3</v>
      </c>
    </row>
    <row r="345" spans="2:8" ht="18" x14ac:dyDescent="0.2">
      <c r="B345" s="53">
        <v>43252</v>
      </c>
      <c r="C345" s="56">
        <v>2.3932454057613572E-3</v>
      </c>
      <c r="D345" s="54">
        <v>65.13</v>
      </c>
      <c r="E345" s="19">
        <f t="shared" si="15"/>
        <v>5.9880239520958112E-2</v>
      </c>
      <c r="F345" s="19">
        <v>3.6021586465418753E-2</v>
      </c>
      <c r="G345" s="13">
        <f t="shared" si="16"/>
        <v>5.7486994115196755E-2</v>
      </c>
      <c r="H345" s="13">
        <f t="shared" si="17"/>
        <v>3.3628341059657396E-2</v>
      </c>
    </row>
    <row r="346" spans="2:8" ht="18" x14ac:dyDescent="0.2">
      <c r="B346" s="53">
        <v>43282</v>
      </c>
      <c r="C346" s="56">
        <v>2.3770098189335176E-3</v>
      </c>
      <c r="D346" s="54">
        <v>69.03</v>
      </c>
      <c r="E346" s="19">
        <f t="shared" si="15"/>
        <v>8.4600898160220206E-2</v>
      </c>
      <c r="F346" s="19">
        <v>3.0263218631604083E-2</v>
      </c>
      <c r="G346" s="13">
        <f t="shared" si="16"/>
        <v>8.2223888341286688E-2</v>
      </c>
      <c r="H346" s="13">
        <f t="shared" si="17"/>
        <v>2.7886208812670565E-2</v>
      </c>
    </row>
    <row r="347" spans="2:8" ht="18" x14ac:dyDescent="0.2">
      <c r="B347" s="53">
        <v>43313</v>
      </c>
      <c r="C347" s="56">
        <v>2.3770098189335176E-3</v>
      </c>
      <c r="D347" s="54">
        <v>74.87</v>
      </c>
      <c r="E347" s="19">
        <f t="shared" si="15"/>
        <v>1.6027781487912174E-2</v>
      </c>
      <c r="F347" s="19">
        <v>4.2943009181395375E-3</v>
      </c>
      <c r="G347" s="13">
        <f t="shared" si="16"/>
        <v>1.3650771668978656E-2</v>
      </c>
      <c r="H347" s="13">
        <f t="shared" si="17"/>
        <v>1.9172910992060199E-3</v>
      </c>
    </row>
    <row r="348" spans="2:8" ht="18" x14ac:dyDescent="0.2">
      <c r="B348" s="53">
        <v>43344</v>
      </c>
      <c r="C348" s="56">
        <v>2.4662697723036864E-3</v>
      </c>
      <c r="D348" s="54">
        <v>76.069999999999993</v>
      </c>
      <c r="E348" s="19">
        <f t="shared" si="15"/>
        <v>-5.1925857762586958E-2</v>
      </c>
      <c r="F348" s="19">
        <v>-6.9403358979814644E-2</v>
      </c>
      <c r="G348" s="13">
        <f t="shared" si="16"/>
        <v>-5.4392127534890644E-2</v>
      </c>
      <c r="H348" s="13">
        <f t="shared" si="17"/>
        <v>-7.1869628752118331E-2</v>
      </c>
    </row>
    <row r="349" spans="2:8" ht="18" x14ac:dyDescent="0.2">
      <c r="B349" s="53">
        <v>43374</v>
      </c>
      <c r="C349" s="56">
        <v>2.587847171547919E-3</v>
      </c>
      <c r="D349" s="54">
        <v>72.12</v>
      </c>
      <c r="E349" s="19">
        <f t="shared" si="15"/>
        <v>-0.15155296727676104</v>
      </c>
      <c r="F349" s="19">
        <v>1.785938179914015E-2</v>
      </c>
      <c r="G349" s="13">
        <f t="shared" si="16"/>
        <v>-0.15414081444830896</v>
      </c>
      <c r="H349" s="13">
        <f t="shared" si="17"/>
        <v>1.5271534627592231E-2</v>
      </c>
    </row>
    <row r="350" spans="2:8" ht="18" x14ac:dyDescent="0.2">
      <c r="B350" s="53">
        <v>43405</v>
      </c>
      <c r="C350" s="56">
        <v>2.5635446626290914E-3</v>
      </c>
      <c r="D350" s="54">
        <v>61.19</v>
      </c>
      <c r="E350" s="19">
        <f t="shared" si="15"/>
        <v>-6.0794247426049997E-2</v>
      </c>
      <c r="F350" s="19">
        <v>-9.1776955767217339E-2</v>
      </c>
      <c r="G350" s="13">
        <f t="shared" si="16"/>
        <v>-6.3357792088679088E-2</v>
      </c>
      <c r="H350" s="13">
        <f t="shared" si="17"/>
        <v>-9.434050042984643E-2</v>
      </c>
    </row>
    <row r="351" spans="2:8" ht="18" x14ac:dyDescent="0.2">
      <c r="B351" s="53">
        <v>43435</v>
      </c>
      <c r="C351" s="56">
        <v>2.3282856950768149E-3</v>
      </c>
      <c r="D351" s="54">
        <v>57.47</v>
      </c>
      <c r="E351" s="19">
        <f t="shared" si="15"/>
        <v>0.10440229685053071</v>
      </c>
      <c r="F351" s="19">
        <v>7.8684404731036883E-2</v>
      </c>
      <c r="G351" s="13">
        <f t="shared" si="16"/>
        <v>0.10207401115545389</v>
      </c>
      <c r="H351" s="13">
        <f t="shared" si="17"/>
        <v>7.6356119035960068E-2</v>
      </c>
    </row>
    <row r="352" spans="2:8" ht="18" x14ac:dyDescent="0.2">
      <c r="B352" s="53">
        <v>43466</v>
      </c>
      <c r="C352" s="56">
        <v>2.2307592150201394E-3</v>
      </c>
      <c r="D352" s="54">
        <v>63.47</v>
      </c>
      <c r="E352" s="19">
        <f t="shared" si="15"/>
        <v>-4.8841972585473847E-3</v>
      </c>
      <c r="F352" s="19">
        <v>2.9728930143116061E-2</v>
      </c>
      <c r="G352" s="13">
        <f t="shared" si="16"/>
        <v>-7.1149564735675241E-3</v>
      </c>
      <c r="H352" s="13">
        <f t="shared" si="17"/>
        <v>2.7498170928095922E-2</v>
      </c>
    </row>
    <row r="353" spans="2:8" ht="18" x14ac:dyDescent="0.2">
      <c r="B353" s="53">
        <v>43497</v>
      </c>
      <c r="C353" s="56">
        <v>2.206361275312263E-3</v>
      </c>
      <c r="D353" s="54">
        <v>63.16</v>
      </c>
      <c r="E353" s="19">
        <f t="shared" si="15"/>
        <v>0.11478784040531975</v>
      </c>
      <c r="F353" s="19">
        <v>1.7924287751078349E-2</v>
      </c>
      <c r="G353" s="13">
        <f t="shared" si="16"/>
        <v>0.11258147913000749</v>
      </c>
      <c r="H353" s="13">
        <f t="shared" si="17"/>
        <v>1.5717926475766086E-2</v>
      </c>
    </row>
    <row r="354" spans="2:8" ht="18" x14ac:dyDescent="0.2">
      <c r="B354" s="53">
        <v>43525</v>
      </c>
      <c r="C354" s="56">
        <v>2.1168462230236607E-3</v>
      </c>
      <c r="D354" s="54">
        <v>70.41</v>
      </c>
      <c r="E354" s="19">
        <f t="shared" si="15"/>
        <v>-3.5506320124982227E-2</v>
      </c>
      <c r="F354" s="19">
        <v>3.9313434942139347E-2</v>
      </c>
      <c r="G354" s="13">
        <f t="shared" si="16"/>
        <v>-3.7623166348005888E-2</v>
      </c>
      <c r="H354" s="13">
        <f t="shared" si="17"/>
        <v>3.7196588719115686E-2</v>
      </c>
    </row>
    <row r="355" spans="2:8" ht="18" x14ac:dyDescent="0.2">
      <c r="B355" s="53">
        <v>43556</v>
      </c>
      <c r="C355" s="56">
        <v>2.0842734756658654E-3</v>
      </c>
      <c r="D355" s="54">
        <v>67.91</v>
      </c>
      <c r="E355" s="19">
        <f t="shared" si="15"/>
        <v>3.9169489029597937E-2</v>
      </c>
      <c r="F355" s="19">
        <v>-6.5777726481161536E-2</v>
      </c>
      <c r="G355" s="13">
        <f t="shared" si="16"/>
        <v>3.7085215553932072E-2</v>
      </c>
      <c r="H355" s="13">
        <f t="shared" si="17"/>
        <v>-6.7861999956827401E-2</v>
      </c>
    </row>
    <row r="356" spans="2:8" ht="18" x14ac:dyDescent="0.2">
      <c r="B356" s="53">
        <v>43586</v>
      </c>
      <c r="C356" s="56">
        <v>1.970177053312705E-3</v>
      </c>
      <c r="D356" s="54">
        <v>70.569999999999993</v>
      </c>
      <c r="E356" s="19">
        <f t="shared" si="15"/>
        <v>8.6297293467479053E-2</v>
      </c>
      <c r="F356" s="19">
        <v>6.8930183208214979E-2</v>
      </c>
      <c r="G356" s="13">
        <f t="shared" si="16"/>
        <v>8.4327116414166348E-2</v>
      </c>
      <c r="H356" s="13">
        <f t="shared" si="17"/>
        <v>6.6960006154902274E-2</v>
      </c>
    </row>
    <row r="357" spans="2:8" ht="18" x14ac:dyDescent="0.2">
      <c r="B357" s="53">
        <v>43617</v>
      </c>
      <c r="C357" s="56">
        <v>1.7088472872288651E-3</v>
      </c>
      <c r="D357" s="54">
        <v>76.66</v>
      </c>
      <c r="E357" s="19">
        <f t="shared" si="15"/>
        <v>-2.4784763892512496E-3</v>
      </c>
      <c r="F357" s="19">
        <v>1.3128195366039375E-2</v>
      </c>
      <c r="G357" s="13">
        <f t="shared" si="16"/>
        <v>-4.1873236764801147E-3</v>
      </c>
      <c r="H357" s="13">
        <f t="shared" si="17"/>
        <v>1.141934807881051E-2</v>
      </c>
    </row>
    <row r="358" spans="2:8" ht="18" x14ac:dyDescent="0.2">
      <c r="B358" s="53">
        <v>43647</v>
      </c>
      <c r="C358" s="56">
        <v>1.7006686367058155E-3</v>
      </c>
      <c r="D358" s="54">
        <v>76.47</v>
      </c>
      <c r="E358" s="19">
        <f t="shared" si="15"/>
        <v>0.23891722244017255</v>
      </c>
      <c r="F358" s="19">
        <v>-1.8091652742267761E-2</v>
      </c>
      <c r="G358" s="13">
        <f t="shared" si="16"/>
        <v>0.23721655380346673</v>
      </c>
      <c r="H358" s="13">
        <f t="shared" si="17"/>
        <v>-1.9792321378973576E-2</v>
      </c>
    </row>
    <row r="359" spans="2:8" ht="18" x14ac:dyDescent="0.2">
      <c r="B359" s="53">
        <v>43678</v>
      </c>
      <c r="C359" s="56">
        <v>1.3482898900922802E-3</v>
      </c>
      <c r="D359" s="54">
        <v>94.74</v>
      </c>
      <c r="E359" s="19">
        <f t="shared" si="15"/>
        <v>6.5442263035677684E-3</v>
      </c>
      <c r="F359" s="19">
        <v>1.7181167690656807E-2</v>
      </c>
      <c r="G359" s="13">
        <f t="shared" si="16"/>
        <v>5.1959364134754882E-3</v>
      </c>
      <c r="H359" s="13">
        <f t="shared" si="17"/>
        <v>1.5832877800564527E-2</v>
      </c>
    </row>
    <row r="360" spans="2:8" ht="18" x14ac:dyDescent="0.2">
      <c r="B360" s="53">
        <v>43709</v>
      </c>
      <c r="C360" s="56">
        <v>1.4057468926966799E-3</v>
      </c>
      <c r="D360" s="54">
        <v>95.36</v>
      </c>
      <c r="E360" s="19">
        <f t="shared" si="15"/>
        <v>0</v>
      </c>
      <c r="F360" s="19">
        <v>2.0431747482144935E-2</v>
      </c>
      <c r="G360" s="13">
        <f t="shared" si="16"/>
        <v>-1.4057468926966799E-3</v>
      </c>
      <c r="H360" s="13">
        <f t="shared" si="17"/>
        <v>1.9026000589448255E-2</v>
      </c>
    </row>
    <row r="361" spans="2:8" ht="18" x14ac:dyDescent="0.2">
      <c r="B361" s="53">
        <v>43739</v>
      </c>
      <c r="C361" s="56">
        <v>1.4139520764002711E-3</v>
      </c>
      <c r="D361" s="54">
        <v>95.36</v>
      </c>
      <c r="E361" s="19">
        <f t="shared" si="15"/>
        <v>0.16925335570469802</v>
      </c>
      <c r="F361" s="19">
        <v>3.404706409091518E-2</v>
      </c>
      <c r="G361" s="13">
        <f t="shared" si="16"/>
        <v>0.16783940362829775</v>
      </c>
      <c r="H361" s="13">
        <f t="shared" si="17"/>
        <v>3.2633112014514909E-2</v>
      </c>
    </row>
    <row r="362" spans="2:8" ht="18" x14ac:dyDescent="0.2">
      <c r="B362" s="53">
        <v>43770</v>
      </c>
      <c r="C362" s="56">
        <v>1.4959632659397037E-3</v>
      </c>
      <c r="D362" s="54">
        <v>111.5</v>
      </c>
      <c r="E362" s="19">
        <f t="shared" si="15"/>
        <v>3.1659192825112203E-2</v>
      </c>
      <c r="F362" s="19">
        <v>2.8589803182446305E-2</v>
      </c>
      <c r="G362" s="13">
        <f t="shared" si="16"/>
        <v>3.01632295591725E-2</v>
      </c>
      <c r="H362" s="13">
        <f t="shared" si="17"/>
        <v>2.7093839916506601E-2</v>
      </c>
    </row>
    <row r="363" spans="2:8" ht="18" x14ac:dyDescent="0.2">
      <c r="B363" s="53">
        <v>43800</v>
      </c>
      <c r="C363" s="56">
        <v>1.5369411743291206E-3</v>
      </c>
      <c r="D363" s="54">
        <v>115.03</v>
      </c>
      <c r="E363" s="19">
        <f t="shared" si="15"/>
        <v>-0.13622533252195079</v>
      </c>
      <c r="F363" s="19">
        <v>-1.6280898111292741E-3</v>
      </c>
      <c r="G363" s="13">
        <f t="shared" si="16"/>
        <v>-0.13776227369627991</v>
      </c>
      <c r="H363" s="13">
        <f t="shared" si="17"/>
        <v>-3.1650309854583947E-3</v>
      </c>
    </row>
    <row r="364" spans="2:8" ht="18" x14ac:dyDescent="0.2">
      <c r="B364" s="53">
        <v>43831</v>
      </c>
      <c r="C364" s="56">
        <v>1.4549669057570824E-3</v>
      </c>
      <c r="D364" s="54">
        <v>99.36</v>
      </c>
      <c r="E364" s="19">
        <f t="shared" si="15"/>
        <v>-6.9947665056360742E-2</v>
      </c>
      <c r="F364" s="19">
        <v>-8.4110469009648137E-2</v>
      </c>
      <c r="G364" s="13">
        <f t="shared" si="16"/>
        <v>-7.1402631962117824E-2</v>
      </c>
      <c r="H364" s="13">
        <f t="shared" si="17"/>
        <v>-8.5565435915405219E-2</v>
      </c>
    </row>
    <row r="365" spans="2:8" ht="18" x14ac:dyDescent="0.2">
      <c r="B365" s="53">
        <v>43862</v>
      </c>
      <c r="C365" s="56">
        <v>1.2414877164492744E-3</v>
      </c>
      <c r="D365" s="54">
        <v>92.41</v>
      </c>
      <c r="E365" s="19">
        <f t="shared" si="15"/>
        <v>-9.2197814089384211E-2</v>
      </c>
      <c r="F365" s="19">
        <v>-0.12511932083595656</v>
      </c>
      <c r="G365" s="13">
        <f t="shared" si="16"/>
        <v>-9.3439301805833486E-2</v>
      </c>
      <c r="H365" s="13">
        <f t="shared" si="17"/>
        <v>-0.12636080855240583</v>
      </c>
    </row>
    <row r="366" spans="2:8" ht="18" x14ac:dyDescent="0.2">
      <c r="B366" s="53">
        <v>43891</v>
      </c>
      <c r="C366" s="56">
        <v>7.2212503004753792E-4</v>
      </c>
      <c r="D366" s="54">
        <v>83.89</v>
      </c>
      <c r="E366" s="19">
        <f t="shared" si="15"/>
        <v>0.18035522708308505</v>
      </c>
      <c r="F366" s="19">
        <v>0.12684410293315374</v>
      </c>
      <c r="G366" s="13">
        <f t="shared" si="16"/>
        <v>0.17963310205303751</v>
      </c>
      <c r="H366" s="13">
        <f t="shared" si="17"/>
        <v>0.1261219779031062</v>
      </c>
    </row>
    <row r="367" spans="2:8" ht="18" x14ac:dyDescent="0.2">
      <c r="B367" s="53">
        <v>43922</v>
      </c>
      <c r="C367" s="56">
        <v>5.4834323189068002E-4</v>
      </c>
      <c r="D367" s="54">
        <v>99.02</v>
      </c>
      <c r="E367" s="19">
        <f t="shared" si="15"/>
        <v>0.11472429812159168</v>
      </c>
      <c r="F367" s="19">
        <v>4.528177501261843E-2</v>
      </c>
      <c r="G367" s="13">
        <f t="shared" si="16"/>
        <v>0.114175954889701</v>
      </c>
      <c r="H367" s="13">
        <f t="shared" si="17"/>
        <v>4.473343178072775E-2</v>
      </c>
    </row>
    <row r="368" spans="2:8" ht="18" x14ac:dyDescent="0.2">
      <c r="B368" s="53">
        <v>43952</v>
      </c>
      <c r="C368" s="56">
        <v>5.5662608827478088E-4</v>
      </c>
      <c r="D368" s="54">
        <v>110.38</v>
      </c>
      <c r="E368" s="19">
        <f t="shared" si="15"/>
        <v>-1.4404783475267191E-2</v>
      </c>
      <c r="F368" s="19">
        <v>1.8388403283502663E-2</v>
      </c>
      <c r="G368" s="13">
        <f t="shared" si="16"/>
        <v>-1.4961409563541972E-2</v>
      </c>
      <c r="H368" s="13">
        <f t="shared" si="17"/>
        <v>1.7831777195227883E-2</v>
      </c>
    </row>
    <row r="369" spans="2:8" ht="18" x14ac:dyDescent="0.2">
      <c r="B369" s="53">
        <v>43983</v>
      </c>
      <c r="C369" s="56">
        <v>6.0630739394196276E-4</v>
      </c>
      <c r="D369" s="54">
        <v>108.79</v>
      </c>
      <c r="E369" s="19">
        <f t="shared" si="15"/>
        <v>4.9636915157643013E-2</v>
      </c>
      <c r="F369" s="19">
        <v>5.5101296975444303E-2</v>
      </c>
      <c r="G369" s="13">
        <f t="shared" si="16"/>
        <v>4.9030607763701051E-2</v>
      </c>
      <c r="H369" s="13">
        <f t="shared" si="17"/>
        <v>5.449498958150234E-2</v>
      </c>
    </row>
    <row r="370" spans="2:8" ht="18" x14ac:dyDescent="0.2">
      <c r="B370" s="53">
        <v>44013</v>
      </c>
      <c r="C370" s="56">
        <v>5.1520426173889966E-4</v>
      </c>
      <c r="D370" s="54">
        <v>114.19</v>
      </c>
      <c r="E370" s="19">
        <f t="shared" si="15"/>
        <v>0.20115596812330327</v>
      </c>
      <c r="F370" s="19">
        <v>7.0064687324219221E-2</v>
      </c>
      <c r="G370" s="13">
        <f t="shared" si="16"/>
        <v>0.20064076386156438</v>
      </c>
      <c r="H370" s="13">
        <f t="shared" si="17"/>
        <v>6.9549483062480322E-2</v>
      </c>
    </row>
    <row r="371" spans="2:8" ht="18" x14ac:dyDescent="0.2">
      <c r="B371" s="53">
        <v>44044</v>
      </c>
      <c r="C371" s="56">
        <v>5.4005962118885975E-4</v>
      </c>
      <c r="D371" s="54">
        <v>137.16</v>
      </c>
      <c r="E371" s="19">
        <f t="shared" si="15"/>
        <v>4.6223388743073857E-2</v>
      </c>
      <c r="F371" s="19">
        <v>-3.9227954095494399E-2</v>
      </c>
      <c r="G371" s="13">
        <f t="shared" si="16"/>
        <v>4.5683329121884997E-2</v>
      </c>
      <c r="H371" s="13">
        <f t="shared" si="17"/>
        <v>-3.9768013716683259E-2</v>
      </c>
    </row>
    <row r="372" spans="2:8" ht="18" x14ac:dyDescent="0.2">
      <c r="B372" s="53">
        <v>44075</v>
      </c>
      <c r="C372" s="56">
        <v>5.6490819048460317E-4</v>
      </c>
      <c r="D372" s="54">
        <v>143.5</v>
      </c>
      <c r="E372" s="19">
        <f t="shared" si="15"/>
        <v>-3.3031358885017514E-2</v>
      </c>
      <c r="F372" s="19">
        <v>-2.7665774606006499E-2</v>
      </c>
      <c r="G372" s="13">
        <f t="shared" si="16"/>
        <v>-3.3596267075502118E-2</v>
      </c>
      <c r="H372" s="13">
        <f t="shared" si="17"/>
        <v>-2.8230682796491102E-2</v>
      </c>
    </row>
    <row r="373" spans="2:8" ht="18" x14ac:dyDescent="0.2">
      <c r="B373" s="53">
        <v>44105</v>
      </c>
      <c r="C373" s="56">
        <v>6.5596158031810958E-4</v>
      </c>
      <c r="D373" s="54">
        <v>138.76</v>
      </c>
      <c r="E373" s="19">
        <f t="shared" si="15"/>
        <v>0.17944652637647751</v>
      </c>
      <c r="F373" s="19">
        <v>0.10754565805086314</v>
      </c>
      <c r="G373" s="13">
        <f t="shared" si="16"/>
        <v>0.1787905647961594</v>
      </c>
      <c r="H373" s="13">
        <f t="shared" si="17"/>
        <v>0.10688969647054503</v>
      </c>
    </row>
    <row r="374" spans="2:8" ht="18" x14ac:dyDescent="0.2">
      <c r="B374" s="53">
        <v>44136</v>
      </c>
      <c r="C374" s="56">
        <v>7.2212503004753792E-4</v>
      </c>
      <c r="D374" s="54">
        <v>163.66</v>
      </c>
      <c r="E374" s="19">
        <f t="shared" si="15"/>
        <v>-1.2648173041671762E-2</v>
      </c>
      <c r="F374" s="19">
        <v>3.712140665943231E-2</v>
      </c>
      <c r="G374" s="13">
        <f t="shared" si="16"/>
        <v>-1.33702980717193E-2</v>
      </c>
      <c r="H374" s="13">
        <f t="shared" si="17"/>
        <v>3.6399281629384772E-2</v>
      </c>
    </row>
    <row r="375" spans="2:8" ht="18" x14ac:dyDescent="0.2">
      <c r="B375" s="53">
        <v>44166</v>
      </c>
      <c r="C375" s="56">
        <v>7.7171605828496581E-4</v>
      </c>
      <c r="D375" s="54">
        <v>161.59</v>
      </c>
      <c r="E375" s="19">
        <f t="shared" si="15"/>
        <v>2.6239247478185623E-2</v>
      </c>
      <c r="F375" s="19">
        <v>-1.1136640158463607E-2</v>
      </c>
      <c r="G375" s="13">
        <f t="shared" si="16"/>
        <v>2.5467531419900657E-2</v>
      </c>
      <c r="H375" s="13">
        <f t="shared" si="17"/>
        <v>-1.1908356216748572E-2</v>
      </c>
    </row>
    <row r="376" spans="2:8" ht="18" x14ac:dyDescent="0.2">
      <c r="B376" s="53">
        <v>44197</v>
      </c>
      <c r="C376" s="56">
        <v>8.0000000000000004E-4</v>
      </c>
      <c r="D376" s="54">
        <v>165.83</v>
      </c>
      <c r="E376" s="19">
        <f t="shared" si="15"/>
        <v>1.2542965687752483E-2</v>
      </c>
      <c r="F376" s="19">
        <v>2.6091474971999817E-2</v>
      </c>
      <c r="G376" s="13">
        <f t="shared" si="16"/>
        <v>1.1742965687752483E-2</v>
      </c>
      <c r="H376" s="13">
        <f t="shared" si="17"/>
        <v>2.5291474971999819E-2</v>
      </c>
    </row>
    <row r="377" spans="2:8" ht="18" x14ac:dyDescent="0.2">
      <c r="B377" s="53">
        <v>44228</v>
      </c>
      <c r="C377" s="56">
        <v>4.0000000000000002E-4</v>
      </c>
      <c r="D377" s="54">
        <v>167.91</v>
      </c>
      <c r="E377" s="19">
        <f t="shared" si="15"/>
        <v>8.3616222976594656E-2</v>
      </c>
      <c r="F377" s="19">
        <v>4.2438634008107767E-2</v>
      </c>
      <c r="G377" s="13">
        <f t="shared" si="16"/>
        <v>8.3216222976594659E-2</v>
      </c>
      <c r="H377" s="13">
        <f t="shared" si="17"/>
        <v>4.203863400810777E-2</v>
      </c>
    </row>
    <row r="378" spans="2:8" ht="18" x14ac:dyDescent="0.2">
      <c r="B378" s="53">
        <v>44256</v>
      </c>
      <c r="C378" s="56">
        <v>2.9999999999999997E-4</v>
      </c>
      <c r="D378" s="54">
        <v>181.95</v>
      </c>
      <c r="E378" s="19">
        <f t="shared" si="15"/>
        <v>4.6386369881835643E-2</v>
      </c>
      <c r="F378" s="19">
        <v>5.242531255584737E-2</v>
      </c>
      <c r="G378" s="13">
        <f t="shared" si="16"/>
        <v>4.6086369881835641E-2</v>
      </c>
      <c r="H378" s="13">
        <f t="shared" si="17"/>
        <v>5.2125312555847368E-2</v>
      </c>
    </row>
    <row r="379" spans="2:8" ht="18" x14ac:dyDescent="0.2">
      <c r="B379" s="53">
        <v>44287</v>
      </c>
      <c r="C379" s="56">
        <v>2.0000000000000001E-4</v>
      </c>
      <c r="D379" s="54">
        <v>190.39</v>
      </c>
      <c r="E379" s="19">
        <f t="shared" si="15"/>
        <v>9.4857923210252659E-2</v>
      </c>
      <c r="F379" s="19">
        <v>5.4865025818131574E-3</v>
      </c>
      <c r="G379" s="13">
        <f t="shared" si="16"/>
        <v>9.4657923210252654E-2</v>
      </c>
      <c r="H379" s="13">
        <f t="shared" si="17"/>
        <v>5.2865025818131578E-3</v>
      </c>
    </row>
    <row r="380" spans="2:8" ht="18" x14ac:dyDescent="0.2">
      <c r="B380" s="53">
        <v>44317</v>
      </c>
      <c r="C380" s="56">
        <v>2.0000000000000001E-4</v>
      </c>
      <c r="D380" s="54">
        <v>208.45</v>
      </c>
      <c r="E380" s="19">
        <f t="shared" si="15"/>
        <v>6.8793475653633918E-2</v>
      </c>
      <c r="F380" s="19">
        <v>2.221397632316946E-2</v>
      </c>
      <c r="G380" s="13">
        <f t="shared" si="16"/>
        <v>6.8593475653633912E-2</v>
      </c>
      <c r="H380" s="13">
        <f t="shared" si="17"/>
        <v>2.2013976323169461E-2</v>
      </c>
    </row>
    <row r="381" spans="2:8" ht="18" x14ac:dyDescent="0.2">
      <c r="B381" s="53">
        <v>44348</v>
      </c>
      <c r="C381" s="56">
        <v>4.0000000000000002E-4</v>
      </c>
      <c r="D381" s="54">
        <v>222.79</v>
      </c>
      <c r="E381" s="19">
        <f t="shared" si="15"/>
        <v>7.9850980744198718E-2</v>
      </c>
      <c r="F381" s="19">
        <v>2.274810936591054E-2</v>
      </c>
      <c r="G381" s="13">
        <f t="shared" si="16"/>
        <v>7.9450980744198721E-2</v>
      </c>
      <c r="H381" s="13">
        <f t="shared" si="17"/>
        <v>2.2348109365910539E-2</v>
      </c>
    </row>
    <row r="382" spans="2:8" ht="18" x14ac:dyDescent="0.2">
      <c r="B382" s="53">
        <v>44378</v>
      </c>
      <c r="C382" s="56">
        <v>5.0000000000000001E-4</v>
      </c>
      <c r="D382" s="54">
        <v>240.58</v>
      </c>
      <c r="E382" s="19">
        <f t="shared" si="15"/>
        <v>-5.3869814614681211E-2</v>
      </c>
      <c r="F382" s="19">
        <v>2.8990321391681118E-2</v>
      </c>
      <c r="G382" s="13">
        <f t="shared" si="16"/>
        <v>-5.4369814614681211E-2</v>
      </c>
      <c r="H382" s="13">
        <f t="shared" si="17"/>
        <v>2.8490321391681117E-2</v>
      </c>
    </row>
    <row r="383" spans="2:8" ht="18" x14ac:dyDescent="0.2">
      <c r="B383" s="53">
        <v>44409</v>
      </c>
      <c r="C383" s="56">
        <v>5.0000000000000001E-4</v>
      </c>
      <c r="D383" s="54">
        <v>227.62</v>
      </c>
      <c r="E383" s="19">
        <f t="shared" si="15"/>
        <v>-7.0556190141463859E-2</v>
      </c>
      <c r="F383" s="19">
        <v>-4.7569140421166334E-2</v>
      </c>
      <c r="G383" s="13">
        <f t="shared" si="16"/>
        <v>-7.105619014146386E-2</v>
      </c>
      <c r="H383" s="13">
        <f t="shared" si="17"/>
        <v>-4.8069140421166334E-2</v>
      </c>
    </row>
    <row r="384" spans="2:8" ht="18" x14ac:dyDescent="0.2">
      <c r="B384" s="53">
        <v>44440</v>
      </c>
      <c r="C384" s="56">
        <v>4.0000000000000002E-4</v>
      </c>
      <c r="D384" s="54">
        <v>211.56</v>
      </c>
      <c r="E384" s="19">
        <f t="shared" si="15"/>
        <v>0.13485536018150879</v>
      </c>
      <c r="F384" s="19">
        <v>6.9143873301234615E-2</v>
      </c>
      <c r="G384" s="13">
        <f t="shared" si="16"/>
        <v>0.13445536018150878</v>
      </c>
      <c r="H384" s="13">
        <f t="shared" si="17"/>
        <v>6.8743873301234618E-2</v>
      </c>
    </row>
    <row r="385" spans="2:8" ht="18" x14ac:dyDescent="0.2">
      <c r="B385" s="53">
        <v>44470</v>
      </c>
      <c r="C385" s="56">
        <v>5.0000000000000001E-4</v>
      </c>
      <c r="D385" s="54">
        <v>240.09</v>
      </c>
      <c r="E385" s="19">
        <f t="shared" si="15"/>
        <v>-6.0810529384814016E-2</v>
      </c>
      <c r="F385" s="19">
        <v>-8.3337314184714906E-3</v>
      </c>
      <c r="G385" s="13">
        <f t="shared" si="16"/>
        <v>-6.1310529384814016E-2</v>
      </c>
      <c r="H385" s="13">
        <f t="shared" si="17"/>
        <v>-8.833731418471491E-3</v>
      </c>
    </row>
    <row r="386" spans="2:8" ht="18" x14ac:dyDescent="0.2">
      <c r="B386" s="53">
        <v>44501</v>
      </c>
      <c r="C386" s="56">
        <v>5.0000000000000001E-4</v>
      </c>
      <c r="D386" s="54">
        <v>225.49</v>
      </c>
      <c r="E386" s="19">
        <f t="shared" si="15"/>
        <v>-4.7585258769790362E-2</v>
      </c>
      <c r="F386" s="19">
        <v>4.3612874972629889E-2</v>
      </c>
      <c r="G386" s="13">
        <f t="shared" si="16"/>
        <v>-4.8085258769790362E-2</v>
      </c>
      <c r="H386" s="13">
        <f t="shared" si="17"/>
        <v>4.3112874972629889E-2</v>
      </c>
    </row>
    <row r="387" spans="2:8" ht="18" x14ac:dyDescent="0.2">
      <c r="B387" s="53">
        <v>44531</v>
      </c>
      <c r="C387" s="56">
        <v>5.9999999999999995E-4</v>
      </c>
      <c r="D387" s="54">
        <v>214.76</v>
      </c>
      <c r="E387" s="19">
        <f t="shared" si="15"/>
        <v>-4.7588005215123852E-2</v>
      </c>
      <c r="F387" s="19">
        <v>-5.2585089106999772E-2</v>
      </c>
      <c r="G387" s="13">
        <f t="shared" si="16"/>
        <v>-4.8188005215123855E-2</v>
      </c>
      <c r="H387" s="13">
        <f t="shared" si="17"/>
        <v>-5.3185089106999775E-2</v>
      </c>
    </row>
    <row r="388" spans="2:8" ht="18" x14ac:dyDescent="0.2">
      <c r="B388" s="53">
        <v>44562</v>
      </c>
      <c r="C388" s="56">
        <v>1.4666666666666667E-3</v>
      </c>
      <c r="D388" s="54">
        <v>204.54</v>
      </c>
      <c r="E388" s="19">
        <f t="shared" si="15"/>
        <v>-9.3722499266647108E-2</v>
      </c>
      <c r="F388" s="19">
        <v>-3.1360520866782648E-2</v>
      </c>
      <c r="G388" s="13">
        <f t="shared" si="16"/>
        <v>-9.518916593331378E-2</v>
      </c>
      <c r="H388" s="13">
        <f t="shared" si="17"/>
        <v>-3.2827187533449313E-2</v>
      </c>
    </row>
    <row r="389" spans="2:8" ht="18" x14ac:dyDescent="0.2">
      <c r="B389" s="53">
        <v>44593</v>
      </c>
      <c r="C389" s="56">
        <v>1.6083333333333334E-3</v>
      </c>
      <c r="D389" s="54">
        <v>185.37</v>
      </c>
      <c r="E389" s="19">
        <f t="shared" ref="E389:E410" si="18">D390/D389-1</f>
        <v>6.694718670766564E-2</v>
      </c>
      <c r="F389" s="19">
        <v>3.5773238773280092E-2</v>
      </c>
      <c r="G389" s="13">
        <f t="shared" ref="G389:G411" si="19">E389-C389</f>
        <v>6.5338853374332304E-2</v>
      </c>
      <c r="H389" s="13">
        <f t="shared" ref="H389:H411" si="20">F389-C389</f>
        <v>3.4164905439946755E-2</v>
      </c>
    </row>
    <row r="390" spans="2:8" ht="18" x14ac:dyDescent="0.2">
      <c r="B390" s="53">
        <v>44621</v>
      </c>
      <c r="C390" s="56">
        <v>1.7749999999999999E-3</v>
      </c>
      <c r="D390" s="54">
        <v>197.78</v>
      </c>
      <c r="E390" s="19">
        <f t="shared" si="18"/>
        <v>7.7409242592779925E-2</v>
      </c>
      <c r="F390" s="19">
        <v>-8.7956719149039353E-2</v>
      </c>
      <c r="G390" s="13">
        <f t="shared" si="19"/>
        <v>7.5634242592779927E-2</v>
      </c>
      <c r="H390" s="13">
        <f t="shared" si="20"/>
        <v>-8.9731719149039352E-2</v>
      </c>
    </row>
    <row r="391" spans="2:8" ht="18" x14ac:dyDescent="0.2">
      <c r="B391" s="53">
        <v>44652</v>
      </c>
      <c r="C391" s="56">
        <v>2.2916666666666667E-3</v>
      </c>
      <c r="D391" s="54">
        <v>213.09</v>
      </c>
      <c r="E391" s="19">
        <f t="shared" si="18"/>
        <v>-0.29203622882350178</v>
      </c>
      <c r="F391" s="19">
        <v>5.3243883608722342E-5</v>
      </c>
      <c r="G391" s="13">
        <f t="shared" si="19"/>
        <v>-0.29432789549016847</v>
      </c>
      <c r="H391" s="13">
        <f t="shared" si="20"/>
        <v>-2.2384227830579443E-3</v>
      </c>
    </row>
    <row r="392" spans="2:8" ht="18" x14ac:dyDescent="0.2">
      <c r="B392" s="53">
        <v>44682</v>
      </c>
      <c r="C392" s="56">
        <v>2.4166666666666668E-3</v>
      </c>
      <c r="D392" s="54">
        <v>150.86000000000001</v>
      </c>
      <c r="E392" s="19">
        <f t="shared" si="18"/>
        <v>-0.12395598568208943</v>
      </c>
      <c r="F392" s="19">
        <v>-8.3919993223866451E-2</v>
      </c>
      <c r="G392" s="13">
        <f t="shared" si="19"/>
        <v>-0.12637265234875611</v>
      </c>
      <c r="H392" s="13">
        <f t="shared" si="20"/>
        <v>-8.6336659890533116E-2</v>
      </c>
    </row>
    <row r="393" spans="2:8" ht="18" x14ac:dyDescent="0.2">
      <c r="B393" s="53">
        <v>44713</v>
      </c>
      <c r="C393" s="56">
        <v>2.6166666666666664E-3</v>
      </c>
      <c r="D393" s="54">
        <v>132.16</v>
      </c>
      <c r="E393" s="19">
        <f t="shared" si="18"/>
        <v>0.15685532687651316</v>
      </c>
      <c r="F393" s="19">
        <v>9.1116347632205885E-2</v>
      </c>
      <c r="G393" s="13">
        <f t="shared" si="19"/>
        <v>0.1542386602098465</v>
      </c>
      <c r="H393" s="13">
        <f t="shared" si="20"/>
        <v>8.8499680965539215E-2</v>
      </c>
    </row>
    <row r="394" spans="2:8" ht="18" x14ac:dyDescent="0.2">
      <c r="B394" s="53">
        <v>44743</v>
      </c>
      <c r="C394" s="56">
        <v>2.4166666666666668E-3</v>
      </c>
      <c r="D394" s="54">
        <v>152.88999999999999</v>
      </c>
      <c r="E394" s="19">
        <f t="shared" si="18"/>
        <v>-1.8640852900778326E-2</v>
      </c>
      <c r="F394" s="19">
        <v>-4.2440119216810457E-2</v>
      </c>
      <c r="G394" s="13">
        <f t="shared" si="19"/>
        <v>-2.1057519567444994E-2</v>
      </c>
      <c r="H394" s="13">
        <f t="shared" si="20"/>
        <v>-4.4856785883477121E-2</v>
      </c>
    </row>
    <row r="395" spans="2:8" ht="18" x14ac:dyDescent="0.2">
      <c r="B395" s="53">
        <v>44774</v>
      </c>
      <c r="C395" s="56">
        <v>2.4166666666666668E-3</v>
      </c>
      <c r="D395" s="54">
        <v>150.04</v>
      </c>
      <c r="E395" s="19">
        <f t="shared" si="18"/>
        <v>-6.8715009330845178E-2</v>
      </c>
      <c r="F395" s="19">
        <v>-9.3395701643489315E-2</v>
      </c>
      <c r="G395" s="13">
        <f t="shared" si="19"/>
        <v>-7.1131675997511842E-2</v>
      </c>
      <c r="H395" s="13">
        <f t="shared" si="20"/>
        <v>-9.5812368310155979E-2</v>
      </c>
    </row>
    <row r="396" spans="2:8" ht="18" x14ac:dyDescent="0.2">
      <c r="B396" s="53">
        <v>44805</v>
      </c>
      <c r="C396" s="56">
        <v>2.9333333333333334E-3</v>
      </c>
      <c r="D396" s="54">
        <v>139.72999999999999</v>
      </c>
      <c r="E396" s="19">
        <f t="shared" si="18"/>
        <v>0.10692048951549427</v>
      </c>
      <c r="F396" s="19">
        <v>7.9863454576893256E-2</v>
      </c>
      <c r="G396" s="13">
        <f t="shared" si="19"/>
        <v>0.10398715618216094</v>
      </c>
      <c r="H396" s="13">
        <f t="shared" si="20"/>
        <v>7.6930121243559926E-2</v>
      </c>
    </row>
    <row r="397" spans="2:8" ht="18" x14ac:dyDescent="0.2">
      <c r="B397" s="53">
        <v>44835</v>
      </c>
      <c r="C397" s="56">
        <v>3.316666666666667E-3</v>
      </c>
      <c r="D397" s="54">
        <v>154.66999999999999</v>
      </c>
      <c r="E397" s="19">
        <f t="shared" si="18"/>
        <v>1.7133251438546715E-2</v>
      </c>
      <c r="F397" s="19">
        <v>5.3752860293699856E-2</v>
      </c>
      <c r="G397" s="13">
        <f t="shared" si="19"/>
        <v>1.3816584771880048E-2</v>
      </c>
      <c r="H397" s="13">
        <f t="shared" si="20"/>
        <v>5.0436193627033186E-2</v>
      </c>
    </row>
    <row r="398" spans="2:8" ht="18" x14ac:dyDescent="0.2">
      <c r="B398" s="53">
        <v>44866</v>
      </c>
      <c r="C398" s="56">
        <v>3.2416666666666666E-3</v>
      </c>
      <c r="D398" s="54">
        <v>157.32</v>
      </c>
      <c r="E398" s="19">
        <f t="shared" si="18"/>
        <v>-0.10233918128654973</v>
      </c>
      <c r="F398" s="19">
        <v>-5.8971449299161094E-2</v>
      </c>
      <c r="G398" s="13">
        <f t="shared" si="19"/>
        <v>-0.1055808479532164</v>
      </c>
      <c r="H398" s="13">
        <f t="shared" si="20"/>
        <v>-6.2213115965827757E-2</v>
      </c>
    </row>
    <row r="399" spans="2:8" ht="18" x14ac:dyDescent="0.2">
      <c r="B399" s="53">
        <v>44896</v>
      </c>
      <c r="C399" s="56">
        <v>3.0166666666666671E-3</v>
      </c>
      <c r="D399" s="54">
        <v>141.22</v>
      </c>
      <c r="E399" s="19">
        <f t="shared" si="18"/>
        <v>0.15500637303498088</v>
      </c>
      <c r="F399" s="19">
        <v>6.1752832400052027E-2</v>
      </c>
      <c r="G399" s="13">
        <f t="shared" si="19"/>
        <v>0.15198970636831421</v>
      </c>
      <c r="H399" s="13">
        <f t="shared" si="20"/>
        <v>5.8736165733385359E-2</v>
      </c>
    </row>
    <row r="400" spans="2:8" ht="18" x14ac:dyDescent="0.2">
      <c r="B400" s="53">
        <v>44927</v>
      </c>
      <c r="C400" s="56">
        <v>3.4749999999999998E-3</v>
      </c>
      <c r="D400" s="54">
        <v>163.11000000000001</v>
      </c>
      <c r="E400" s="19">
        <f t="shared" si="18"/>
        <v>-2.1151370240941825E-2</v>
      </c>
      <c r="F400" s="19">
        <v>-2.6112446646715304E-2</v>
      </c>
      <c r="G400" s="13">
        <f t="shared" si="19"/>
        <v>-2.4626370240941824E-2</v>
      </c>
      <c r="H400" s="13">
        <f t="shared" si="20"/>
        <v>-2.9587446646715303E-2</v>
      </c>
    </row>
    <row r="401" spans="2:8" ht="18" x14ac:dyDescent="0.2">
      <c r="B401" s="53">
        <v>44958</v>
      </c>
      <c r="C401" s="56">
        <v>3.8250000000000003E-3</v>
      </c>
      <c r="D401" s="54">
        <v>159.66</v>
      </c>
      <c r="E401" s="19">
        <f t="shared" si="18"/>
        <v>-1.0835525491669773E-2</v>
      </c>
      <c r="F401" s="19">
        <v>3.5051572358727023E-2</v>
      </c>
      <c r="G401" s="13">
        <f t="shared" si="19"/>
        <v>-1.4660525491669773E-2</v>
      </c>
      <c r="H401" s="13">
        <f t="shared" si="20"/>
        <v>3.1226572358727021E-2</v>
      </c>
    </row>
    <row r="402" spans="2:8" ht="18" x14ac:dyDescent="0.2">
      <c r="B402" s="53">
        <v>44986</v>
      </c>
      <c r="C402" s="56">
        <v>3.8916666666666665E-3</v>
      </c>
      <c r="D402" s="54">
        <v>157.93</v>
      </c>
      <c r="E402" s="19">
        <f t="shared" si="18"/>
        <v>-4.7616032419426357E-2</v>
      </c>
      <c r="F402" s="19">
        <v>1.464236088297044E-2</v>
      </c>
      <c r="G402" s="13">
        <f t="shared" si="19"/>
        <v>-5.1507699086093026E-2</v>
      </c>
      <c r="H402" s="13">
        <f t="shared" si="20"/>
        <v>1.0750694216303773E-2</v>
      </c>
    </row>
    <row r="403" spans="2:8" ht="18" x14ac:dyDescent="0.2">
      <c r="B403" s="53">
        <v>45017</v>
      </c>
      <c r="C403" s="56">
        <v>3.9166666666666664E-3</v>
      </c>
      <c r="D403" s="54">
        <v>150.41</v>
      </c>
      <c r="E403" s="19">
        <f t="shared" si="18"/>
        <v>-0.17000199454823484</v>
      </c>
      <c r="F403" s="19">
        <v>2.4823239348792381E-3</v>
      </c>
      <c r="G403" s="13">
        <f t="shared" si="19"/>
        <v>-0.17391866121490152</v>
      </c>
      <c r="H403" s="13">
        <f t="shared" si="20"/>
        <v>-1.4343427317874283E-3</v>
      </c>
    </row>
    <row r="404" spans="2:8" ht="18" x14ac:dyDescent="0.2">
      <c r="B404" s="53">
        <v>45047</v>
      </c>
      <c r="C404" s="56">
        <v>3.741666666666667E-3</v>
      </c>
      <c r="D404" s="54">
        <v>124.84</v>
      </c>
      <c r="E404" s="19">
        <f t="shared" si="18"/>
        <v>1.4258250560717833E-2</v>
      </c>
      <c r="F404" s="19">
        <v>6.4727512841431301E-2</v>
      </c>
      <c r="G404" s="13">
        <f t="shared" si="19"/>
        <v>1.0516583894051166E-2</v>
      </c>
      <c r="H404" s="13">
        <f t="shared" si="20"/>
        <v>6.0985846174764637E-2</v>
      </c>
    </row>
    <row r="405" spans="2:8" ht="18" x14ac:dyDescent="0.2">
      <c r="B405" s="53">
        <v>45078</v>
      </c>
      <c r="C405" s="56">
        <v>4.4166666666666668E-3</v>
      </c>
      <c r="D405" s="54">
        <v>126.62</v>
      </c>
      <c r="E405" s="19">
        <f t="shared" si="18"/>
        <v>3.4591691675880609E-2</v>
      </c>
      <c r="F405" s="19">
        <v>3.1138913980379268E-2</v>
      </c>
      <c r="G405" s="13">
        <f t="shared" si="19"/>
        <v>3.0175025009213943E-2</v>
      </c>
      <c r="H405" s="13">
        <f t="shared" si="20"/>
        <v>2.6722247313712602E-2</v>
      </c>
    </row>
    <row r="406" spans="2:8" ht="18" x14ac:dyDescent="0.2">
      <c r="B406" s="53">
        <v>45108</v>
      </c>
      <c r="C406" s="56">
        <v>4.3916666666666661E-3</v>
      </c>
      <c r="D406" s="54">
        <v>131</v>
      </c>
      <c r="E406" s="19">
        <f t="shared" si="18"/>
        <v>-7.2671755725190801E-2</v>
      </c>
      <c r="F406" s="19">
        <v>-1.771643248143373E-2</v>
      </c>
      <c r="G406" s="13">
        <f t="shared" si="19"/>
        <v>-7.706342239185747E-2</v>
      </c>
      <c r="H406" s="13">
        <f t="shared" si="20"/>
        <v>-2.2108099148100396E-2</v>
      </c>
    </row>
    <row r="407" spans="2:8" ht="18" x14ac:dyDescent="0.2">
      <c r="B407" s="53">
        <v>45139</v>
      </c>
      <c r="C407" s="56">
        <v>4.5750000000000001E-3</v>
      </c>
      <c r="D407" s="54">
        <v>121.48</v>
      </c>
      <c r="E407" s="19">
        <f t="shared" si="18"/>
        <v>-0.11878498518274616</v>
      </c>
      <c r="F407" s="19">
        <v>-4.871929116215501E-2</v>
      </c>
      <c r="G407" s="13">
        <f t="shared" si="19"/>
        <v>-0.12335998518274616</v>
      </c>
      <c r="H407" s="13">
        <f t="shared" si="20"/>
        <v>-5.3294291162155012E-2</v>
      </c>
    </row>
    <row r="408" spans="2:8" ht="18" x14ac:dyDescent="0.2">
      <c r="B408" s="53">
        <v>45170</v>
      </c>
      <c r="C408" s="56">
        <v>4.5916666666666666E-3</v>
      </c>
      <c r="D408" s="54">
        <v>107.05</v>
      </c>
      <c r="E408" s="19">
        <f t="shared" si="18"/>
        <v>1.9617001401215362E-3</v>
      </c>
      <c r="F408" s="19">
        <v>-2.1979687736850106E-2</v>
      </c>
      <c r="G408" s="13">
        <f t="shared" si="19"/>
        <v>-2.6299665265451305E-3</v>
      </c>
      <c r="H408" s="13">
        <f t="shared" si="20"/>
        <v>-2.6571354403516774E-2</v>
      </c>
    </row>
    <row r="409" spans="2:8" ht="18" x14ac:dyDescent="0.2">
      <c r="B409" s="53">
        <v>45200</v>
      </c>
      <c r="C409" s="56">
        <v>4.6333333333333331E-3</v>
      </c>
      <c r="D409" s="54">
        <v>107.26</v>
      </c>
      <c r="E409" s="19">
        <f t="shared" si="18"/>
        <v>0.20781279134812602</v>
      </c>
      <c r="F409" s="19">
        <v>8.9179264628737709E-2</v>
      </c>
      <c r="G409" s="13">
        <f t="shared" si="19"/>
        <v>0.2031794580147927</v>
      </c>
      <c r="H409" s="13">
        <f t="shared" si="20"/>
        <v>8.4545931295404372E-2</v>
      </c>
    </row>
    <row r="410" spans="2:8" ht="18" x14ac:dyDescent="0.2">
      <c r="B410" s="53">
        <v>45231</v>
      </c>
      <c r="C410" s="56">
        <v>4.6333333333333331E-3</v>
      </c>
      <c r="D410" s="54">
        <v>129.55000000000001</v>
      </c>
      <c r="E410" s="19">
        <f t="shared" si="18"/>
        <v>7.5414897722886787E-2</v>
      </c>
      <c r="F410" s="19">
        <v>4.4229169403213753E-2</v>
      </c>
      <c r="G410" s="13">
        <f t="shared" si="19"/>
        <v>7.078156438955345E-2</v>
      </c>
      <c r="H410" s="13">
        <f t="shared" si="20"/>
        <v>3.9595836069880416E-2</v>
      </c>
    </row>
    <row r="411" spans="2:8" ht="18" x14ac:dyDescent="0.2">
      <c r="B411" s="53">
        <v>45261</v>
      </c>
      <c r="C411" s="56">
        <v>4.6249999999999998E-3</v>
      </c>
      <c r="D411" s="54">
        <v>139.32</v>
      </c>
      <c r="G411" s="13">
        <f t="shared" si="19"/>
        <v>-4.6249999999999998E-3</v>
      </c>
      <c r="H411" s="13">
        <f t="shared" si="20"/>
        <v>-4.6249999999999998E-3</v>
      </c>
    </row>
    <row r="412" spans="2:8" x14ac:dyDescent="0.15">
      <c r="E412" s="13">
        <f>AVERAGE(E4:E410)</f>
        <v>1.3137763781422025E-2</v>
      </c>
    </row>
  </sheetData>
  <sortState xmlns:xlrd2="http://schemas.microsoft.com/office/spreadsheetml/2017/richdata2" ref="B4:D411">
    <sortCondition ref="B4:B4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0B8A-2869-5448-9B19-704B0A1FACA8}">
  <dimension ref="A1:Y151"/>
  <sheetViews>
    <sheetView tabSelected="1" zoomScaleNormal="100" workbookViewId="0">
      <selection activeCell="C20" sqref="C20"/>
    </sheetView>
  </sheetViews>
  <sheetFormatPr baseColWidth="10" defaultRowHeight="13" x14ac:dyDescent="0.15"/>
  <cols>
    <col min="2" max="2" width="33.6640625" customWidth="1"/>
    <col min="3" max="5" width="12.6640625" bestFit="1" customWidth="1"/>
    <col min="6" max="6" width="14.33203125" customWidth="1"/>
    <col min="7" max="7" width="15.5" customWidth="1"/>
    <col min="8" max="8" width="16" customWidth="1"/>
    <col min="9" max="10" width="16.1640625" customWidth="1"/>
    <col min="11" max="11" width="16" customWidth="1"/>
    <col min="12" max="12" width="15.5" customWidth="1"/>
    <col min="13" max="13" width="17" customWidth="1"/>
  </cols>
  <sheetData>
    <row r="1" spans="2:13" ht="18" x14ac:dyDescent="0.2">
      <c r="B1" s="85" t="s">
        <v>264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3" spans="2:13" s="33" customFormat="1" x14ac:dyDescent="0.15">
      <c r="B3" s="83" t="s">
        <v>133</v>
      </c>
      <c r="C3" s="33">
        <f>IS!J16</f>
        <v>2023</v>
      </c>
      <c r="D3" s="33">
        <f>IS!K16</f>
        <v>2024</v>
      </c>
      <c r="E3" s="33">
        <v>2025</v>
      </c>
      <c r="F3" s="33">
        <v>2026</v>
      </c>
      <c r="G3" s="33">
        <v>2027</v>
      </c>
      <c r="H3" s="33">
        <v>2028</v>
      </c>
      <c r="I3" s="33">
        <v>2029</v>
      </c>
      <c r="J3" s="33">
        <v>2030</v>
      </c>
      <c r="K3" s="33">
        <v>2031</v>
      </c>
      <c r="L3" s="33">
        <v>2032</v>
      </c>
      <c r="M3" s="33">
        <v>2033</v>
      </c>
    </row>
    <row r="4" spans="2:13" x14ac:dyDescent="0.15">
      <c r="B4" s="84" t="s">
        <v>131</v>
      </c>
      <c r="E4" s="19">
        <v>4.2000000000000003E-2</v>
      </c>
      <c r="F4" s="19">
        <v>4.2000000000000003E-2</v>
      </c>
      <c r="G4" s="19">
        <v>0.04</v>
      </c>
      <c r="H4" s="19">
        <v>0.04</v>
      </c>
      <c r="I4" s="19">
        <v>3.7999999999999999E-2</v>
      </c>
      <c r="J4" s="19">
        <v>3.7999999999999999E-2</v>
      </c>
      <c r="K4" s="19">
        <v>3.5999999999999997E-2</v>
      </c>
      <c r="L4" s="19">
        <v>3.5999999999999997E-2</v>
      </c>
      <c r="M4" s="19">
        <v>3.4000000000000002E-2</v>
      </c>
    </row>
    <row r="5" spans="2:13" x14ac:dyDescent="0.15">
      <c r="B5" s="68" t="s">
        <v>132</v>
      </c>
      <c r="E5" s="24">
        <v>0.7</v>
      </c>
      <c r="F5" s="24">
        <v>0.7</v>
      </c>
      <c r="G5" s="31">
        <v>0.70199999999999996</v>
      </c>
      <c r="H5" s="31">
        <v>0.70199999999999996</v>
      </c>
      <c r="I5" s="31">
        <v>0.70399999999999996</v>
      </c>
      <c r="J5" s="31">
        <v>0.70399999999999996</v>
      </c>
      <c r="K5" s="31">
        <v>0.70599999999999996</v>
      </c>
      <c r="L5" s="31">
        <v>0.70599999999999996</v>
      </c>
      <c r="M5" s="31">
        <v>0.70599999999999996</v>
      </c>
    </row>
    <row r="6" spans="2:13" x14ac:dyDescent="0.15">
      <c r="B6" s="68" t="s">
        <v>162</v>
      </c>
      <c r="E6" s="19">
        <v>0.19800000000000001</v>
      </c>
      <c r="F6" s="19">
        <f>E6+0.001</f>
        <v>0.19900000000000001</v>
      </c>
      <c r="G6" s="19">
        <f t="shared" ref="G6:M6" si="0">F6+0.001</f>
        <v>0.2</v>
      </c>
      <c r="H6" s="19">
        <f t="shared" si="0"/>
        <v>0.20100000000000001</v>
      </c>
      <c r="I6" s="19">
        <f t="shared" si="0"/>
        <v>0.20200000000000001</v>
      </c>
      <c r="J6" s="19">
        <f t="shared" si="0"/>
        <v>0.20300000000000001</v>
      </c>
      <c r="K6" s="19">
        <f t="shared" si="0"/>
        <v>0.20400000000000001</v>
      </c>
      <c r="L6" s="19">
        <f t="shared" si="0"/>
        <v>0.20500000000000002</v>
      </c>
      <c r="M6" s="19">
        <f t="shared" si="0"/>
        <v>0.20600000000000002</v>
      </c>
    </row>
    <row r="7" spans="2:13" x14ac:dyDescent="0.15">
      <c r="B7" s="68" t="s">
        <v>164</v>
      </c>
      <c r="E7" s="13">
        <v>2.7E-2</v>
      </c>
      <c r="F7" s="13">
        <v>2.7E-2</v>
      </c>
      <c r="G7" s="13">
        <v>2.7E-2</v>
      </c>
      <c r="H7" s="13">
        <v>2.7E-2</v>
      </c>
      <c r="I7" s="13">
        <v>2.7E-2</v>
      </c>
      <c r="J7" s="13">
        <v>2.7E-2</v>
      </c>
      <c r="K7" s="13">
        <v>2.7E-2</v>
      </c>
      <c r="L7" s="13">
        <v>2.7E-2</v>
      </c>
      <c r="M7" s="13">
        <v>2.7E-2</v>
      </c>
    </row>
    <row r="8" spans="2:13" x14ac:dyDescent="0.15">
      <c r="B8" s="68" t="s">
        <v>165</v>
      </c>
      <c r="E8" s="32">
        <v>0.25</v>
      </c>
      <c r="F8" s="32">
        <v>0.25</v>
      </c>
      <c r="G8" s="32">
        <v>0.25</v>
      </c>
      <c r="H8" s="32">
        <v>0.25</v>
      </c>
      <c r="I8" s="32">
        <v>0.25</v>
      </c>
      <c r="J8" s="32">
        <v>0.25</v>
      </c>
      <c r="K8" s="32">
        <v>0.25</v>
      </c>
      <c r="L8" s="32">
        <v>0.25</v>
      </c>
      <c r="M8" s="32">
        <v>0.25</v>
      </c>
    </row>
    <row r="9" spans="2:13" x14ac:dyDescent="0.15">
      <c r="B9" s="68"/>
      <c r="E9" s="32"/>
      <c r="F9" s="32"/>
      <c r="G9" s="32"/>
      <c r="H9" s="32"/>
      <c r="I9" s="32"/>
      <c r="J9" s="32"/>
      <c r="K9" s="32"/>
      <c r="L9" s="32"/>
      <c r="M9" s="32"/>
    </row>
    <row r="10" spans="2:13" x14ac:dyDescent="0.15">
      <c r="B10" s="68" t="s">
        <v>168</v>
      </c>
      <c r="E10" s="13">
        <v>0.04</v>
      </c>
      <c r="F10" s="13">
        <v>0.04</v>
      </c>
      <c r="G10" s="13">
        <v>0.04</v>
      </c>
      <c r="H10" s="13">
        <v>0.03</v>
      </c>
      <c r="I10" s="13">
        <v>0.03</v>
      </c>
      <c r="J10" s="13">
        <v>0.03</v>
      </c>
      <c r="K10" s="13">
        <v>0.03</v>
      </c>
      <c r="L10" s="13">
        <v>0.03</v>
      </c>
      <c r="M10" s="13">
        <v>0.03</v>
      </c>
    </row>
    <row r="11" spans="2:13" x14ac:dyDescent="0.15">
      <c r="B11" s="68" t="s">
        <v>171</v>
      </c>
      <c r="E11" s="13">
        <v>1.4999999999999999E-2</v>
      </c>
      <c r="F11" s="13">
        <v>1.4999999999999999E-2</v>
      </c>
      <c r="G11" s="13">
        <v>1.4999999999999999E-2</v>
      </c>
      <c r="H11" s="13">
        <v>1.4999999999999999E-2</v>
      </c>
      <c r="I11" s="13">
        <v>1.4999999999999999E-2</v>
      </c>
      <c r="J11" s="13">
        <v>1.4999999999999999E-2</v>
      </c>
      <c r="K11" s="13">
        <v>1.4999999999999999E-2</v>
      </c>
      <c r="L11" s="13">
        <v>1.4999999999999999E-2</v>
      </c>
      <c r="M11" s="13">
        <v>1.4999999999999999E-2</v>
      </c>
    </row>
    <row r="12" spans="2:13" x14ac:dyDescent="0.15">
      <c r="B12" s="68" t="s">
        <v>172</v>
      </c>
      <c r="E12" s="13">
        <v>0.14000000000000001</v>
      </c>
      <c r="F12" s="13">
        <v>0.14000000000000001</v>
      </c>
      <c r="G12" s="13">
        <v>0.14000000000000001</v>
      </c>
      <c r="H12" s="13">
        <v>0.14000000000000001</v>
      </c>
      <c r="I12" s="13">
        <v>0.14000000000000001</v>
      </c>
      <c r="J12" s="13">
        <v>0.14000000000000001</v>
      </c>
      <c r="K12" s="13">
        <v>0.14000000000000001</v>
      </c>
      <c r="L12" s="13">
        <v>0.14000000000000001</v>
      </c>
      <c r="M12" s="13">
        <v>0.14000000000000001</v>
      </c>
    </row>
    <row r="13" spans="2:13" x14ac:dyDescent="0.15">
      <c r="B13" s="68" t="s">
        <v>173</v>
      </c>
      <c r="E13" s="13">
        <v>0.55000000000000004</v>
      </c>
      <c r="F13" s="13">
        <v>0.55000000000000004</v>
      </c>
      <c r="G13" s="13">
        <v>0.55000000000000004</v>
      </c>
      <c r="H13" s="13">
        <v>0.55000000000000004</v>
      </c>
      <c r="I13" s="13">
        <v>0.55000000000000004</v>
      </c>
      <c r="J13" s="13">
        <v>0.55000000000000004</v>
      </c>
      <c r="K13" s="13">
        <v>0.55000000000000004</v>
      </c>
      <c r="L13" s="13">
        <v>0.55000000000000004</v>
      </c>
      <c r="M13" s="13">
        <v>0.55000000000000004</v>
      </c>
    </row>
    <row r="14" spans="2:13" x14ac:dyDescent="0.15">
      <c r="B14" s="68" t="s">
        <v>176</v>
      </c>
      <c r="E14" s="32">
        <v>0.03</v>
      </c>
      <c r="F14" s="32">
        <v>0.03</v>
      </c>
      <c r="G14" s="32">
        <v>0.03</v>
      </c>
      <c r="H14" s="32">
        <v>0.03</v>
      </c>
      <c r="I14" s="32">
        <v>0.03</v>
      </c>
      <c r="J14" s="32">
        <v>0.03</v>
      </c>
      <c r="K14" s="32">
        <v>0.03</v>
      </c>
      <c r="L14" s="32">
        <v>0.03</v>
      </c>
      <c r="M14" s="32">
        <v>0.03</v>
      </c>
    </row>
    <row r="15" spans="2:13" x14ac:dyDescent="0.15">
      <c r="B15" s="68" t="s">
        <v>178</v>
      </c>
      <c r="E15" s="32">
        <v>0.19</v>
      </c>
      <c r="F15" s="32">
        <v>0.19</v>
      </c>
      <c r="G15" s="32">
        <v>0.19</v>
      </c>
      <c r="H15" s="32">
        <v>0.19</v>
      </c>
      <c r="I15" s="32">
        <v>0.19</v>
      </c>
      <c r="J15" s="32">
        <v>0.19</v>
      </c>
      <c r="K15" s="32">
        <v>0.19</v>
      </c>
      <c r="L15" s="32">
        <v>0.19</v>
      </c>
      <c r="M15" s="32">
        <v>0.19</v>
      </c>
    </row>
    <row r="16" spans="2:13" x14ac:dyDescent="0.15">
      <c r="B16" s="68" t="s">
        <v>179</v>
      </c>
      <c r="E16" s="32">
        <v>0.01</v>
      </c>
      <c r="F16" s="32">
        <v>0.01</v>
      </c>
      <c r="G16" s="32">
        <v>0.01</v>
      </c>
      <c r="H16" s="32">
        <v>0.01</v>
      </c>
      <c r="I16" s="32">
        <v>0.01</v>
      </c>
      <c r="J16" s="32">
        <v>0.01</v>
      </c>
      <c r="K16" s="32">
        <v>0.01</v>
      </c>
      <c r="L16" s="32">
        <v>0.01</v>
      </c>
      <c r="M16" s="32">
        <v>0.01</v>
      </c>
    </row>
    <row r="17" spans="1:15" x14ac:dyDescent="0.15">
      <c r="B17" s="68" t="s">
        <v>180</v>
      </c>
      <c r="E17" s="32">
        <v>0.17</v>
      </c>
      <c r="F17" s="32">
        <v>0.17</v>
      </c>
      <c r="G17" s="32">
        <v>0.17</v>
      </c>
      <c r="H17" s="32">
        <v>0.17</v>
      </c>
      <c r="I17" s="32">
        <v>0.17</v>
      </c>
      <c r="J17" s="32">
        <v>0.17</v>
      </c>
      <c r="K17" s="32">
        <v>0.17</v>
      </c>
      <c r="L17" s="32">
        <v>0.17</v>
      </c>
      <c r="M17" s="32">
        <v>0.17</v>
      </c>
      <c r="O17" s="22"/>
    </row>
    <row r="18" spans="1:15" x14ac:dyDescent="0.15">
      <c r="B18" s="68" t="s">
        <v>181</v>
      </c>
      <c r="E18" s="35">
        <v>0.02</v>
      </c>
      <c r="F18" s="35">
        <v>0.02</v>
      </c>
      <c r="G18" s="35">
        <v>0.02</v>
      </c>
      <c r="H18" s="35">
        <v>0.02</v>
      </c>
      <c r="I18" s="35">
        <v>0.02</v>
      </c>
      <c r="J18" s="35">
        <v>0.02</v>
      </c>
      <c r="K18" s="35">
        <v>0.02</v>
      </c>
      <c r="L18" s="35">
        <v>0.02</v>
      </c>
      <c r="M18" s="35">
        <v>0.02</v>
      </c>
      <c r="O18" s="22"/>
    </row>
    <row r="19" spans="1:15" x14ac:dyDescent="0.15">
      <c r="B19" s="68" t="s">
        <v>182</v>
      </c>
      <c r="E19" s="36">
        <v>3.5000000000000003E-2</v>
      </c>
      <c r="F19" s="36">
        <v>3.5000000000000003E-2</v>
      </c>
      <c r="G19" s="36">
        <v>3.5000000000000003E-2</v>
      </c>
      <c r="H19" s="36">
        <v>3.5000000000000003E-2</v>
      </c>
      <c r="I19" s="36">
        <v>3.5000000000000003E-2</v>
      </c>
      <c r="J19" s="36">
        <v>3.5000000000000003E-2</v>
      </c>
      <c r="K19" s="36">
        <v>3.5000000000000003E-2</v>
      </c>
      <c r="L19" s="36">
        <v>3.5000000000000003E-2</v>
      </c>
      <c r="M19" s="36">
        <v>3.5000000000000003E-2</v>
      </c>
      <c r="O19" s="22"/>
    </row>
    <row r="20" spans="1:15" x14ac:dyDescent="0.15">
      <c r="B20" s="68" t="s">
        <v>183</v>
      </c>
      <c r="E20" s="35">
        <v>0.08</v>
      </c>
      <c r="F20" s="35">
        <v>0.08</v>
      </c>
      <c r="G20" s="35">
        <v>0.08</v>
      </c>
      <c r="H20" s="35">
        <v>0.08</v>
      </c>
      <c r="I20" s="35">
        <v>0.08</v>
      </c>
      <c r="J20" s="35">
        <v>0.08</v>
      </c>
      <c r="K20" s="35">
        <v>0.08</v>
      </c>
      <c r="L20" s="35">
        <v>0.08</v>
      </c>
      <c r="M20" s="35">
        <v>0.08</v>
      </c>
      <c r="O20" s="22"/>
    </row>
    <row r="21" spans="1:15" x14ac:dyDescent="0.15">
      <c r="B21" s="68" t="s">
        <v>184</v>
      </c>
      <c r="E21" s="36">
        <v>0.09</v>
      </c>
      <c r="F21" s="36">
        <v>0.09</v>
      </c>
      <c r="G21" s="36">
        <v>0.09</v>
      </c>
      <c r="H21" s="36">
        <v>0.09</v>
      </c>
      <c r="I21" s="36">
        <v>0.09</v>
      </c>
      <c r="J21" s="36">
        <v>0.09</v>
      </c>
      <c r="K21" s="36">
        <v>0.09</v>
      </c>
      <c r="L21" s="36">
        <v>0.09</v>
      </c>
      <c r="M21" s="36">
        <v>0.09</v>
      </c>
      <c r="O21" s="22"/>
    </row>
    <row r="22" spans="1:15" x14ac:dyDescent="0.15">
      <c r="B22" s="68"/>
      <c r="E22" s="36"/>
      <c r="F22" s="36"/>
      <c r="G22" s="36"/>
      <c r="H22" s="36"/>
      <c r="I22" s="36"/>
      <c r="J22" s="36"/>
      <c r="K22" s="36"/>
      <c r="L22" s="36"/>
      <c r="M22" s="36"/>
      <c r="O22" s="22"/>
    </row>
    <row r="23" spans="1:15" x14ac:dyDescent="0.15">
      <c r="A23" s="39"/>
      <c r="B23" s="69" t="s">
        <v>224</v>
      </c>
    </row>
    <row r="24" spans="1:15" x14ac:dyDescent="0.15">
      <c r="B24" s="70"/>
    </row>
    <row r="25" spans="1:15" s="40" customFormat="1" x14ac:dyDescent="0.15">
      <c r="B25" s="71" t="s">
        <v>225</v>
      </c>
      <c r="E25" s="42">
        <v>3.5000000000000003E-2</v>
      </c>
      <c r="F25" s="42">
        <v>0.03</v>
      </c>
      <c r="G25" s="42">
        <v>2.75E-2</v>
      </c>
      <c r="H25" s="42">
        <v>2.75E-2</v>
      </c>
      <c r="I25" s="42">
        <v>2.75E-2</v>
      </c>
      <c r="J25" s="42">
        <v>2.75E-2</v>
      </c>
      <c r="K25" s="42">
        <v>2.75E-2</v>
      </c>
      <c r="L25" s="42">
        <v>2.75E-2</v>
      </c>
      <c r="M25" s="42">
        <v>2.75E-2</v>
      </c>
    </row>
    <row r="26" spans="1:15" s="40" customFormat="1" x14ac:dyDescent="0.15">
      <c r="B26" s="71" t="s">
        <v>226</v>
      </c>
      <c r="E26" s="42">
        <v>5.5E-2</v>
      </c>
      <c r="F26" s="42">
        <v>5.5E-2</v>
      </c>
      <c r="G26" s="42">
        <v>5.5E-2</v>
      </c>
      <c r="H26" s="42">
        <v>5.5E-2</v>
      </c>
      <c r="I26" s="42">
        <v>5.5E-2</v>
      </c>
      <c r="J26" s="42">
        <v>5.5E-2</v>
      </c>
      <c r="K26" s="42">
        <v>5.5E-2</v>
      </c>
      <c r="L26" s="42">
        <v>5.5E-2</v>
      </c>
      <c r="M26" s="42">
        <v>5.5E-2</v>
      </c>
    </row>
    <row r="27" spans="1:15" s="40" customFormat="1" x14ac:dyDescent="0.15">
      <c r="B27" s="71" t="s">
        <v>227</v>
      </c>
      <c r="E27" s="50">
        <v>6.4000000000000001E-2</v>
      </c>
      <c r="F27" s="50">
        <v>6.4000000000000001E-2</v>
      </c>
      <c r="G27" s="50">
        <v>6.4000000000000001E-2</v>
      </c>
      <c r="H27" s="50">
        <v>6.4000000000000001E-2</v>
      </c>
      <c r="I27" s="50">
        <v>6.4000000000000001E-2</v>
      </c>
      <c r="J27" s="50">
        <v>6.4000000000000001E-2</v>
      </c>
      <c r="K27" s="50">
        <v>6.4000000000000001E-2</v>
      </c>
      <c r="L27" s="50">
        <v>6.4000000000000001E-2</v>
      </c>
      <c r="M27" s="50">
        <v>6.4000000000000001E-2</v>
      </c>
    </row>
    <row r="28" spans="1:15" s="43" customFormat="1" x14ac:dyDescent="0.15">
      <c r="B28" s="72" t="s">
        <v>228</v>
      </c>
      <c r="E28" s="44"/>
      <c r="F28" s="51">
        <f t="shared" ref="F28:M28" si="1">E4</f>
        <v>4.2000000000000003E-2</v>
      </c>
      <c r="G28" s="51">
        <f t="shared" si="1"/>
        <v>4.2000000000000003E-2</v>
      </c>
      <c r="H28" s="51">
        <f t="shared" si="1"/>
        <v>0.04</v>
      </c>
      <c r="I28" s="51">
        <f t="shared" si="1"/>
        <v>0.04</v>
      </c>
      <c r="J28" s="51">
        <f t="shared" si="1"/>
        <v>3.7999999999999999E-2</v>
      </c>
      <c r="K28" s="51">
        <f t="shared" si="1"/>
        <v>3.7999999999999999E-2</v>
      </c>
      <c r="L28" s="51">
        <f t="shared" si="1"/>
        <v>3.5999999999999997E-2</v>
      </c>
      <c r="M28" s="51">
        <f t="shared" si="1"/>
        <v>3.5999999999999997E-2</v>
      </c>
    </row>
    <row r="29" spans="1:15" x14ac:dyDescent="0.15">
      <c r="A29" s="38"/>
      <c r="B29" s="73" t="s">
        <v>229</v>
      </c>
      <c r="E29" s="45">
        <f>E25+D39*E26</f>
        <v>9.1650000000000009E-2</v>
      </c>
      <c r="F29" s="45">
        <f>F25+E39*F26</f>
        <v>8.6650000000000005E-2</v>
      </c>
      <c r="G29" s="45">
        <f t="shared" ref="G29:M29" si="2">G25+F39*G26</f>
        <v>8.3600000000000008E-2</v>
      </c>
      <c r="H29" s="45">
        <f t="shared" si="2"/>
        <v>8.3600000000000008E-2</v>
      </c>
      <c r="I29" s="45">
        <f t="shared" si="2"/>
        <v>8.3600000000000008E-2</v>
      </c>
      <c r="J29" s="45">
        <f t="shared" si="2"/>
        <v>8.3049999999999999E-2</v>
      </c>
      <c r="K29" s="45">
        <f t="shared" si="2"/>
        <v>8.3049999999999999E-2</v>
      </c>
      <c r="L29" s="45">
        <f t="shared" si="2"/>
        <v>8.3049999999999999E-2</v>
      </c>
      <c r="M29" s="45">
        <f t="shared" si="2"/>
        <v>8.2500000000000004E-2</v>
      </c>
    </row>
    <row r="30" spans="1:15" x14ac:dyDescent="0.15">
      <c r="A30" s="46"/>
      <c r="B30" s="74" t="s">
        <v>230</v>
      </c>
      <c r="E30" s="45">
        <f>E70/($C$41+E70)</f>
        <v>0.27457478290202669</v>
      </c>
      <c r="F30" s="45">
        <f>E30</f>
        <v>0.27457478290202669</v>
      </c>
      <c r="G30" s="45">
        <f t="shared" ref="G30:M30" si="3">F30</f>
        <v>0.27457478290202669</v>
      </c>
      <c r="H30" s="45">
        <f t="shared" si="3"/>
        <v>0.27457478290202669</v>
      </c>
      <c r="I30" s="45">
        <f>H30</f>
        <v>0.27457478290202669</v>
      </c>
      <c r="J30" s="45">
        <f t="shared" si="3"/>
        <v>0.27457478290202669</v>
      </c>
      <c r="K30" s="45">
        <f t="shared" si="3"/>
        <v>0.27457478290202669</v>
      </c>
      <c r="L30" s="45">
        <f t="shared" si="3"/>
        <v>0.27457478290202669</v>
      </c>
      <c r="M30" s="45">
        <f t="shared" si="3"/>
        <v>0.27457478290202669</v>
      </c>
    </row>
    <row r="31" spans="1:15" x14ac:dyDescent="0.15">
      <c r="A31" s="47"/>
      <c r="B31" s="75" t="s">
        <v>231</v>
      </c>
      <c r="E31" s="45">
        <f>(1-E30)*E29+E30*E27*(1-E8)</f>
        <v>7.9664810726326543E-2</v>
      </c>
      <c r="F31" s="45">
        <f>(1-F30)*F29+F30*F27*(1-F8)</f>
        <v>7.6037684640836684E-2</v>
      </c>
      <c r="G31" s="45">
        <f t="shared" ref="G31:M31" si="4">(1-G30)*G29+G30*G27*(1-G8)</f>
        <v>7.3825137728687859E-2</v>
      </c>
      <c r="H31" s="45">
        <f t="shared" si="4"/>
        <v>7.3825137728687859E-2</v>
      </c>
      <c r="I31" s="45">
        <f t="shared" si="4"/>
        <v>7.3825137728687859E-2</v>
      </c>
      <c r="J31" s="45">
        <f t="shared" si="4"/>
        <v>7.3426153859283971E-2</v>
      </c>
      <c r="K31" s="45">
        <f t="shared" si="4"/>
        <v>7.3426153859283971E-2</v>
      </c>
      <c r="L31" s="45">
        <f t="shared" si="4"/>
        <v>7.3426153859283971E-2</v>
      </c>
      <c r="M31" s="45">
        <f t="shared" si="4"/>
        <v>7.3027169989880097E-2</v>
      </c>
    </row>
    <row r="32" spans="1:15" s="40" customFormat="1" x14ac:dyDescent="0.15">
      <c r="B32" s="71" t="s">
        <v>232</v>
      </c>
      <c r="E32" s="48">
        <v>0.03</v>
      </c>
      <c r="F32" s="48"/>
      <c r="G32" s="48"/>
      <c r="H32" s="48"/>
      <c r="I32" s="48"/>
      <c r="J32" s="48"/>
      <c r="K32" s="48"/>
      <c r="L32" s="48"/>
      <c r="M32" s="48"/>
    </row>
    <row r="33" spans="2:25" s="40" customFormat="1" x14ac:dyDescent="0.15">
      <c r="B33" s="71" t="s">
        <v>233</v>
      </c>
      <c r="E33" s="49">
        <f>M31</f>
        <v>7.3027169989880097E-2</v>
      </c>
      <c r="F33" s="48"/>
      <c r="G33" s="48"/>
      <c r="H33" s="48"/>
      <c r="I33" s="48"/>
      <c r="J33" s="48"/>
      <c r="K33" s="48"/>
      <c r="L33" s="48"/>
      <c r="M33" s="48"/>
    </row>
    <row r="34" spans="2:25" s="40" customFormat="1" x14ac:dyDescent="0.15">
      <c r="B34" s="71"/>
      <c r="D34" s="49"/>
      <c r="E34" s="48"/>
      <c r="F34" s="48"/>
      <c r="G34" s="48"/>
      <c r="H34" s="48"/>
      <c r="I34" s="48"/>
      <c r="J34" s="48"/>
      <c r="K34" s="48"/>
      <c r="L34" s="48"/>
    </row>
    <row r="35" spans="2:25" x14ac:dyDescent="0.15">
      <c r="B35" s="69" t="s">
        <v>206</v>
      </c>
    </row>
    <row r="36" spans="2:25" x14ac:dyDescent="0.15">
      <c r="B36" s="70"/>
    </row>
    <row r="37" spans="2:25" s="40" customFormat="1" x14ac:dyDescent="0.15">
      <c r="B37" s="71" t="s">
        <v>207</v>
      </c>
      <c r="E37" s="41">
        <v>1</v>
      </c>
      <c r="F37" s="41">
        <v>1</v>
      </c>
      <c r="G37" s="41">
        <v>1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</row>
    <row r="38" spans="2:25" s="40" customFormat="1" x14ac:dyDescent="0.15">
      <c r="B38" s="71" t="s">
        <v>208</v>
      </c>
      <c r="C38" s="41">
        <v>0.46</v>
      </c>
      <c r="D38" s="41">
        <v>0.46</v>
      </c>
      <c r="E38" s="41">
        <v>0.46</v>
      </c>
      <c r="F38" s="41">
        <v>0.46</v>
      </c>
      <c r="G38" s="41">
        <v>0.46</v>
      </c>
      <c r="H38" s="41">
        <v>0.46</v>
      </c>
      <c r="I38" s="41">
        <v>0.46</v>
      </c>
      <c r="J38" s="41">
        <v>0.46</v>
      </c>
      <c r="K38" s="41">
        <v>0.46</v>
      </c>
      <c r="L38" s="41">
        <v>0.46</v>
      </c>
      <c r="M38" s="41">
        <v>0.46</v>
      </c>
    </row>
    <row r="39" spans="2:25" ht="16" x14ac:dyDescent="0.2">
      <c r="B39" s="71" t="s">
        <v>234</v>
      </c>
      <c r="C39" s="57">
        <v>1.03</v>
      </c>
      <c r="D39" s="57">
        <v>1.03</v>
      </c>
      <c r="E39" s="57">
        <v>1.03</v>
      </c>
      <c r="F39" s="57">
        <v>1.02</v>
      </c>
      <c r="G39" s="57">
        <v>1.02</v>
      </c>
      <c r="H39" s="57">
        <v>1.02</v>
      </c>
      <c r="I39" s="57">
        <v>1.01</v>
      </c>
      <c r="J39" s="57">
        <v>1.01</v>
      </c>
      <c r="K39" s="57">
        <v>1.01</v>
      </c>
      <c r="L39" s="57">
        <v>1</v>
      </c>
      <c r="M39" s="57">
        <v>1</v>
      </c>
      <c r="O39" s="37" t="s">
        <v>177</v>
      </c>
    </row>
    <row r="40" spans="2:25" ht="16" x14ac:dyDescent="0.2">
      <c r="B40" s="71" t="s">
        <v>242</v>
      </c>
      <c r="C40" s="57">
        <v>417.48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O40" s="37"/>
    </row>
    <row r="41" spans="2:25" ht="16" x14ac:dyDescent="0.2">
      <c r="B41" s="71" t="s">
        <v>243</v>
      </c>
      <c r="C41" s="57">
        <f>62990</f>
        <v>62990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O41" s="37"/>
    </row>
    <row r="42" spans="2:25" x14ac:dyDescent="0.15">
      <c r="B42" s="68"/>
    </row>
    <row r="43" spans="2:25" x14ac:dyDescent="0.15">
      <c r="B43" s="76" t="s">
        <v>174</v>
      </c>
      <c r="O43" s="33">
        <v>2023</v>
      </c>
      <c r="P43" s="33">
        <v>2024</v>
      </c>
      <c r="Q43" s="33">
        <v>2025</v>
      </c>
      <c r="R43" s="33">
        <v>2026</v>
      </c>
      <c r="S43" s="33">
        <v>2027</v>
      </c>
      <c r="T43" s="33">
        <v>2028</v>
      </c>
      <c r="U43" s="33">
        <v>2029</v>
      </c>
      <c r="V43" s="33">
        <v>2030</v>
      </c>
      <c r="W43" s="33">
        <v>2031</v>
      </c>
      <c r="X43" s="33">
        <v>2032</v>
      </c>
      <c r="Y43" s="33">
        <v>2033</v>
      </c>
    </row>
    <row r="44" spans="2:25" x14ac:dyDescent="0.15">
      <c r="B44" s="70"/>
    </row>
    <row r="45" spans="2:25" x14ac:dyDescent="0.15">
      <c r="B45" s="70" t="str">
        <f>IS!A21</f>
        <v>Sales Revenue</v>
      </c>
      <c r="C45" s="23">
        <f>IS!J21</f>
        <v>107588</v>
      </c>
      <c r="D45" s="23">
        <f>IS!K21</f>
        <v>105803</v>
      </c>
      <c r="E45" s="25"/>
      <c r="F45" s="25"/>
      <c r="G45" s="25"/>
      <c r="H45" s="25"/>
      <c r="I45" s="25"/>
      <c r="J45" s="25"/>
      <c r="K45" s="25"/>
      <c r="L45" s="25"/>
      <c r="M45" s="25"/>
    </row>
    <row r="46" spans="2:25" x14ac:dyDescent="0.15">
      <c r="B46" s="70" t="str">
        <f>IS!A22</f>
        <v>Other Revenue</v>
      </c>
      <c r="C46" s="23">
        <f>IS!J22</f>
        <v>1532</v>
      </c>
      <c r="D46" s="23">
        <f>IS!K22</f>
        <v>1609</v>
      </c>
      <c r="E46" s="25"/>
    </row>
    <row r="47" spans="2:25" x14ac:dyDescent="0.15">
      <c r="B47" s="70" t="str">
        <f>IS!A23</f>
        <v>Total Revenue</v>
      </c>
      <c r="C47" s="23">
        <f>IS!J23</f>
        <v>109120</v>
      </c>
      <c r="D47" s="23">
        <f>IS!K23</f>
        <v>107412</v>
      </c>
      <c r="E47" s="25">
        <f t="shared" ref="E47:M47" si="5">D47*(1+E4)</f>
        <v>111923.304</v>
      </c>
      <c r="F47" s="25">
        <f t="shared" si="5"/>
        <v>116624.08276800001</v>
      </c>
      <c r="G47" s="25">
        <f t="shared" si="5"/>
        <v>121289.04607872001</v>
      </c>
      <c r="H47" s="25">
        <f t="shared" si="5"/>
        <v>126140.60792186882</v>
      </c>
      <c r="I47" s="25">
        <f t="shared" si="5"/>
        <v>130933.95102289984</v>
      </c>
      <c r="J47" s="25">
        <f t="shared" si="5"/>
        <v>135909.44116177005</v>
      </c>
      <c r="K47" s="25">
        <f t="shared" si="5"/>
        <v>140802.18104359377</v>
      </c>
      <c r="L47" s="25">
        <f t="shared" si="5"/>
        <v>145871.05956116316</v>
      </c>
      <c r="M47" s="25">
        <f t="shared" si="5"/>
        <v>150830.67558624272</v>
      </c>
    </row>
    <row r="48" spans="2:25" x14ac:dyDescent="0.15">
      <c r="B48" s="70" t="str">
        <f>IS!A24</f>
        <v>Direct Costs</v>
      </c>
      <c r="C48" s="23">
        <f>IS!J24</f>
        <v>82229</v>
      </c>
      <c r="D48" s="23">
        <f>IS!K24</f>
        <v>77736</v>
      </c>
      <c r="E48" s="25">
        <f>E47*(E5)</f>
        <v>78346.3128</v>
      </c>
      <c r="F48" s="25">
        <f t="shared" ref="F48:M48" si="6">F47*(F5)</f>
        <v>81636.857937599998</v>
      </c>
      <c r="G48" s="25">
        <f t="shared" si="6"/>
        <v>85144.910347261452</v>
      </c>
      <c r="H48" s="25">
        <f t="shared" si="6"/>
        <v>88550.706761151916</v>
      </c>
      <c r="I48" s="25">
        <f t="shared" si="6"/>
        <v>92177.501520121485</v>
      </c>
      <c r="J48" s="25">
        <f t="shared" si="6"/>
        <v>95680.246577886108</v>
      </c>
      <c r="K48" s="25">
        <f t="shared" si="6"/>
        <v>99406.339816777196</v>
      </c>
      <c r="L48" s="25">
        <f t="shared" si="6"/>
        <v>102984.96805018118</v>
      </c>
      <c r="M48" s="25">
        <f t="shared" si="6"/>
        <v>106486.45696388735</v>
      </c>
    </row>
    <row r="49" spans="2:25" x14ac:dyDescent="0.15">
      <c r="B49" s="70" t="str">
        <f>IS!A25</f>
        <v>Gross Profit</v>
      </c>
      <c r="C49" s="23">
        <f>IS!J25</f>
        <v>26891</v>
      </c>
      <c r="D49" s="23">
        <f>IS!K25</f>
        <v>29676</v>
      </c>
      <c r="E49" s="25">
        <f>E47-E48</f>
        <v>33576.991200000004</v>
      </c>
      <c r="F49" s="25">
        <f t="shared" ref="F49:M49" si="7">F47-F48</f>
        <v>34987.22483040001</v>
      </c>
      <c r="G49" s="25">
        <f t="shared" si="7"/>
        <v>36144.135731458562</v>
      </c>
      <c r="H49" s="25">
        <f t="shared" si="7"/>
        <v>37589.901160716909</v>
      </c>
      <c r="I49" s="25">
        <f>I47-I48</f>
        <v>38756.449502778356</v>
      </c>
      <c r="J49" s="25">
        <f t="shared" si="7"/>
        <v>40229.194583883946</v>
      </c>
      <c r="K49" s="25">
        <f t="shared" si="7"/>
        <v>41395.84122681657</v>
      </c>
      <c r="L49" s="25">
        <f t="shared" si="7"/>
        <v>42886.091510981976</v>
      </c>
      <c r="M49" s="25">
        <f t="shared" si="7"/>
        <v>44344.218622355373</v>
      </c>
    </row>
    <row r="50" spans="2:25" x14ac:dyDescent="0.15">
      <c r="B50" s="70" t="str">
        <f>IS!A26</f>
        <v>Selling General &amp; Admin</v>
      </c>
      <c r="C50" s="23">
        <f>IS!J26</f>
        <v>20658</v>
      </c>
      <c r="D50" s="23">
        <f>IS!K26</f>
        <v>21554</v>
      </c>
      <c r="E50" s="25">
        <f>E47*E6</f>
        <v>22160.814192000002</v>
      </c>
      <c r="F50" s="25">
        <f t="shared" ref="F50:M50" si="8">F47*F6</f>
        <v>23208.192470832004</v>
      </c>
      <c r="G50" s="25">
        <f t="shared" si="8"/>
        <v>24257.809215744004</v>
      </c>
      <c r="H50" s="25">
        <f t="shared" si="8"/>
        <v>25354.262192295635</v>
      </c>
      <c r="I50" s="25">
        <f t="shared" si="8"/>
        <v>26448.658106625768</v>
      </c>
      <c r="J50" s="25">
        <f t="shared" si="8"/>
        <v>27589.616555839322</v>
      </c>
      <c r="K50" s="25">
        <f t="shared" si="8"/>
        <v>28723.64493289313</v>
      </c>
      <c r="L50" s="25">
        <f t="shared" si="8"/>
        <v>29903.567210038451</v>
      </c>
      <c r="M50" s="25">
        <f t="shared" si="8"/>
        <v>31071.119170766004</v>
      </c>
    </row>
    <row r="51" spans="2:25" x14ac:dyDescent="0.15">
      <c r="B51" s="70" t="str">
        <f>IS!A27</f>
        <v>Depreciation &amp; Amortization</v>
      </c>
      <c r="C51" s="23">
        <f>IS!J27</f>
        <v>2385</v>
      </c>
      <c r="D51" s="23">
        <f>IS!K27</f>
        <v>2415</v>
      </c>
      <c r="E51" s="25">
        <f t="shared" ref="E51:M51" si="9">E47*E7</f>
        <v>3021.929208</v>
      </c>
      <c r="F51" s="25">
        <f t="shared" si="9"/>
        <v>3148.8502347359999</v>
      </c>
      <c r="G51" s="25">
        <f t="shared" si="9"/>
        <v>3274.8042441254402</v>
      </c>
      <c r="H51" s="25">
        <f t="shared" si="9"/>
        <v>3405.7964138904581</v>
      </c>
      <c r="I51" s="25">
        <f t="shared" si="9"/>
        <v>3535.2166776182958</v>
      </c>
      <c r="J51" s="25">
        <f t="shared" si="9"/>
        <v>3669.5549113677912</v>
      </c>
      <c r="K51" s="25">
        <f t="shared" si="9"/>
        <v>3801.6588881770317</v>
      </c>
      <c r="L51" s="25">
        <f t="shared" si="9"/>
        <v>3938.5186081514053</v>
      </c>
      <c r="M51" s="25">
        <f t="shared" si="9"/>
        <v>4072.4282408285535</v>
      </c>
    </row>
    <row r="52" spans="2:25" x14ac:dyDescent="0.15">
      <c r="B52" s="70" t="str">
        <f>IS!A29</f>
        <v>Total Indirect Operating Costs</v>
      </c>
      <c r="C52" s="23">
        <f>IS!J29</f>
        <v>23043</v>
      </c>
      <c r="D52" s="23">
        <f>IS!K29</f>
        <v>23969</v>
      </c>
      <c r="E52" s="25">
        <f>SUM(E50:E51)</f>
        <v>25182.743400000003</v>
      </c>
      <c r="F52" s="25">
        <f t="shared" ref="F52:M52" si="10">SUM(F50:F51)</f>
        <v>26357.042705568005</v>
      </c>
      <c r="G52" s="25">
        <f t="shared" si="10"/>
        <v>27532.613459869444</v>
      </c>
      <c r="H52" s="25">
        <f t="shared" si="10"/>
        <v>28760.058606186092</v>
      </c>
      <c r="I52" s="25">
        <f t="shared" si="10"/>
        <v>29983.874784244064</v>
      </c>
      <c r="J52" s="25">
        <f t="shared" si="10"/>
        <v>31259.171467207114</v>
      </c>
      <c r="K52" s="25">
        <f t="shared" si="10"/>
        <v>32525.303821070163</v>
      </c>
      <c r="L52" s="25">
        <f t="shared" si="10"/>
        <v>33842.085818189858</v>
      </c>
      <c r="M52" s="25">
        <f t="shared" si="10"/>
        <v>35143.547411594554</v>
      </c>
    </row>
    <row r="53" spans="2:25" x14ac:dyDescent="0.15">
      <c r="B53" s="70" t="str">
        <f>IS!A30</f>
        <v>Operating Income</v>
      </c>
      <c r="C53" s="23">
        <f>IS!J30</f>
        <v>3848</v>
      </c>
      <c r="D53" s="23">
        <f>IS!K30</f>
        <v>5707</v>
      </c>
      <c r="E53" s="25">
        <f>E49-E52</f>
        <v>8394.247800000001</v>
      </c>
      <c r="F53" s="25">
        <f>F49-F52</f>
        <v>8630.1821248320048</v>
      </c>
      <c r="G53" s="25">
        <f t="shared" ref="G53:M53" si="11">G49-G52</f>
        <v>8611.5222715891177</v>
      </c>
      <c r="H53" s="25">
        <f t="shared" si="11"/>
        <v>8829.8425545308164</v>
      </c>
      <c r="I53" s="25">
        <f t="shared" si="11"/>
        <v>8772.5747185342916</v>
      </c>
      <c r="J53" s="25">
        <f t="shared" si="11"/>
        <v>8970.0231166768317</v>
      </c>
      <c r="K53" s="25">
        <f t="shared" si="11"/>
        <v>8870.5374057464069</v>
      </c>
      <c r="L53" s="25">
        <f t="shared" si="11"/>
        <v>9044.0056927921178</v>
      </c>
      <c r="M53" s="25">
        <f t="shared" si="11"/>
        <v>9200.6712107608182</v>
      </c>
    </row>
    <row r="54" spans="2:25" x14ac:dyDescent="0.15">
      <c r="B54" s="70" t="str">
        <f>IS!A35</f>
        <v>Earnings Before Tax</v>
      </c>
      <c r="C54" s="23">
        <f>IS!J35</f>
        <v>3418</v>
      </c>
      <c r="D54" s="23">
        <f>IS!K35</f>
        <v>5297</v>
      </c>
      <c r="E54" s="25">
        <f>E53</f>
        <v>8394.247800000001</v>
      </c>
      <c r="F54" s="25">
        <f t="shared" ref="F54:M54" si="12">F53</f>
        <v>8630.1821248320048</v>
      </c>
      <c r="G54" s="25">
        <f t="shared" si="12"/>
        <v>8611.5222715891177</v>
      </c>
      <c r="H54" s="25">
        <f t="shared" si="12"/>
        <v>8829.8425545308164</v>
      </c>
      <c r="I54" s="25">
        <f t="shared" si="12"/>
        <v>8772.5747185342916</v>
      </c>
      <c r="J54" s="25">
        <f t="shared" si="12"/>
        <v>8970.0231166768317</v>
      </c>
      <c r="K54" s="25">
        <f t="shared" si="12"/>
        <v>8870.5374057464069</v>
      </c>
      <c r="L54" s="25">
        <f t="shared" si="12"/>
        <v>9044.0056927921178</v>
      </c>
      <c r="M54" s="25">
        <f t="shared" si="12"/>
        <v>9200.6712107608182</v>
      </c>
    </row>
    <row r="55" spans="2:25" x14ac:dyDescent="0.15">
      <c r="B55" s="70" t="str">
        <f>IS!A36</f>
        <v>Taxation</v>
      </c>
      <c r="C55" s="23">
        <f>IS!J36</f>
        <v>638</v>
      </c>
      <c r="D55" s="23">
        <f>IS!K36</f>
        <v>1159</v>
      </c>
      <c r="E55" s="25">
        <f t="shared" ref="E55:M55" si="13">E54*E8</f>
        <v>2098.5619500000003</v>
      </c>
      <c r="F55" s="25">
        <f t="shared" si="13"/>
        <v>2157.5455312080012</v>
      </c>
      <c r="G55" s="25">
        <f t="shared" si="13"/>
        <v>2152.8805678972794</v>
      </c>
      <c r="H55" s="25">
        <f t="shared" si="13"/>
        <v>2207.4606386327041</v>
      </c>
      <c r="I55" s="25">
        <f t="shared" si="13"/>
        <v>2193.1436796335729</v>
      </c>
      <c r="J55" s="25">
        <f t="shared" si="13"/>
        <v>2242.5057791692079</v>
      </c>
      <c r="K55" s="25">
        <f t="shared" si="13"/>
        <v>2217.6343514366017</v>
      </c>
      <c r="L55" s="25">
        <f t="shared" si="13"/>
        <v>2261.0014231980294</v>
      </c>
      <c r="M55" s="25">
        <f t="shared" si="13"/>
        <v>2300.1678026902046</v>
      </c>
    </row>
    <row r="56" spans="2:25" x14ac:dyDescent="0.15">
      <c r="B56" s="70" t="str">
        <f>IS!A40</f>
        <v>Net Income</v>
      </c>
      <c r="C56" s="23">
        <f>IS!J40</f>
        <v>2780</v>
      </c>
      <c r="D56" s="23">
        <f>IS!K40</f>
        <v>4138</v>
      </c>
      <c r="E56" s="25">
        <f>E54-E55</f>
        <v>6295.6858500000008</v>
      </c>
      <c r="F56" s="25">
        <f t="shared" ref="F56:M56" si="14">F54-F55</f>
        <v>6472.6365936240036</v>
      </c>
      <c r="G56" s="25">
        <f t="shared" si="14"/>
        <v>6458.6417036918383</v>
      </c>
      <c r="H56" s="25">
        <f t="shared" si="14"/>
        <v>6622.3819158981123</v>
      </c>
      <c r="I56" s="25">
        <f t="shared" si="14"/>
        <v>6579.4310389007187</v>
      </c>
      <c r="J56" s="25">
        <f t="shared" si="14"/>
        <v>6727.5173375076238</v>
      </c>
      <c r="K56" s="25">
        <f t="shared" si="14"/>
        <v>6652.9030543098052</v>
      </c>
      <c r="L56" s="25">
        <f t="shared" si="14"/>
        <v>6783.0042695940883</v>
      </c>
      <c r="M56" s="25">
        <f t="shared" si="14"/>
        <v>6900.5034080706137</v>
      </c>
      <c r="O56" s="19">
        <f>C56/C47</f>
        <v>2.5476539589442817E-2</v>
      </c>
      <c r="P56" s="19">
        <f t="shared" ref="P56:Y56" si="15">D56/D47</f>
        <v>3.8524559639518861E-2</v>
      </c>
      <c r="Q56" s="19">
        <f t="shared" si="15"/>
        <v>5.6250000000000008E-2</v>
      </c>
      <c r="R56" s="19">
        <f t="shared" si="15"/>
        <v>5.5500000000000028E-2</v>
      </c>
      <c r="S56" s="19">
        <f t="shared" si="15"/>
        <v>5.3249999999999978E-2</v>
      </c>
      <c r="T56" s="19">
        <f t="shared" si="15"/>
        <v>5.2499999999999991E-2</v>
      </c>
      <c r="U56" s="19">
        <f t="shared" si="15"/>
        <v>5.025000000000001E-2</v>
      </c>
      <c r="V56" s="19">
        <f t="shared" si="15"/>
        <v>4.9500000000000044E-2</v>
      </c>
      <c r="W56" s="19">
        <f t="shared" si="15"/>
        <v>4.725E-2</v>
      </c>
      <c r="X56" s="19">
        <f t="shared" si="15"/>
        <v>4.6500000000000014E-2</v>
      </c>
      <c r="Y56" s="19">
        <f t="shared" si="15"/>
        <v>4.5750000000000061E-2</v>
      </c>
    </row>
    <row r="57" spans="2:25" x14ac:dyDescent="0.15">
      <c r="B57" s="76" t="s">
        <v>175</v>
      </c>
    </row>
    <row r="58" spans="2:25" x14ac:dyDescent="0.15">
      <c r="B58" s="77" t="s">
        <v>55</v>
      </c>
      <c r="C58" s="23">
        <v>2229</v>
      </c>
      <c r="D58" s="23">
        <v>3805</v>
      </c>
      <c r="E58" s="25">
        <f>E$47*(E10)</f>
        <v>4476.9321600000003</v>
      </c>
      <c r="F58" s="25">
        <f t="shared" ref="F58:M58" si="16">F47*(F10)</f>
        <v>4664.9633107200007</v>
      </c>
      <c r="G58" s="25">
        <f t="shared" si="16"/>
        <v>4851.561843148801</v>
      </c>
      <c r="H58" s="25">
        <f t="shared" si="16"/>
        <v>3784.2182376560645</v>
      </c>
      <c r="I58" s="25">
        <f t="shared" si="16"/>
        <v>3928.0185306869953</v>
      </c>
      <c r="J58" s="25">
        <f t="shared" si="16"/>
        <v>4077.2832348531015</v>
      </c>
      <c r="K58" s="25">
        <f t="shared" si="16"/>
        <v>4224.065431307813</v>
      </c>
      <c r="L58" s="25">
        <f t="shared" si="16"/>
        <v>4376.1317868348942</v>
      </c>
      <c r="M58" s="25">
        <f t="shared" si="16"/>
        <v>4524.9202675872812</v>
      </c>
    </row>
    <row r="59" spans="2:25" x14ac:dyDescent="0.15">
      <c r="B59" s="77" t="s">
        <v>56</v>
      </c>
      <c r="C59" s="23">
        <v>1695</v>
      </c>
      <c r="D59" s="23">
        <v>1404</v>
      </c>
      <c r="E59" s="25">
        <f>E$47*(E11)</f>
        <v>1678.8495599999999</v>
      </c>
      <c r="F59" s="25">
        <f t="shared" ref="F59:M60" si="17">F$47*(F11)</f>
        <v>1749.36124152</v>
      </c>
      <c r="G59" s="25">
        <f t="shared" si="17"/>
        <v>1819.3356911808</v>
      </c>
      <c r="H59" s="25">
        <f t="shared" si="17"/>
        <v>1892.1091188280323</v>
      </c>
      <c r="I59" s="25">
        <f t="shared" si="17"/>
        <v>1964.0092653434976</v>
      </c>
      <c r="J59" s="25">
        <f t="shared" si="17"/>
        <v>2038.6416174265507</v>
      </c>
      <c r="K59" s="25">
        <f t="shared" si="17"/>
        <v>2112.0327156539065</v>
      </c>
      <c r="L59" s="25">
        <f t="shared" si="17"/>
        <v>2188.0658934174471</v>
      </c>
      <c r="M59" s="25">
        <f t="shared" si="17"/>
        <v>2262.4601337936406</v>
      </c>
    </row>
    <row r="60" spans="2:25" x14ac:dyDescent="0.15">
      <c r="B60" s="77" t="s">
        <v>57</v>
      </c>
      <c r="C60" s="23">
        <v>13499</v>
      </c>
      <c r="D60" s="23">
        <v>11886</v>
      </c>
      <c r="E60" s="25">
        <f>E$47*(E12)</f>
        <v>15669.262560000003</v>
      </c>
      <c r="F60" s="25">
        <f t="shared" si="17"/>
        <v>16327.371587520003</v>
      </c>
      <c r="G60" s="25">
        <f t="shared" si="17"/>
        <v>16980.466451020802</v>
      </c>
      <c r="H60" s="25">
        <f t="shared" si="17"/>
        <v>17659.685109061636</v>
      </c>
      <c r="I60" s="25">
        <f t="shared" si="17"/>
        <v>18330.75314320598</v>
      </c>
      <c r="J60" s="25">
        <f t="shared" si="17"/>
        <v>19027.321762647811</v>
      </c>
      <c r="K60" s="25">
        <f t="shared" si="17"/>
        <v>19712.30534610313</v>
      </c>
      <c r="L60" s="25">
        <f t="shared" si="17"/>
        <v>20421.948338562845</v>
      </c>
      <c r="M60" s="25">
        <f t="shared" si="17"/>
        <v>21116.294582073984</v>
      </c>
      <c r="O60" s="25"/>
    </row>
    <row r="61" spans="2:25" x14ac:dyDescent="0.15">
      <c r="B61" s="77" t="s">
        <v>62</v>
      </c>
      <c r="C61" s="23">
        <v>17846</v>
      </c>
      <c r="D61" s="23">
        <v>17498</v>
      </c>
      <c r="E61" s="25">
        <f>SUM(E58:E60)</f>
        <v>21825.044280000002</v>
      </c>
      <c r="F61" s="25">
        <f t="shared" ref="F61:M61" si="18">SUM(F58:F60)</f>
        <v>22741.696139760003</v>
      </c>
      <c r="G61" s="25">
        <f t="shared" si="18"/>
        <v>23651.363985350403</v>
      </c>
      <c r="H61" s="25">
        <f t="shared" si="18"/>
        <v>23336.012465545733</v>
      </c>
      <c r="I61" s="25">
        <f t="shared" si="18"/>
        <v>24222.780939236472</v>
      </c>
      <c r="J61" s="25">
        <f t="shared" si="18"/>
        <v>25143.246614927462</v>
      </c>
      <c r="K61" s="25">
        <f t="shared" si="18"/>
        <v>26048.403493064849</v>
      </c>
      <c r="L61" s="25">
        <f t="shared" si="18"/>
        <v>26986.146018815187</v>
      </c>
      <c r="M61" s="25">
        <f t="shared" si="18"/>
        <v>27903.674983454905</v>
      </c>
    </row>
    <row r="62" spans="2:25" x14ac:dyDescent="0.15">
      <c r="B62" s="77" t="s">
        <v>63</v>
      </c>
      <c r="C62" s="23">
        <v>54143</v>
      </c>
      <c r="D62" s="23">
        <v>57509</v>
      </c>
      <c r="E62" s="25">
        <f t="shared" ref="E62:M62" si="19">E47*E13</f>
        <v>61557.817200000005</v>
      </c>
      <c r="F62" s="25">
        <f t="shared" si="19"/>
        <v>64143.245522400008</v>
      </c>
      <c r="G62" s="25">
        <f t="shared" si="19"/>
        <v>66708.975343296013</v>
      </c>
      <c r="H62" s="25">
        <f t="shared" si="19"/>
        <v>69377.334357027852</v>
      </c>
      <c r="I62" s="25">
        <f t="shared" si="19"/>
        <v>72013.673062594913</v>
      </c>
      <c r="J62" s="25">
        <f t="shared" si="19"/>
        <v>74750.192638973531</v>
      </c>
      <c r="K62" s="25">
        <f t="shared" si="19"/>
        <v>77441.199573976584</v>
      </c>
      <c r="L62" s="25">
        <f t="shared" si="19"/>
        <v>80229.08275863975</v>
      </c>
      <c r="M62" s="25">
        <f t="shared" si="19"/>
        <v>82956.871572433505</v>
      </c>
    </row>
    <row r="63" spans="2:25" x14ac:dyDescent="0.15">
      <c r="B63" s="77" t="s">
        <v>64</v>
      </c>
      <c r="C63" s="23">
        <v>22631</v>
      </c>
      <c r="D63" s="23">
        <v>24413</v>
      </c>
      <c r="E63" s="25">
        <f>D63+E51</f>
        <v>27434.929208000001</v>
      </c>
      <c r="F63" s="25">
        <f>E63+F51</f>
        <v>30583.779442736002</v>
      </c>
      <c r="G63" s="25">
        <f t="shared" ref="G63:L63" si="20">F63+G51</f>
        <v>33858.583686861442</v>
      </c>
      <c r="H63" s="25">
        <f t="shared" si="20"/>
        <v>37264.3801007519</v>
      </c>
      <c r="I63" s="25">
        <f t="shared" si="20"/>
        <v>40799.596778370193</v>
      </c>
      <c r="J63" s="25">
        <f t="shared" si="20"/>
        <v>44469.151689737984</v>
      </c>
      <c r="K63" s="25">
        <f t="shared" si="20"/>
        <v>48270.810577915014</v>
      </c>
      <c r="L63" s="25">
        <f t="shared" si="20"/>
        <v>52209.329186066418</v>
      </c>
      <c r="M63" s="25">
        <f>L63+M51</f>
        <v>56281.757426894968</v>
      </c>
    </row>
    <row r="64" spans="2:25" x14ac:dyDescent="0.15">
      <c r="B64" s="77" t="s">
        <v>65</v>
      </c>
      <c r="C64" s="23">
        <v>31512</v>
      </c>
      <c r="D64" s="23">
        <v>33096</v>
      </c>
      <c r="E64" s="25">
        <f>E62-E63</f>
        <v>34122.887992000004</v>
      </c>
      <c r="F64" s="25">
        <f t="shared" ref="F64:L64" si="21">F62-F63</f>
        <v>33559.466079664009</v>
      </c>
      <c r="G64" s="25">
        <f t="shared" si="21"/>
        <v>32850.391656434571</v>
      </c>
      <c r="H64" s="25">
        <f t="shared" si="21"/>
        <v>32112.954256275953</v>
      </c>
      <c r="I64" s="25">
        <f t="shared" si="21"/>
        <v>31214.07628422472</v>
      </c>
      <c r="J64" s="25">
        <f t="shared" si="21"/>
        <v>30281.040949235547</v>
      </c>
      <c r="K64" s="25">
        <f t="shared" si="21"/>
        <v>29170.388996061571</v>
      </c>
      <c r="L64" s="25">
        <f t="shared" si="21"/>
        <v>28019.753572573332</v>
      </c>
      <c r="M64" s="25">
        <f>M62-M63</f>
        <v>26675.114145538537</v>
      </c>
    </row>
    <row r="65" spans="2:13" x14ac:dyDescent="0.15">
      <c r="B65" s="77" t="s">
        <v>69</v>
      </c>
      <c r="C65" s="23">
        <v>3332</v>
      </c>
      <c r="D65" s="23">
        <v>4066</v>
      </c>
      <c r="E65" s="25">
        <f t="shared" ref="E65:M65" si="22">E47*E14</f>
        <v>3357.6991199999998</v>
      </c>
      <c r="F65" s="25">
        <f t="shared" si="22"/>
        <v>3498.72248304</v>
      </c>
      <c r="G65" s="25">
        <f t="shared" si="22"/>
        <v>3638.6713823616001</v>
      </c>
      <c r="H65" s="25">
        <f t="shared" si="22"/>
        <v>3784.2182376560645</v>
      </c>
      <c r="I65" s="25">
        <f t="shared" si="22"/>
        <v>3928.0185306869953</v>
      </c>
      <c r="J65" s="25">
        <f t="shared" si="22"/>
        <v>4077.2832348531015</v>
      </c>
      <c r="K65" s="25">
        <f t="shared" si="22"/>
        <v>4224.065431307813</v>
      </c>
      <c r="L65" s="25">
        <f t="shared" si="22"/>
        <v>4376.1317868348942</v>
      </c>
      <c r="M65" s="25">
        <f t="shared" si="22"/>
        <v>4524.9202675872812</v>
      </c>
    </row>
    <row r="66" spans="2:13" x14ac:dyDescent="0.15">
      <c r="B66" s="77" t="s">
        <v>70</v>
      </c>
      <c r="C66" s="23">
        <v>53335</v>
      </c>
      <c r="D66" s="23">
        <v>55356</v>
      </c>
      <c r="E66" s="25">
        <f>SUM(E61,E64,E65)</f>
        <v>59305.631392000003</v>
      </c>
      <c r="F66" s="25">
        <f t="shared" ref="F66:M66" si="23">SUM(F61,F64,F65)</f>
        <v>59799.884702464013</v>
      </c>
      <c r="G66" s="25">
        <f t="shared" si="23"/>
        <v>60140.427024146571</v>
      </c>
      <c r="H66" s="25">
        <f t="shared" si="23"/>
        <v>59233.184959477752</v>
      </c>
      <c r="I66" s="25">
        <f t="shared" si="23"/>
        <v>59364.87575414819</v>
      </c>
      <c r="J66" s="25">
        <f t="shared" si="23"/>
        <v>59501.57079901611</v>
      </c>
      <c r="K66" s="25">
        <f t="shared" si="23"/>
        <v>59442.857920434231</v>
      </c>
      <c r="L66" s="25">
        <f t="shared" si="23"/>
        <v>59382.031378223408</v>
      </c>
      <c r="M66" s="25">
        <f t="shared" si="23"/>
        <v>59103.709396580722</v>
      </c>
    </row>
    <row r="67" spans="2:13" x14ac:dyDescent="0.15">
      <c r="B67" s="77" t="s">
        <v>71</v>
      </c>
      <c r="C67" s="23">
        <v>17582</v>
      </c>
      <c r="D67" s="23">
        <v>16697</v>
      </c>
      <c r="E67" s="25">
        <f t="shared" ref="E67:M67" si="24">E47*E15</f>
        <v>21265.427760000002</v>
      </c>
      <c r="F67" s="25">
        <f t="shared" si="24"/>
        <v>22158.57572592</v>
      </c>
      <c r="G67" s="25">
        <f t="shared" si="24"/>
        <v>23044.918754956801</v>
      </c>
      <c r="H67" s="25">
        <f t="shared" si="24"/>
        <v>23966.715505155076</v>
      </c>
      <c r="I67" s="25">
        <f t="shared" si="24"/>
        <v>24877.45069435097</v>
      </c>
      <c r="J67" s="25">
        <f t="shared" si="24"/>
        <v>25822.793820736311</v>
      </c>
      <c r="K67" s="25">
        <f t="shared" si="24"/>
        <v>26752.414398282817</v>
      </c>
      <c r="L67" s="25">
        <f t="shared" si="24"/>
        <v>27715.501316621001</v>
      </c>
      <c r="M67" s="25">
        <f t="shared" si="24"/>
        <v>28657.828361386117</v>
      </c>
    </row>
    <row r="68" spans="2:13" x14ac:dyDescent="0.15">
      <c r="B68" s="77" t="s">
        <v>77</v>
      </c>
      <c r="C68" s="23">
        <v>1788</v>
      </c>
      <c r="D68" s="23">
        <v>1491</v>
      </c>
      <c r="E68" s="25">
        <f>D68</f>
        <v>1491</v>
      </c>
      <c r="F68" s="25">
        <f t="shared" ref="F68:M68" si="25">E68</f>
        <v>1491</v>
      </c>
      <c r="G68" s="25">
        <f t="shared" si="25"/>
        <v>1491</v>
      </c>
      <c r="H68" s="25">
        <f t="shared" si="25"/>
        <v>1491</v>
      </c>
      <c r="I68" s="25">
        <f t="shared" si="25"/>
        <v>1491</v>
      </c>
      <c r="J68" s="25">
        <f t="shared" si="25"/>
        <v>1491</v>
      </c>
      <c r="K68" s="25">
        <f t="shared" si="25"/>
        <v>1491</v>
      </c>
      <c r="L68" s="25">
        <f t="shared" si="25"/>
        <v>1491</v>
      </c>
      <c r="M68" s="25">
        <f t="shared" si="25"/>
        <v>1491</v>
      </c>
    </row>
    <row r="69" spans="2:13" x14ac:dyDescent="0.15">
      <c r="B69" s="77" t="s">
        <v>78</v>
      </c>
      <c r="C69" s="23">
        <v>19500</v>
      </c>
      <c r="D69" s="23">
        <v>19304</v>
      </c>
      <c r="E69" s="25">
        <f>SUM(E67:E68)</f>
        <v>22756.427760000002</v>
      </c>
      <c r="F69" s="25">
        <f t="shared" ref="F69:M69" si="26">SUM(F67:F68)</f>
        <v>23649.57572592</v>
      </c>
      <c r="G69" s="25">
        <f t="shared" si="26"/>
        <v>24535.918754956801</v>
      </c>
      <c r="H69" s="25">
        <f t="shared" si="26"/>
        <v>25457.715505155076</v>
      </c>
      <c r="I69" s="25">
        <f t="shared" si="26"/>
        <v>26368.45069435097</v>
      </c>
      <c r="J69" s="25">
        <f t="shared" si="26"/>
        <v>27313.793820736311</v>
      </c>
      <c r="K69" s="25">
        <f t="shared" si="26"/>
        <v>28243.414398282817</v>
      </c>
      <c r="L69" s="25">
        <f t="shared" si="26"/>
        <v>29206.501316621001</v>
      </c>
      <c r="M69" s="25">
        <f t="shared" si="26"/>
        <v>30148.828361386117</v>
      </c>
    </row>
    <row r="70" spans="2:13" x14ac:dyDescent="0.15">
      <c r="B70" s="77" t="s">
        <v>79</v>
      </c>
      <c r="C70" s="23">
        <f>SUM(BS!J41,BS!J44,BS!J46)</f>
        <v>22566</v>
      </c>
      <c r="D70" s="23">
        <f>SUM(BS!K41,BS!K44,BS!K46)</f>
        <v>22587</v>
      </c>
      <c r="E70" s="25">
        <f>D70+E98</f>
        <v>23841.831201000001</v>
      </c>
      <c r="F70" s="25">
        <f>E70+F98</f>
        <v>23841.831201000001</v>
      </c>
      <c r="G70" s="25">
        <f t="shared" ref="G70:M70" si="27">F70+G98</f>
        <v>23841.831201000001</v>
      </c>
      <c r="H70" s="25">
        <f t="shared" si="27"/>
        <v>23841.831201000001</v>
      </c>
      <c r="I70" s="25">
        <f t="shared" si="27"/>
        <v>23841.831201000001</v>
      </c>
      <c r="J70" s="25">
        <f t="shared" si="27"/>
        <v>23841.831201000001</v>
      </c>
      <c r="K70" s="25">
        <f t="shared" si="27"/>
        <v>23841.831201000001</v>
      </c>
      <c r="L70" s="25">
        <f t="shared" si="27"/>
        <v>23841.831201000001</v>
      </c>
      <c r="M70" s="25">
        <f t="shared" si="27"/>
        <v>23841.831201000001</v>
      </c>
    </row>
    <row r="71" spans="2:13" x14ac:dyDescent="0.15">
      <c r="B71" s="77" t="s">
        <v>85</v>
      </c>
      <c r="C71" s="23">
        <v>42103</v>
      </c>
      <c r="D71" s="23">
        <v>41924</v>
      </c>
      <c r="E71" s="25">
        <f t="shared" ref="E71:M71" si="28">SUM(E69:E70)</f>
        <v>46598.258961</v>
      </c>
      <c r="F71" s="25">
        <f t="shared" si="28"/>
        <v>47491.406926919997</v>
      </c>
      <c r="G71" s="25">
        <f t="shared" si="28"/>
        <v>48377.749955956802</v>
      </c>
      <c r="H71" s="25">
        <f t="shared" si="28"/>
        <v>49299.546706155073</v>
      </c>
      <c r="I71" s="25">
        <f t="shared" si="28"/>
        <v>50210.28189535097</v>
      </c>
      <c r="J71" s="25">
        <f t="shared" si="28"/>
        <v>51155.625021736312</v>
      </c>
      <c r="K71" s="25">
        <f t="shared" si="28"/>
        <v>52085.245599282818</v>
      </c>
      <c r="L71" s="25">
        <f t="shared" si="28"/>
        <v>53048.332517621006</v>
      </c>
      <c r="M71" s="25">
        <f t="shared" si="28"/>
        <v>53990.659562386121</v>
      </c>
    </row>
    <row r="72" spans="2:13" x14ac:dyDescent="0.15">
      <c r="B72" s="77" t="s">
        <v>87</v>
      </c>
      <c r="C72" s="23">
        <v>6608</v>
      </c>
      <c r="D72" s="23">
        <v>6761</v>
      </c>
      <c r="E72" s="25">
        <f t="shared" ref="E72:M72" si="29">E47*E20</f>
        <v>8953.8643200000006</v>
      </c>
      <c r="F72" s="25">
        <f t="shared" si="29"/>
        <v>9329.9266214400013</v>
      </c>
      <c r="G72" s="25">
        <f t="shared" si="29"/>
        <v>9703.123686297602</v>
      </c>
      <c r="H72" s="25">
        <f t="shared" si="29"/>
        <v>10091.248633749507</v>
      </c>
      <c r="I72" s="25">
        <f t="shared" si="29"/>
        <v>10474.716081831988</v>
      </c>
      <c r="J72" s="25">
        <f t="shared" si="29"/>
        <v>10872.755292941605</v>
      </c>
      <c r="K72" s="25">
        <f t="shared" si="29"/>
        <v>11264.174483487501</v>
      </c>
      <c r="L72" s="25">
        <f t="shared" si="29"/>
        <v>11669.684764893052</v>
      </c>
      <c r="M72" s="25">
        <f t="shared" si="29"/>
        <v>12066.454046899418</v>
      </c>
    </row>
    <row r="73" spans="2:13" x14ac:dyDescent="0.15">
      <c r="B73" s="77" t="s">
        <v>88</v>
      </c>
      <c r="C73" s="23">
        <v>5005</v>
      </c>
      <c r="D73" s="23">
        <v>7093</v>
      </c>
      <c r="E73" s="25">
        <f t="shared" ref="E73:M73" si="30">E47*E21</f>
        <v>10073.09736</v>
      </c>
      <c r="F73" s="25">
        <f t="shared" si="30"/>
        <v>10496.167449120001</v>
      </c>
      <c r="G73" s="25">
        <f t="shared" si="30"/>
        <v>10916.014147084801</v>
      </c>
      <c r="H73" s="25">
        <f t="shared" si="30"/>
        <v>11352.654712968193</v>
      </c>
      <c r="I73" s="25">
        <f t="shared" si="30"/>
        <v>11784.055592060986</v>
      </c>
      <c r="J73" s="25">
        <f t="shared" si="30"/>
        <v>12231.849704559305</v>
      </c>
      <c r="K73" s="25">
        <f t="shared" si="30"/>
        <v>12672.196293923438</v>
      </c>
      <c r="L73" s="25">
        <f t="shared" si="30"/>
        <v>13128.395360504685</v>
      </c>
      <c r="M73" s="25">
        <f t="shared" si="30"/>
        <v>13574.760802761844</v>
      </c>
    </row>
    <row r="74" spans="2:13" x14ac:dyDescent="0.15">
      <c r="B74" s="77" t="s">
        <v>92</v>
      </c>
      <c r="C74" s="23">
        <v>11232</v>
      </c>
      <c r="D74" s="23">
        <v>13432</v>
      </c>
      <c r="E74" s="25">
        <f>E75-E71</f>
        <v>12707.372431000003</v>
      </c>
      <c r="F74" s="25">
        <f t="shared" ref="F74:M74" si="31">F75-F71</f>
        <v>12308.477775544015</v>
      </c>
      <c r="G74" s="25">
        <f t="shared" si="31"/>
        <v>11762.677068189769</v>
      </c>
      <c r="H74" s="25">
        <f t="shared" si="31"/>
        <v>9933.6382533226788</v>
      </c>
      <c r="I74" s="25">
        <f>I75-I71</f>
        <v>9154.5938587972196</v>
      </c>
      <c r="J74" s="25">
        <f t="shared" si="31"/>
        <v>8345.9457772797978</v>
      </c>
      <c r="K74" s="25">
        <f t="shared" si="31"/>
        <v>7357.6123211514132</v>
      </c>
      <c r="L74" s="25">
        <f t="shared" si="31"/>
        <v>6333.6988606024024</v>
      </c>
      <c r="M74" s="25">
        <f t="shared" si="31"/>
        <v>5113.0498341946004</v>
      </c>
    </row>
    <row r="75" spans="2:13" x14ac:dyDescent="0.15">
      <c r="B75" s="77" t="s">
        <v>93</v>
      </c>
      <c r="C75" s="23">
        <v>53335</v>
      </c>
      <c r="D75" s="23">
        <v>55356</v>
      </c>
      <c r="E75" s="25">
        <f t="shared" ref="E75:M75" si="32">E66</f>
        <v>59305.631392000003</v>
      </c>
      <c r="F75" s="25">
        <f t="shared" si="32"/>
        <v>59799.884702464013</v>
      </c>
      <c r="G75" s="25">
        <f t="shared" si="32"/>
        <v>60140.427024146571</v>
      </c>
      <c r="H75" s="25">
        <f t="shared" si="32"/>
        <v>59233.184959477752</v>
      </c>
      <c r="I75" s="25">
        <f t="shared" si="32"/>
        <v>59364.87575414819</v>
      </c>
      <c r="J75" s="25">
        <f t="shared" si="32"/>
        <v>59501.57079901611</v>
      </c>
      <c r="K75" s="25">
        <f t="shared" si="32"/>
        <v>59442.857920434231</v>
      </c>
      <c r="L75" s="25">
        <f t="shared" si="32"/>
        <v>59382.031378223408</v>
      </c>
      <c r="M75" s="25">
        <f t="shared" si="32"/>
        <v>59103.709396580722</v>
      </c>
    </row>
    <row r="76" spans="2:13" x14ac:dyDescent="0.15">
      <c r="B76" s="77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2:13" x14ac:dyDescent="0.15">
      <c r="B77" s="78"/>
      <c r="G77" s="19"/>
      <c r="H77" s="19"/>
      <c r="I77" s="19"/>
      <c r="J77" s="19"/>
      <c r="K77" s="19"/>
      <c r="L77" s="19"/>
      <c r="M77" s="19"/>
    </row>
    <row r="78" spans="2:13" x14ac:dyDescent="0.15">
      <c r="B78" s="70"/>
    </row>
    <row r="79" spans="2:13" x14ac:dyDescent="0.15">
      <c r="B79" s="79" t="s">
        <v>185</v>
      </c>
    </row>
    <row r="80" spans="2:13" x14ac:dyDescent="0.15">
      <c r="B80" s="78" t="s">
        <v>186</v>
      </c>
      <c r="C80" s="25">
        <f>SUM(C59:C60)</f>
        <v>15194</v>
      </c>
      <c r="D80" s="25">
        <f t="shared" ref="D80:M80" si="33">SUM(D59:D60)-SUM(C59:C60)</f>
        <v>-1904</v>
      </c>
      <c r="E80" s="25">
        <f t="shared" si="33"/>
        <v>4058.1121200000016</v>
      </c>
      <c r="F80" s="25">
        <f t="shared" si="33"/>
        <v>728.62070904000211</v>
      </c>
      <c r="G80" s="25">
        <f t="shared" si="33"/>
        <v>723.06931316159898</v>
      </c>
      <c r="H80" s="25">
        <f t="shared" si="33"/>
        <v>751.99208568806716</v>
      </c>
      <c r="I80" s="25">
        <f t="shared" si="33"/>
        <v>742.96818065980915</v>
      </c>
      <c r="J80" s="25">
        <f t="shared" si="33"/>
        <v>771.20097152488233</v>
      </c>
      <c r="K80" s="25">
        <f t="shared" si="33"/>
        <v>758.37468168267515</v>
      </c>
      <c r="L80" s="25">
        <f t="shared" si="33"/>
        <v>785.6761702232543</v>
      </c>
      <c r="M80" s="25">
        <f t="shared" si="33"/>
        <v>768.74048388733354</v>
      </c>
    </row>
    <row r="81" spans="2:13" x14ac:dyDescent="0.15">
      <c r="B81" s="73" t="s">
        <v>187</v>
      </c>
      <c r="D81" s="25">
        <f>D62-C62</f>
        <v>3366</v>
      </c>
      <c r="E81" s="25">
        <f>E62-D62</f>
        <v>4048.817200000005</v>
      </c>
      <c r="F81" s="25">
        <f>F62-E62</f>
        <v>2585.4283224000028</v>
      </c>
      <c r="G81" s="25">
        <f>G62-F62</f>
        <v>2565.7298208960055</v>
      </c>
      <c r="H81" s="25">
        <f t="shared" ref="H81:M81" si="34">H62-G62</f>
        <v>2668.3590137318388</v>
      </c>
      <c r="I81" s="25">
        <f t="shared" si="34"/>
        <v>2636.338705567061</v>
      </c>
      <c r="J81" s="25">
        <f t="shared" si="34"/>
        <v>2736.5195763786178</v>
      </c>
      <c r="K81" s="25">
        <f t="shared" si="34"/>
        <v>2691.0069350030535</v>
      </c>
      <c r="L81" s="25">
        <f t="shared" si="34"/>
        <v>2787.8831846631656</v>
      </c>
      <c r="M81" s="25">
        <f t="shared" si="34"/>
        <v>2727.7888137937553</v>
      </c>
    </row>
    <row r="82" spans="2:13" x14ac:dyDescent="0.15">
      <c r="B82" s="73" t="s">
        <v>188</v>
      </c>
      <c r="C82" s="25">
        <f>C51</f>
        <v>2385</v>
      </c>
      <c r="D82" s="25">
        <f>D51</f>
        <v>2415</v>
      </c>
      <c r="E82" s="25">
        <f t="shared" ref="E82:M82" si="35">E51</f>
        <v>3021.929208</v>
      </c>
      <c r="F82" s="25">
        <f t="shared" si="35"/>
        <v>3148.8502347359999</v>
      </c>
      <c r="G82" s="25">
        <f t="shared" si="35"/>
        <v>3274.8042441254402</v>
      </c>
      <c r="H82" s="25">
        <f t="shared" si="35"/>
        <v>3405.7964138904581</v>
      </c>
      <c r="I82" s="25">
        <f t="shared" si="35"/>
        <v>3535.2166776182958</v>
      </c>
      <c r="J82" s="25">
        <f t="shared" si="35"/>
        <v>3669.5549113677912</v>
      </c>
      <c r="K82" s="25">
        <f t="shared" si="35"/>
        <v>3801.6588881770317</v>
      </c>
      <c r="L82" s="25">
        <f t="shared" si="35"/>
        <v>3938.5186081514053</v>
      </c>
      <c r="M82" s="25">
        <f t="shared" si="35"/>
        <v>4072.4282408285535</v>
      </c>
    </row>
    <row r="83" spans="2:13" x14ac:dyDescent="0.15">
      <c r="B83" s="68" t="s">
        <v>189</v>
      </c>
      <c r="D83" s="25">
        <f>D81+D82</f>
        <v>5781</v>
      </c>
      <c r="E83" s="25">
        <f>E81+E82</f>
        <v>7070.7464080000045</v>
      </c>
      <c r="F83" s="25">
        <f>F81+F82</f>
        <v>5734.2785571360027</v>
      </c>
      <c r="G83" s="25">
        <f t="shared" ref="G83:M83" si="36">G81+G82</f>
        <v>5840.5340650214457</v>
      </c>
      <c r="H83" s="25">
        <f t="shared" si="36"/>
        <v>6074.1554276222969</v>
      </c>
      <c r="I83" s="25">
        <f t="shared" si="36"/>
        <v>6171.5553831853567</v>
      </c>
      <c r="J83" s="25">
        <f t="shared" si="36"/>
        <v>6406.0744877464094</v>
      </c>
      <c r="K83" s="25">
        <f t="shared" si="36"/>
        <v>6492.6658231800848</v>
      </c>
      <c r="L83" s="25">
        <f t="shared" si="36"/>
        <v>6726.4017928145713</v>
      </c>
      <c r="M83" s="25">
        <f t="shared" si="36"/>
        <v>6800.2170546223088</v>
      </c>
    </row>
    <row r="84" spans="2:13" x14ac:dyDescent="0.15">
      <c r="B84" s="68" t="s">
        <v>190</v>
      </c>
      <c r="D84" s="25">
        <f>D83+D80</f>
        <v>3877</v>
      </c>
      <c r="E84" s="25">
        <f>E83+E80</f>
        <v>11128.858528000006</v>
      </c>
      <c r="F84" s="25">
        <f>F83+F80</f>
        <v>6462.8992661760049</v>
      </c>
      <c r="G84" s="25">
        <f t="shared" ref="G84:M84" si="37">G83+G80</f>
        <v>6563.6033781830447</v>
      </c>
      <c r="H84" s="25">
        <f t="shared" si="37"/>
        <v>6826.147513310364</v>
      </c>
      <c r="I84" s="25">
        <f t="shared" si="37"/>
        <v>6914.5235638451659</v>
      </c>
      <c r="J84" s="25">
        <f t="shared" si="37"/>
        <v>7177.2754592712918</v>
      </c>
      <c r="K84" s="25">
        <f t="shared" si="37"/>
        <v>7251.0405048627599</v>
      </c>
      <c r="L84" s="25">
        <f t="shared" si="37"/>
        <v>7512.0779630378256</v>
      </c>
      <c r="M84" s="25">
        <f t="shared" si="37"/>
        <v>7568.9575385096423</v>
      </c>
    </row>
    <row r="85" spans="2:13" x14ac:dyDescent="0.15">
      <c r="B85" s="70"/>
    </row>
    <row r="86" spans="2:13" x14ac:dyDescent="0.15">
      <c r="B86" s="69" t="s">
        <v>191</v>
      </c>
    </row>
    <row r="87" spans="2:13" x14ac:dyDescent="0.15">
      <c r="B87" s="70"/>
    </row>
    <row r="88" spans="2:13" x14ac:dyDescent="0.15">
      <c r="B88" s="69" t="s">
        <v>192</v>
      </c>
      <c r="D88" s="25">
        <f>D84</f>
        <v>3877</v>
      </c>
      <c r="E88" s="25">
        <f t="shared" ref="E88:M88" si="38">E84</f>
        <v>11128.858528000006</v>
      </c>
      <c r="F88" s="25">
        <f t="shared" si="38"/>
        <v>6462.8992661760049</v>
      </c>
      <c r="G88" s="25">
        <f t="shared" si="38"/>
        <v>6563.6033781830447</v>
      </c>
      <c r="H88" s="25">
        <f t="shared" si="38"/>
        <v>6826.147513310364</v>
      </c>
      <c r="I88" s="25">
        <f t="shared" si="38"/>
        <v>6914.5235638451659</v>
      </c>
      <c r="J88" s="25">
        <f t="shared" si="38"/>
        <v>7177.2754592712918</v>
      </c>
      <c r="K88" s="25">
        <f t="shared" si="38"/>
        <v>7251.0405048627599</v>
      </c>
      <c r="L88" s="25">
        <f t="shared" si="38"/>
        <v>7512.0779630378256</v>
      </c>
      <c r="M88" s="25">
        <f t="shared" si="38"/>
        <v>7568.9575385096423</v>
      </c>
    </row>
    <row r="89" spans="2:13" x14ac:dyDescent="0.15">
      <c r="B89" s="80" t="s">
        <v>193</v>
      </c>
    </row>
    <row r="90" spans="2:13" x14ac:dyDescent="0.15">
      <c r="B90" s="73" t="s">
        <v>194</v>
      </c>
      <c r="C90" s="25">
        <f>C56</f>
        <v>2780</v>
      </c>
      <c r="D90" s="25">
        <f t="shared" ref="D90:M90" si="39">D56</f>
        <v>4138</v>
      </c>
      <c r="E90" s="25">
        <f t="shared" si="39"/>
        <v>6295.6858500000008</v>
      </c>
      <c r="F90" s="25">
        <f t="shared" si="39"/>
        <v>6472.6365936240036</v>
      </c>
      <c r="G90" s="25">
        <f t="shared" si="39"/>
        <v>6458.6417036918383</v>
      </c>
      <c r="H90" s="25">
        <f t="shared" si="39"/>
        <v>6622.3819158981123</v>
      </c>
      <c r="I90" s="25">
        <f t="shared" si="39"/>
        <v>6579.4310389007187</v>
      </c>
      <c r="J90" s="25">
        <f t="shared" si="39"/>
        <v>6727.5173375076238</v>
      </c>
      <c r="K90" s="25">
        <f t="shared" si="39"/>
        <v>6652.9030543098052</v>
      </c>
      <c r="L90" s="25">
        <f t="shared" si="39"/>
        <v>6783.0042695940883</v>
      </c>
      <c r="M90" s="25">
        <f t="shared" si="39"/>
        <v>6900.5034080706137</v>
      </c>
    </row>
    <row r="91" spans="2:13" x14ac:dyDescent="0.15">
      <c r="B91" s="73" t="s">
        <v>195</v>
      </c>
      <c r="C91" s="25">
        <f>C82</f>
        <v>2385</v>
      </c>
      <c r="D91" s="25">
        <f t="shared" ref="D91:M91" si="40">D82</f>
        <v>2415</v>
      </c>
      <c r="E91" s="25">
        <f t="shared" si="40"/>
        <v>3021.929208</v>
      </c>
      <c r="F91" s="25">
        <f t="shared" si="40"/>
        <v>3148.8502347359999</v>
      </c>
      <c r="G91" s="25">
        <f t="shared" si="40"/>
        <v>3274.8042441254402</v>
      </c>
      <c r="H91" s="25">
        <f t="shared" si="40"/>
        <v>3405.7964138904581</v>
      </c>
      <c r="I91" s="25">
        <f t="shared" si="40"/>
        <v>3535.2166776182958</v>
      </c>
      <c r="J91" s="25">
        <f t="shared" si="40"/>
        <v>3669.5549113677912</v>
      </c>
      <c r="K91" s="25">
        <f t="shared" si="40"/>
        <v>3801.6588881770317</v>
      </c>
      <c r="L91" s="25">
        <f t="shared" si="40"/>
        <v>3938.5186081514053</v>
      </c>
      <c r="M91" s="25">
        <f t="shared" si="40"/>
        <v>4072.4282408285535</v>
      </c>
    </row>
    <row r="92" spans="2:13" x14ac:dyDescent="0.15">
      <c r="B92" s="73" t="s">
        <v>196</v>
      </c>
      <c r="C92" s="25">
        <f>C90+C91</f>
        <v>5165</v>
      </c>
      <c r="D92" s="25">
        <f>D90+D91</f>
        <v>6553</v>
      </c>
      <c r="E92" s="25">
        <f t="shared" ref="E92:M92" si="41">E90+E91</f>
        <v>9317.6150580000012</v>
      </c>
      <c r="F92" s="25">
        <f>F90+F91</f>
        <v>9621.4868283600044</v>
      </c>
      <c r="G92" s="25">
        <f t="shared" si="41"/>
        <v>9733.4459478172794</v>
      </c>
      <c r="H92" s="25">
        <f>H90+H91</f>
        <v>10028.17832978857</v>
      </c>
      <c r="I92" s="25">
        <f t="shared" si="41"/>
        <v>10114.647716519015</v>
      </c>
      <c r="J92" s="25">
        <f t="shared" si="41"/>
        <v>10397.072248875415</v>
      </c>
      <c r="K92" s="25">
        <f t="shared" si="41"/>
        <v>10454.561942486836</v>
      </c>
      <c r="L92" s="25">
        <f t="shared" si="41"/>
        <v>10721.522877745494</v>
      </c>
      <c r="M92" s="25">
        <f t="shared" si="41"/>
        <v>10972.931648899168</v>
      </c>
    </row>
    <row r="93" spans="2:13" x14ac:dyDescent="0.15">
      <c r="B93" s="73" t="s">
        <v>197</v>
      </c>
      <c r="C93" s="23">
        <f>MAX(C56*C38,0)</f>
        <v>1278.8</v>
      </c>
      <c r="D93" s="23">
        <f t="shared" ref="D93:M93" si="42">MAX(D56*D38,0)</f>
        <v>1903.48</v>
      </c>
      <c r="E93" s="23">
        <f t="shared" si="42"/>
        <v>2896.0154910000006</v>
      </c>
      <c r="F93" s="23">
        <f t="shared" si="42"/>
        <v>2977.4128330670419</v>
      </c>
      <c r="G93" s="23">
        <f t="shared" si="42"/>
        <v>2970.9751836982459</v>
      </c>
      <c r="H93" s="23">
        <f>MAX(H56*H38,0)</f>
        <v>3046.2956813131318</v>
      </c>
      <c r="I93" s="23">
        <f t="shared" si="42"/>
        <v>3026.5382778943308</v>
      </c>
      <c r="J93" s="23">
        <f t="shared" si="42"/>
        <v>3094.6579752535072</v>
      </c>
      <c r="K93" s="23">
        <f t="shared" si="42"/>
        <v>3060.3354049825107</v>
      </c>
      <c r="L93" s="23">
        <f t="shared" si="42"/>
        <v>3120.1819640132808</v>
      </c>
      <c r="M93" s="23">
        <f t="shared" si="42"/>
        <v>3174.2315677124825</v>
      </c>
    </row>
    <row r="94" spans="2:13" x14ac:dyDescent="0.15">
      <c r="B94" s="73" t="s">
        <v>198</v>
      </c>
      <c r="C94" s="25">
        <f>C92-C93</f>
        <v>3886.2</v>
      </c>
      <c r="D94" s="25">
        <f t="shared" ref="D94:M94" si="43">D92-D93</f>
        <v>4649.5200000000004</v>
      </c>
      <c r="E94" s="25">
        <f t="shared" si="43"/>
        <v>6421.5995670000011</v>
      </c>
      <c r="F94" s="25">
        <f>F92-F93</f>
        <v>6644.0739952929625</v>
      </c>
      <c r="G94" s="25">
        <f t="shared" si="43"/>
        <v>6762.4707641190334</v>
      </c>
      <c r="H94" s="25">
        <f t="shared" si="43"/>
        <v>6981.8826484754391</v>
      </c>
      <c r="I94" s="25">
        <f t="shared" si="43"/>
        <v>7088.1094386246841</v>
      </c>
      <c r="J94" s="25">
        <f t="shared" si="43"/>
        <v>7302.4142736219073</v>
      </c>
      <c r="K94" s="25">
        <f t="shared" si="43"/>
        <v>7394.2265375043262</v>
      </c>
      <c r="L94" s="25">
        <f t="shared" si="43"/>
        <v>7601.3409137322133</v>
      </c>
      <c r="M94" s="25">
        <f t="shared" si="43"/>
        <v>7798.7000811866856</v>
      </c>
    </row>
    <row r="95" spans="2:13" x14ac:dyDescent="0.15">
      <c r="B95" s="73" t="s">
        <v>199</v>
      </c>
      <c r="C95" s="25"/>
      <c r="D95" s="25">
        <f>D69-C69</f>
        <v>-196</v>
      </c>
      <c r="E95" s="25">
        <f t="shared" ref="E95:M95" si="44">E69-D69</f>
        <v>3452.4277600000023</v>
      </c>
      <c r="F95" s="25">
        <f t="shared" si="44"/>
        <v>893.14796591999766</v>
      </c>
      <c r="G95" s="25">
        <f t="shared" si="44"/>
        <v>886.34302903680145</v>
      </c>
      <c r="H95" s="25">
        <f t="shared" si="44"/>
        <v>921.79675019827482</v>
      </c>
      <c r="I95" s="25">
        <f t="shared" si="44"/>
        <v>910.73518919589333</v>
      </c>
      <c r="J95" s="25">
        <f t="shared" si="44"/>
        <v>945.34312638534175</v>
      </c>
      <c r="K95" s="25">
        <f t="shared" si="44"/>
        <v>929.62057754650596</v>
      </c>
      <c r="L95" s="25">
        <f t="shared" si="44"/>
        <v>963.08691833818375</v>
      </c>
      <c r="M95" s="25">
        <f t="shared" si="44"/>
        <v>942.32704476511572</v>
      </c>
    </row>
    <row r="96" spans="2:13" x14ac:dyDescent="0.15">
      <c r="B96" s="81" t="s">
        <v>200</v>
      </c>
      <c r="C96" s="25">
        <f>C94+C95</f>
        <v>3886.2</v>
      </c>
      <c r="D96" s="25">
        <f>D94+D95</f>
        <v>4453.5200000000004</v>
      </c>
      <c r="E96" s="25">
        <f t="shared" ref="E96:M96" si="45">E94+E95</f>
        <v>9874.0273270000034</v>
      </c>
      <c r="F96" s="25">
        <f>F94+F95</f>
        <v>7537.2219612129602</v>
      </c>
      <c r="G96" s="25">
        <f t="shared" si="45"/>
        <v>7648.8137931558349</v>
      </c>
      <c r="H96" s="25">
        <f t="shared" si="45"/>
        <v>7903.6793986737139</v>
      </c>
      <c r="I96" s="25">
        <f t="shared" si="45"/>
        <v>7998.8446278205774</v>
      </c>
      <c r="J96" s="25">
        <f t="shared" si="45"/>
        <v>8247.7574000072491</v>
      </c>
      <c r="K96" s="25">
        <f t="shared" si="45"/>
        <v>8323.8471150508321</v>
      </c>
      <c r="L96" s="25">
        <f t="shared" si="45"/>
        <v>8564.4278320703961</v>
      </c>
      <c r="M96" s="25">
        <f t="shared" si="45"/>
        <v>8741.0271259518013</v>
      </c>
    </row>
    <row r="97" spans="2:14" x14ac:dyDescent="0.15">
      <c r="B97" s="73" t="s">
        <v>201</v>
      </c>
      <c r="D97" s="25">
        <f>D88-D96</f>
        <v>-576.52000000000044</v>
      </c>
      <c r="E97" s="25">
        <f t="shared" ref="E97:M97" si="46">E88-E96</f>
        <v>1254.8312010000027</v>
      </c>
      <c r="F97" s="25">
        <f>F88-F96</f>
        <v>-1074.3226950369553</v>
      </c>
      <c r="G97" s="25">
        <f t="shared" si="46"/>
        <v>-1085.2104149727902</v>
      </c>
      <c r="H97" s="25">
        <f t="shared" si="46"/>
        <v>-1077.5318853633498</v>
      </c>
      <c r="I97" s="25">
        <f t="shared" si="46"/>
        <v>-1084.3210639754116</v>
      </c>
      <c r="J97" s="25">
        <f t="shared" si="46"/>
        <v>-1070.4819407359573</v>
      </c>
      <c r="K97" s="25">
        <f t="shared" si="46"/>
        <v>-1072.8066101880722</v>
      </c>
      <c r="L97" s="25">
        <f t="shared" si="46"/>
        <v>-1052.3498690325705</v>
      </c>
      <c r="M97" s="25">
        <f t="shared" si="46"/>
        <v>-1172.069587442159</v>
      </c>
    </row>
    <row r="98" spans="2:14" x14ac:dyDescent="0.15">
      <c r="B98" s="73" t="s">
        <v>202</v>
      </c>
      <c r="E98" s="23">
        <f>MAX(E97*E37,0)</f>
        <v>1254.8312010000027</v>
      </c>
      <c r="F98" s="23">
        <f t="shared" ref="F98:M98" si="47">MAX(F97*F37,0)</f>
        <v>0</v>
      </c>
      <c r="G98" s="23">
        <f t="shared" si="47"/>
        <v>0</v>
      </c>
      <c r="H98" s="23">
        <f t="shared" si="47"/>
        <v>0</v>
      </c>
      <c r="I98" s="23">
        <f t="shared" si="47"/>
        <v>0</v>
      </c>
      <c r="J98" s="23">
        <f t="shared" si="47"/>
        <v>0</v>
      </c>
      <c r="K98" s="23">
        <f t="shared" si="47"/>
        <v>0</v>
      </c>
      <c r="L98" s="23">
        <f t="shared" si="47"/>
        <v>0</v>
      </c>
      <c r="M98" s="23">
        <f t="shared" si="47"/>
        <v>0</v>
      </c>
    </row>
    <row r="99" spans="2:14" x14ac:dyDescent="0.15">
      <c r="B99" s="73" t="s">
        <v>203</v>
      </c>
    </row>
    <row r="100" spans="2:14" x14ac:dyDescent="0.15">
      <c r="B100" s="81" t="s">
        <v>204</v>
      </c>
      <c r="E100" s="25">
        <f>E98+E99</f>
        <v>1254.8312010000027</v>
      </c>
      <c r="F100" s="25">
        <f t="shared" ref="F100:M100" si="48">F98+F99</f>
        <v>0</v>
      </c>
      <c r="G100" s="25">
        <f t="shared" si="48"/>
        <v>0</v>
      </c>
      <c r="H100" s="25">
        <f t="shared" si="48"/>
        <v>0</v>
      </c>
      <c r="I100" s="25">
        <f t="shared" si="48"/>
        <v>0</v>
      </c>
      <c r="J100" s="25">
        <f t="shared" si="48"/>
        <v>0</v>
      </c>
      <c r="K100" s="25">
        <f t="shared" si="48"/>
        <v>0</v>
      </c>
      <c r="L100" s="25">
        <f t="shared" si="48"/>
        <v>0</v>
      </c>
      <c r="M100" s="25">
        <f t="shared" si="48"/>
        <v>0</v>
      </c>
    </row>
    <row r="101" spans="2:14" ht="14" x14ac:dyDescent="0.15">
      <c r="B101" s="82" t="s">
        <v>205</v>
      </c>
      <c r="D101" s="25">
        <f>D100+D96</f>
        <v>4453.5200000000004</v>
      </c>
      <c r="E101" s="25">
        <f>E100+E96</f>
        <v>11128.858528000006</v>
      </c>
      <c r="F101" s="25">
        <f>F100+F96</f>
        <v>7537.2219612129602</v>
      </c>
      <c r="G101" s="25">
        <f t="shared" ref="G101:M101" si="49">G100+G96</f>
        <v>7648.8137931558349</v>
      </c>
      <c r="H101" s="25">
        <f t="shared" si="49"/>
        <v>7903.6793986737139</v>
      </c>
      <c r="I101" s="25">
        <f t="shared" si="49"/>
        <v>7998.8446278205774</v>
      </c>
      <c r="J101" s="25">
        <f t="shared" si="49"/>
        <v>8247.7574000072491</v>
      </c>
      <c r="K101" s="25">
        <f t="shared" si="49"/>
        <v>8323.8471150508321</v>
      </c>
      <c r="L101" s="25">
        <f t="shared" si="49"/>
        <v>8564.4278320703961</v>
      </c>
      <c r="M101" s="25">
        <f t="shared" si="49"/>
        <v>8741.0271259518013</v>
      </c>
    </row>
    <row r="102" spans="2:14" x14ac:dyDescent="0.15">
      <c r="B102" s="70"/>
    </row>
    <row r="103" spans="2:14" x14ac:dyDescent="0.15">
      <c r="B103" s="76" t="s">
        <v>209</v>
      </c>
    </row>
    <row r="104" spans="2:14" x14ac:dyDescent="0.15">
      <c r="B104" s="69" t="s">
        <v>210</v>
      </c>
      <c r="E104">
        <v>0</v>
      </c>
      <c r="F104">
        <v>1</v>
      </c>
      <c r="G104">
        <v>2</v>
      </c>
      <c r="H104">
        <v>3</v>
      </c>
      <c r="I104">
        <v>4</v>
      </c>
      <c r="J104">
        <v>5</v>
      </c>
      <c r="K104">
        <v>6</v>
      </c>
      <c r="L104">
        <v>7</v>
      </c>
      <c r="M104">
        <v>8</v>
      </c>
    </row>
    <row r="105" spans="2:14" x14ac:dyDescent="0.15">
      <c r="B105" s="70"/>
    </row>
    <row r="106" spans="2:14" x14ac:dyDescent="0.15">
      <c r="B106" s="73" t="s">
        <v>211</v>
      </c>
      <c r="C106" s="25">
        <f>C54-C55+C51</f>
        <v>5165</v>
      </c>
      <c r="D106" s="25">
        <f>D54-D55+D51</f>
        <v>6553</v>
      </c>
      <c r="E106" s="25">
        <f>E54-E55+E51</f>
        <v>9317.6150580000012</v>
      </c>
      <c r="F106" s="25">
        <f t="shared" ref="F106:M106" si="50">F54-F55+F51</f>
        <v>9621.4868283600044</v>
      </c>
      <c r="G106" s="25">
        <f t="shared" si="50"/>
        <v>9733.4459478172794</v>
      </c>
      <c r="H106" s="25">
        <f t="shared" si="50"/>
        <v>10028.17832978857</v>
      </c>
      <c r="I106" s="25">
        <f t="shared" si="50"/>
        <v>10114.647716519015</v>
      </c>
      <c r="J106" s="25">
        <f t="shared" si="50"/>
        <v>10397.072248875415</v>
      </c>
      <c r="K106" s="25">
        <f t="shared" si="50"/>
        <v>10454.561942486836</v>
      </c>
      <c r="L106" s="25">
        <f t="shared" si="50"/>
        <v>10721.522877745494</v>
      </c>
      <c r="M106" s="25">
        <f t="shared" si="50"/>
        <v>10972.931648899168</v>
      </c>
    </row>
    <row r="107" spans="2:14" x14ac:dyDescent="0.15">
      <c r="B107" s="73" t="s">
        <v>212</v>
      </c>
      <c r="D107" s="25">
        <f>D62-C62+D51</f>
        <v>5781</v>
      </c>
      <c r="E107" s="25">
        <f t="shared" ref="E107:M107" si="51">E62-D62+E51</f>
        <v>7070.7464080000045</v>
      </c>
      <c r="F107" s="25">
        <f t="shared" si="51"/>
        <v>5734.2785571360027</v>
      </c>
      <c r="G107" s="25">
        <f t="shared" si="51"/>
        <v>5840.5340650214457</v>
      </c>
      <c r="H107" s="25">
        <f t="shared" si="51"/>
        <v>6074.1554276222969</v>
      </c>
      <c r="I107" s="25">
        <f t="shared" si="51"/>
        <v>6171.5553831853567</v>
      </c>
      <c r="J107" s="25">
        <f t="shared" si="51"/>
        <v>6406.0744877464094</v>
      </c>
      <c r="K107" s="25">
        <f t="shared" si="51"/>
        <v>6492.6658231800848</v>
      </c>
      <c r="L107" s="25">
        <f t="shared" si="51"/>
        <v>6726.4017928145713</v>
      </c>
      <c r="M107" s="25">
        <f t="shared" si="51"/>
        <v>6800.2170546223088</v>
      </c>
    </row>
    <row r="108" spans="2:14" x14ac:dyDescent="0.15">
      <c r="B108" s="73" t="s">
        <v>213</v>
      </c>
      <c r="D108" s="25">
        <f>-(D61-D69)+(C61-C69)</f>
        <v>152</v>
      </c>
      <c r="E108" s="25">
        <f t="shared" ref="E108:M108" si="52">-(E61-E69)+(D61-D69)</f>
        <v>-874.61651999999958</v>
      </c>
      <c r="F108" s="25">
        <f t="shared" si="52"/>
        <v>-23.503893840003002</v>
      </c>
      <c r="G108" s="25">
        <f t="shared" si="52"/>
        <v>-23.324816553598794</v>
      </c>
      <c r="H108" s="25">
        <f t="shared" si="52"/>
        <v>1237.1482700029446</v>
      </c>
      <c r="I108" s="25">
        <f t="shared" si="52"/>
        <v>23.966715505153843</v>
      </c>
      <c r="J108" s="25">
        <f t="shared" si="52"/>
        <v>24.877450694351865</v>
      </c>
      <c r="K108" s="25">
        <f t="shared" si="52"/>
        <v>24.463699409119727</v>
      </c>
      <c r="L108" s="25">
        <f t="shared" si="52"/>
        <v>25.344392587845505</v>
      </c>
      <c r="M108" s="25">
        <f t="shared" si="52"/>
        <v>24.798080125397973</v>
      </c>
    </row>
    <row r="109" spans="2:14" x14ac:dyDescent="0.15">
      <c r="B109" s="70"/>
    </row>
    <row r="110" spans="2:14" x14ac:dyDescent="0.15">
      <c r="B110" s="73" t="s">
        <v>214</v>
      </c>
      <c r="D110" s="25">
        <f>D106-D107-D108</f>
        <v>620</v>
      </c>
      <c r="E110" s="25">
        <f>E106-E107-E108</f>
        <v>3121.4851699999963</v>
      </c>
      <c r="F110" s="25">
        <f>F106-F107-F108</f>
        <v>3910.7121650640047</v>
      </c>
      <c r="G110" s="25">
        <f t="shared" ref="G110:M110" si="53">G106-G107-G108</f>
        <v>3916.2366993494325</v>
      </c>
      <c r="H110" s="25">
        <f t="shared" si="53"/>
        <v>2716.8746321633289</v>
      </c>
      <c r="I110" s="25">
        <f t="shared" si="53"/>
        <v>3919.1256178285048</v>
      </c>
      <c r="J110" s="25">
        <f t="shared" si="53"/>
        <v>3966.1203104346532</v>
      </c>
      <c r="K110" s="25">
        <f t="shared" si="53"/>
        <v>3937.4324198976319</v>
      </c>
      <c r="L110" s="25">
        <f t="shared" si="53"/>
        <v>3969.7766923430772</v>
      </c>
      <c r="M110" s="25">
        <f t="shared" si="53"/>
        <v>4147.9165141514613</v>
      </c>
    </row>
    <row r="111" spans="2:14" x14ac:dyDescent="0.15">
      <c r="B111" s="73" t="s">
        <v>265</v>
      </c>
      <c r="D111" s="25"/>
      <c r="E111" s="31"/>
      <c r="F111" s="31"/>
      <c r="G111" s="31">
        <f>G110/F110-1</f>
        <v>1.4126670673388908E-3</v>
      </c>
      <c r="H111" s="31">
        <f t="shared" ref="H111:L111" si="54">H110/G110-1</f>
        <v>-0.30625372245383997</v>
      </c>
      <c r="I111" s="31">
        <f t="shared" si="54"/>
        <v>0.44251250000000031</v>
      </c>
      <c r="J111" s="31">
        <f t="shared" si="54"/>
        <v>1.1991116689999526E-2</v>
      </c>
      <c r="K111" s="31">
        <f t="shared" si="54"/>
        <v>-7.2332375953257921E-3</v>
      </c>
      <c r="L111" s="31">
        <f t="shared" si="54"/>
        <v>8.2145593869737965E-3</v>
      </c>
      <c r="M111" s="31">
        <f>M110/L110-1</f>
        <v>4.4874015748034735E-2</v>
      </c>
    </row>
    <row r="112" spans="2:14" x14ac:dyDescent="0.15">
      <c r="B112" s="70"/>
      <c r="M112" s="25">
        <f>M110/(E33-E32)</f>
        <v>96402.261992295636</v>
      </c>
      <c r="N112" s="22" t="s">
        <v>244</v>
      </c>
    </row>
    <row r="113" spans="2:13" x14ac:dyDescent="0.15">
      <c r="B113" s="69"/>
      <c r="M113" s="25">
        <f>SUM(M110:M112)</f>
        <v>100550.22338046285</v>
      </c>
    </row>
    <row r="114" spans="2:13" x14ac:dyDescent="0.15">
      <c r="B114" s="69"/>
      <c r="E114" s="25">
        <f>E110/(1+E31)^E104</f>
        <v>3121.4851699999963</v>
      </c>
      <c r="F114" s="25">
        <f>F110/(1+F31)^F104</f>
        <v>3634.3635737714289</v>
      </c>
      <c r="G114" s="25">
        <f t="shared" ref="G114:L114" si="55">G110/(1+G31)^G104</f>
        <v>3396.2668035036118</v>
      </c>
      <c r="H114" s="25">
        <f t="shared" si="55"/>
        <v>2194.1630622168664</v>
      </c>
      <c r="I114" s="25">
        <f t="shared" si="55"/>
        <v>2947.5074973387364</v>
      </c>
      <c r="J114" s="25">
        <f t="shared" si="55"/>
        <v>2782.9475494427343</v>
      </c>
      <c r="K114" s="25">
        <f t="shared" si="55"/>
        <v>2573.8312958643123</v>
      </c>
      <c r="L114" s="25">
        <f t="shared" si="55"/>
        <v>2417.4687532687208</v>
      </c>
      <c r="M114" s="25">
        <f>M113/(1+M31)^M104</f>
        <v>57213.338343569179</v>
      </c>
    </row>
    <row r="115" spans="2:13" ht="14" x14ac:dyDescent="0.15">
      <c r="B115" s="82" t="s">
        <v>218</v>
      </c>
      <c r="C115" s="25">
        <f>SUM(E114:M114)</f>
        <v>80281.37204897558</v>
      </c>
    </row>
    <row r="116" spans="2:13" x14ac:dyDescent="0.15">
      <c r="B116" s="70"/>
    </row>
    <row r="117" spans="2:13" x14ac:dyDescent="0.15">
      <c r="B117" s="69" t="s">
        <v>219</v>
      </c>
      <c r="C117" s="25">
        <f>C115/C40</f>
        <v>192.29992346693393</v>
      </c>
    </row>
    <row r="118" spans="2:13" x14ac:dyDescent="0.15">
      <c r="B118" s="70"/>
    </row>
    <row r="119" spans="2:13" x14ac:dyDescent="0.15">
      <c r="B119" s="70" t="s">
        <v>220</v>
      </c>
      <c r="C119" s="25">
        <f>E71-E69-E58-E59</f>
        <v>17686.049480999998</v>
      </c>
    </row>
    <row r="120" spans="2:13" x14ac:dyDescent="0.15">
      <c r="B120" s="70"/>
    </row>
    <row r="121" spans="2:13" x14ac:dyDescent="0.15">
      <c r="B121" s="69" t="s">
        <v>221</v>
      </c>
      <c r="C121" s="25">
        <f>C115-C119</f>
        <v>62595.322567975585</v>
      </c>
    </row>
    <row r="122" spans="2:13" x14ac:dyDescent="0.15">
      <c r="B122" s="70"/>
    </row>
    <row r="123" spans="2:13" x14ac:dyDescent="0.15">
      <c r="B123" s="69" t="s">
        <v>222</v>
      </c>
      <c r="C123" s="25">
        <f>C121/C40</f>
        <v>149.93609889809233</v>
      </c>
    </row>
    <row r="124" spans="2:13" x14ac:dyDescent="0.15">
      <c r="B124" s="70"/>
    </row>
    <row r="125" spans="2:13" x14ac:dyDescent="0.15">
      <c r="B125" s="69" t="s">
        <v>223</v>
      </c>
    </row>
    <row r="126" spans="2:13" x14ac:dyDescent="0.15">
      <c r="B126" s="70"/>
    </row>
    <row r="127" spans="2:13" x14ac:dyDescent="0.15">
      <c r="B127" s="73" t="s">
        <v>215</v>
      </c>
      <c r="E127" s="25">
        <f>E128*E27</f>
        <v>1525.8771968640001</v>
      </c>
      <c r="F127" s="25">
        <f t="shared" ref="F127:M127" si="56">F128*F27</f>
        <v>1525.8771968640001</v>
      </c>
      <c r="G127" s="25">
        <f t="shared" si="56"/>
        <v>1525.8771968640001</v>
      </c>
      <c r="H127" s="25">
        <f t="shared" si="56"/>
        <v>1525.8771968640001</v>
      </c>
      <c r="I127" s="25">
        <f t="shared" si="56"/>
        <v>1525.8771968640001</v>
      </c>
      <c r="J127" s="25">
        <f t="shared" si="56"/>
        <v>1525.8771968640001</v>
      </c>
      <c r="K127" s="25">
        <f t="shared" si="56"/>
        <v>1525.8771968640001</v>
      </c>
      <c r="L127" s="25">
        <f t="shared" si="56"/>
        <v>1525.8771968640001</v>
      </c>
      <c r="M127" s="25">
        <f t="shared" si="56"/>
        <v>1525.8771968640001</v>
      </c>
    </row>
    <row r="128" spans="2:13" x14ac:dyDescent="0.15">
      <c r="B128" s="73" t="s">
        <v>216</v>
      </c>
      <c r="C128" s="25">
        <f>C70</f>
        <v>22566</v>
      </c>
      <c r="D128" s="25">
        <f t="shared" ref="D128" si="57">D70</f>
        <v>22587</v>
      </c>
      <c r="E128" s="25">
        <f>D128+E98</f>
        <v>23841.831201000001</v>
      </c>
      <c r="F128" s="25">
        <f t="shared" ref="F128:M128" si="58">E128+F98</f>
        <v>23841.831201000001</v>
      </c>
      <c r="G128" s="25">
        <f t="shared" si="58"/>
        <v>23841.831201000001</v>
      </c>
      <c r="H128" s="25">
        <f t="shared" si="58"/>
        <v>23841.831201000001</v>
      </c>
      <c r="I128" s="25">
        <f t="shared" si="58"/>
        <v>23841.831201000001</v>
      </c>
      <c r="J128" s="25">
        <f t="shared" si="58"/>
        <v>23841.831201000001</v>
      </c>
      <c r="K128" s="25">
        <f t="shared" si="58"/>
        <v>23841.831201000001</v>
      </c>
      <c r="L128" s="25">
        <f t="shared" si="58"/>
        <v>23841.831201000001</v>
      </c>
      <c r="M128" s="25">
        <f t="shared" si="58"/>
        <v>23841.831201000001</v>
      </c>
    </row>
    <row r="129" spans="2:13" x14ac:dyDescent="0.15">
      <c r="B129" s="73" t="s">
        <v>217</v>
      </c>
      <c r="C129" s="25">
        <f>C71</f>
        <v>42103</v>
      </c>
      <c r="D129" s="25">
        <f t="shared" ref="D129:M129" si="59">D71</f>
        <v>41924</v>
      </c>
      <c r="E129" s="25">
        <f>E71</f>
        <v>46598.258961</v>
      </c>
      <c r="F129" s="25">
        <f t="shared" si="59"/>
        <v>47491.406926919997</v>
      </c>
      <c r="G129" s="25">
        <f t="shared" si="59"/>
        <v>48377.749955956802</v>
      </c>
      <c r="H129" s="25">
        <f t="shared" si="59"/>
        <v>49299.546706155073</v>
      </c>
      <c r="I129" s="25">
        <f t="shared" si="59"/>
        <v>50210.28189535097</v>
      </c>
      <c r="J129" s="25">
        <f t="shared" si="59"/>
        <v>51155.625021736312</v>
      </c>
      <c r="K129" s="25">
        <f t="shared" si="59"/>
        <v>52085.245599282818</v>
      </c>
      <c r="L129" s="25">
        <f t="shared" si="59"/>
        <v>53048.332517621006</v>
      </c>
      <c r="M129" s="25">
        <f t="shared" si="59"/>
        <v>53990.659562386121</v>
      </c>
    </row>
    <row r="151" spans="3:4" ht="16" x14ac:dyDescent="0.2">
      <c r="C151" s="59"/>
      <c r="D151" s="86"/>
    </row>
  </sheetData>
  <mergeCells count="1">
    <mergeCell ref="B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9218-FE83-DA48-8E50-80E0E00CD7F0}">
  <dimension ref="B2:K23"/>
  <sheetViews>
    <sheetView topLeftCell="A2" workbookViewId="0">
      <selection activeCell="F19" sqref="F19"/>
    </sheetView>
  </sheetViews>
  <sheetFormatPr baseColWidth="10" defaultRowHeight="13" x14ac:dyDescent="0.15"/>
  <cols>
    <col min="2" max="2" width="25" customWidth="1"/>
    <col min="3" max="3" width="18.33203125" customWidth="1"/>
    <col min="5" max="5" width="11.5" bestFit="1" customWidth="1"/>
  </cols>
  <sheetData>
    <row r="2" spans="2:11" s="33" customFormat="1" ht="16" x14ac:dyDescent="0.2">
      <c r="B2" s="58"/>
      <c r="C2" s="58" t="s">
        <v>251</v>
      </c>
      <c r="D2" s="58"/>
      <c r="E2" s="58" t="s">
        <v>259</v>
      </c>
      <c r="F2" s="58" t="s">
        <v>257</v>
      </c>
      <c r="G2" s="58" t="s">
        <v>258</v>
      </c>
      <c r="H2" s="58" t="s">
        <v>260</v>
      </c>
      <c r="I2" s="58" t="s">
        <v>261</v>
      </c>
      <c r="J2" s="58"/>
      <c r="K2" s="58"/>
    </row>
    <row r="3" spans="2:11" ht="16" x14ac:dyDescent="0.2">
      <c r="B3" s="59" t="s">
        <v>245</v>
      </c>
      <c r="C3" s="60">
        <f>Projections!C41</f>
        <v>62990</v>
      </c>
      <c r="D3" s="61"/>
      <c r="E3" s="60">
        <v>388215.16</v>
      </c>
      <c r="F3" s="62">
        <v>646516.52800000005</v>
      </c>
      <c r="G3" s="60">
        <v>40240.290999999997</v>
      </c>
      <c r="H3" s="62">
        <v>153288.511</v>
      </c>
      <c r="I3" s="61">
        <v>2162.96</v>
      </c>
      <c r="J3" s="61"/>
      <c r="K3" s="61"/>
    </row>
    <row r="4" spans="2:11" ht="16" x14ac:dyDescent="0.2">
      <c r="B4" s="59" t="s">
        <v>246</v>
      </c>
      <c r="C4" s="61">
        <f>Projections!C40</f>
        <v>417.48</v>
      </c>
      <c r="D4" s="61"/>
      <c r="E4" s="61">
        <v>442.79</v>
      </c>
      <c r="F4" s="62">
        <v>8054</v>
      </c>
      <c r="G4" s="62">
        <v>720</v>
      </c>
      <c r="H4" s="61">
        <v>574</v>
      </c>
      <c r="I4" s="61">
        <v>111</v>
      </c>
      <c r="J4" s="61"/>
      <c r="K4" s="61"/>
    </row>
    <row r="5" spans="2:11" ht="16" x14ac:dyDescent="0.2">
      <c r="B5" s="59" t="s">
        <v>247</v>
      </c>
      <c r="C5" s="61">
        <v>4138</v>
      </c>
      <c r="D5" s="61"/>
      <c r="E5" s="62">
        <v>6292</v>
      </c>
      <c r="F5" s="62">
        <v>15511</v>
      </c>
      <c r="G5" s="62">
        <v>2164</v>
      </c>
      <c r="H5" s="62">
        <v>7726</v>
      </c>
      <c r="I5" s="61">
        <v>317</v>
      </c>
      <c r="J5" s="61"/>
      <c r="K5" s="61"/>
    </row>
    <row r="6" spans="2:11" ht="16" x14ac:dyDescent="0.2">
      <c r="B6" s="59" t="s">
        <v>248</v>
      </c>
      <c r="C6" s="61">
        <v>5297</v>
      </c>
      <c r="D6" s="61"/>
      <c r="E6" s="62">
        <v>8487</v>
      </c>
      <c r="F6" s="62">
        <v>21848</v>
      </c>
      <c r="G6" s="62">
        <v>2836</v>
      </c>
      <c r="H6" s="62">
        <v>10175</v>
      </c>
      <c r="I6" s="61">
        <v>373</v>
      </c>
      <c r="J6" s="61"/>
      <c r="K6" s="61"/>
    </row>
    <row r="7" spans="2:11" ht="16" x14ac:dyDescent="0.2">
      <c r="B7" s="59" t="s">
        <v>249</v>
      </c>
      <c r="C7" s="62">
        <v>105803</v>
      </c>
      <c r="D7" s="61"/>
      <c r="E7" s="62">
        <v>237710</v>
      </c>
      <c r="F7" s="62">
        <v>642637</v>
      </c>
      <c r="G7" s="62">
        <v>150039</v>
      </c>
      <c r="H7" s="62">
        <v>86377</v>
      </c>
      <c r="I7" s="62">
        <v>16586</v>
      </c>
      <c r="J7" s="61"/>
      <c r="K7" s="61"/>
    </row>
    <row r="8" spans="2:11" ht="16" x14ac:dyDescent="0.2">
      <c r="B8" s="59" t="s">
        <v>250</v>
      </c>
      <c r="C8" s="61">
        <v>13432</v>
      </c>
      <c r="D8" s="61"/>
      <c r="E8" s="62">
        <v>25058</v>
      </c>
      <c r="F8" s="62">
        <v>83861</v>
      </c>
      <c r="G8" s="62">
        <v>11615</v>
      </c>
      <c r="H8" s="62">
        <v>-15050</v>
      </c>
      <c r="I8" s="61">
        <v>3893</v>
      </c>
      <c r="J8" s="61"/>
      <c r="K8" s="61"/>
    </row>
    <row r="9" spans="2:11" ht="16" x14ac:dyDescent="0.2">
      <c r="B9" s="61"/>
      <c r="C9" s="61"/>
      <c r="D9" s="61"/>
      <c r="E9" s="61"/>
      <c r="F9" s="61"/>
      <c r="G9" s="61"/>
      <c r="H9" s="61"/>
      <c r="I9" s="61"/>
      <c r="J9" s="58" t="s">
        <v>163</v>
      </c>
      <c r="K9" s="61"/>
    </row>
    <row r="10" spans="2:11" ht="16" x14ac:dyDescent="0.2">
      <c r="B10" s="59" t="s">
        <v>252</v>
      </c>
      <c r="C10" s="63">
        <f>C3/C5</f>
        <v>15.222329627839535</v>
      </c>
      <c r="D10" s="61"/>
      <c r="E10" s="64">
        <f>E3/E5</f>
        <v>61.699802924348376</v>
      </c>
      <c r="F10" s="64">
        <f>F3/F5</f>
        <v>41.681163561343567</v>
      </c>
      <c r="G10" s="63">
        <f>G3/G5</f>
        <v>18.595328558225507</v>
      </c>
      <c r="H10" s="63">
        <f>H3/H5</f>
        <v>19.840604581931142</v>
      </c>
      <c r="I10" s="63">
        <f>I3/I5</f>
        <v>6.8232176656151422</v>
      </c>
      <c r="J10" s="63">
        <f>AVERAGE(C10,G10,H10)</f>
        <v>17.886087589332064</v>
      </c>
      <c r="K10" s="61"/>
    </row>
    <row r="11" spans="2:11" ht="16" x14ac:dyDescent="0.2">
      <c r="B11" s="59" t="s">
        <v>254</v>
      </c>
      <c r="C11" s="63">
        <f>C3/C6</f>
        <v>11.891636775533321</v>
      </c>
      <c r="D11" s="61"/>
      <c r="E11" s="64">
        <f>E3/E6</f>
        <v>45.742330623306231</v>
      </c>
      <c r="F11" s="64">
        <f>F3/F6</f>
        <v>29.591565726839988</v>
      </c>
      <c r="G11" s="63">
        <f>G3/G6</f>
        <v>14.189101198871649</v>
      </c>
      <c r="H11" s="63">
        <f>H3/H6</f>
        <v>15.065209926289926</v>
      </c>
      <c r="I11" s="63">
        <f>I3/I6</f>
        <v>5.7988203753351204</v>
      </c>
      <c r="J11" s="63">
        <f>AVERAGE(C11,G11,H11)</f>
        <v>13.715315966898297</v>
      </c>
      <c r="K11" s="61"/>
    </row>
    <row r="12" spans="2:11" ht="16" x14ac:dyDescent="0.2">
      <c r="B12" s="59" t="s">
        <v>255</v>
      </c>
      <c r="C12" s="63">
        <f>C3/C7</f>
        <v>0.59535173860854607</v>
      </c>
      <c r="D12" s="61"/>
      <c r="E12" s="64">
        <f>E3/E7</f>
        <v>1.6331461023936729</v>
      </c>
      <c r="F12" s="63">
        <f>F3/F7</f>
        <v>1.0060368886323072</v>
      </c>
      <c r="G12" s="63">
        <f>G3/G7</f>
        <v>0.26819887495917727</v>
      </c>
      <c r="H12" s="63">
        <f>H3/H7</f>
        <v>1.7746449980897692</v>
      </c>
      <c r="I12" s="63">
        <f>I3/I7</f>
        <v>0.13040877848788135</v>
      </c>
      <c r="J12" s="63">
        <f t="shared" ref="J12" si="0">AVERAGE(C12,E12,F12,G12,H12,I12)</f>
        <v>0.90129789686189232</v>
      </c>
      <c r="K12" s="61"/>
    </row>
    <row r="13" spans="2:11" ht="16" x14ac:dyDescent="0.2">
      <c r="B13" s="59" t="s">
        <v>256</v>
      </c>
      <c r="C13" s="63">
        <f>C3/C8</f>
        <v>4.689547349612865</v>
      </c>
      <c r="D13" s="61"/>
      <c r="E13" s="64">
        <f>E3/E8</f>
        <v>15.492663420863595</v>
      </c>
      <c r="F13" s="63">
        <f>F3/F8</f>
        <v>7.7093825258463413</v>
      </c>
      <c r="G13" s="63">
        <f>G3/G8</f>
        <v>3.4645106328024107</v>
      </c>
      <c r="H13" s="63"/>
      <c r="I13" s="63">
        <f>I3/I8</f>
        <v>0.55560236321602874</v>
      </c>
      <c r="J13" s="63">
        <f>AVERAGE(C13,F13,G13,I13)</f>
        <v>4.1047607178694117</v>
      </c>
      <c r="K13" s="61"/>
    </row>
    <row r="14" spans="2:11" ht="16" x14ac:dyDescent="0.2">
      <c r="B14" s="61"/>
      <c r="C14" s="61"/>
      <c r="D14" s="61"/>
      <c r="E14" s="61"/>
      <c r="F14" s="61"/>
      <c r="G14" s="61"/>
      <c r="H14" s="61"/>
      <c r="I14" s="61"/>
      <c r="J14" s="61"/>
      <c r="K14" s="61"/>
    </row>
    <row r="15" spans="2:11" ht="16" x14ac:dyDescent="0.2">
      <c r="B15" s="59" t="s">
        <v>251</v>
      </c>
      <c r="C15" s="61"/>
      <c r="D15" s="61"/>
      <c r="E15" s="61"/>
      <c r="F15" s="61"/>
      <c r="G15" s="61"/>
      <c r="H15" s="61"/>
      <c r="I15" s="61"/>
      <c r="J15" s="61"/>
      <c r="K15" s="61"/>
    </row>
    <row r="16" spans="2:11" ht="16" x14ac:dyDescent="0.2">
      <c r="B16" s="61"/>
      <c r="C16" s="59" t="s">
        <v>262</v>
      </c>
      <c r="D16" s="59" t="s">
        <v>263</v>
      </c>
      <c r="E16" s="61"/>
      <c r="F16" s="61"/>
      <c r="G16" s="61"/>
      <c r="H16" s="61"/>
      <c r="I16" s="61"/>
      <c r="J16" s="61"/>
      <c r="K16" s="61"/>
    </row>
    <row r="17" spans="2:11" ht="16" x14ac:dyDescent="0.2">
      <c r="B17" s="59" t="s">
        <v>253</v>
      </c>
      <c r="C17" s="65">
        <f>J10*C5</f>
        <v>74012.630444656083</v>
      </c>
      <c r="D17" s="66">
        <f>C17/Projections!$C$40</f>
        <v>177.2842542029704</v>
      </c>
      <c r="E17" s="61"/>
      <c r="F17" s="61"/>
      <c r="G17" s="61"/>
      <c r="H17" s="61"/>
      <c r="I17" s="61"/>
      <c r="J17" s="61"/>
      <c r="K17" s="61"/>
    </row>
    <row r="18" spans="2:11" ht="16" x14ac:dyDescent="0.2">
      <c r="B18" s="59" t="s">
        <v>254</v>
      </c>
      <c r="C18" s="65">
        <f>J11*C6</f>
        <v>72650.02867666028</v>
      </c>
      <c r="D18" s="66">
        <f>C18/Projections!$C$40</f>
        <v>174.0203810401942</v>
      </c>
      <c r="E18" s="61"/>
      <c r="F18" s="61"/>
      <c r="G18" s="61"/>
      <c r="H18" s="61"/>
      <c r="I18" s="61"/>
      <c r="J18" s="61"/>
      <c r="K18" s="61"/>
    </row>
    <row r="19" spans="2:11" ht="16" x14ac:dyDescent="0.2">
      <c r="B19" s="59" t="s">
        <v>255</v>
      </c>
      <c r="C19" s="65">
        <f>J12*C7</f>
        <v>95360.021381678787</v>
      </c>
      <c r="D19" s="66">
        <f>C19/Projections!$C$40</f>
        <v>228.41817903056142</v>
      </c>
      <c r="E19" s="61"/>
      <c r="F19" s="61"/>
      <c r="G19" s="61"/>
      <c r="H19" s="61"/>
      <c r="I19" s="61"/>
      <c r="J19" s="61"/>
      <c r="K19" s="61"/>
    </row>
    <row r="20" spans="2:11" ht="16" x14ac:dyDescent="0.2">
      <c r="B20" s="59" t="s">
        <v>256</v>
      </c>
      <c r="C20" s="65">
        <f>J13*C8</f>
        <v>55135.145962421935</v>
      </c>
      <c r="D20" s="66">
        <f>C20/Projections!$C$40</f>
        <v>132.06655639173596</v>
      </c>
      <c r="E20" s="61"/>
      <c r="F20" s="61"/>
      <c r="G20" s="61"/>
      <c r="H20" s="61"/>
      <c r="I20" s="61"/>
      <c r="J20" s="61"/>
      <c r="K20" s="61"/>
    </row>
    <row r="21" spans="2:11" ht="17" thickBot="1" x14ac:dyDescent="0.25"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2:11" ht="17" thickBot="1" x14ac:dyDescent="0.25">
      <c r="B22" s="61"/>
      <c r="C22" s="59" t="s">
        <v>163</v>
      </c>
      <c r="D22" s="67">
        <f>AVERAGE(D17:D20)</f>
        <v>177.9473426663655</v>
      </c>
      <c r="E22" s="61"/>
      <c r="F22" s="61"/>
      <c r="G22" s="61"/>
      <c r="H22" s="61"/>
      <c r="I22" s="61"/>
      <c r="J22" s="61"/>
      <c r="K22" s="61"/>
    </row>
    <row r="23" spans="2:11" ht="16" x14ac:dyDescent="0.2">
      <c r="B23" s="61"/>
      <c r="C23" s="61"/>
      <c r="D23" s="61"/>
      <c r="E23" s="61"/>
      <c r="F23" s="61"/>
      <c r="G23" s="61"/>
      <c r="H23" s="61"/>
      <c r="I23" s="61"/>
      <c r="J23" s="61"/>
      <c r="K23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EAC-2955-4D4F-B6D2-82AEBB36911B}">
  <dimension ref="A4:L41"/>
  <sheetViews>
    <sheetView topLeftCell="A66" zoomScale="110" zoomScaleNormal="110" workbookViewId="0">
      <selection activeCell="B22" sqref="B22"/>
    </sheetView>
  </sheetViews>
  <sheetFormatPr baseColWidth="10" defaultRowHeight="13" x14ac:dyDescent="0.15"/>
  <cols>
    <col min="1" max="1" width="50" customWidth="1"/>
    <col min="2" max="8" width="11" bestFit="1" customWidth="1"/>
    <col min="9" max="11" width="11.1640625" bestFit="1" customWidth="1"/>
  </cols>
  <sheetData>
    <row r="4" spans="1:12" x14ac:dyDescent="0.15">
      <c r="A4" s="1" t="s">
        <v>0</v>
      </c>
    </row>
    <row r="5" spans="1:12" ht="20" x14ac:dyDescent="0.2">
      <c r="A5" s="2" t="s">
        <v>1</v>
      </c>
    </row>
    <row r="7" spans="1:12" ht="14" x14ac:dyDescent="0.15">
      <c r="A7" s="3" t="s">
        <v>2</v>
      </c>
    </row>
    <row r="10" spans="1:12" ht="14" x14ac:dyDescent="0.15">
      <c r="A10" s="4" t="s">
        <v>3</v>
      </c>
    </row>
    <row r="11" spans="1:12" x14ac:dyDescent="0.15">
      <c r="A11" s="5" t="s">
        <v>4</v>
      </c>
      <c r="B11">
        <f>IS!B16</f>
        <v>2015</v>
      </c>
      <c r="C11">
        <f>IS!C16</f>
        <v>2016</v>
      </c>
      <c r="D11">
        <f>IS!D16</f>
        <v>2017</v>
      </c>
      <c r="E11">
        <f>IS!E16</f>
        <v>2018</v>
      </c>
      <c r="F11">
        <f>IS!F16</f>
        <v>2019</v>
      </c>
      <c r="G11">
        <f>IS!G16</f>
        <v>2020</v>
      </c>
      <c r="H11">
        <f>IS!H16</f>
        <v>2021</v>
      </c>
      <c r="I11">
        <f>IS!I16</f>
        <v>2022</v>
      </c>
      <c r="J11">
        <f>IS!J16</f>
        <v>2023</v>
      </c>
      <c r="K11">
        <f>IS!K16</f>
        <v>2024</v>
      </c>
      <c r="L11" s="22" t="s">
        <v>163</v>
      </c>
    </row>
    <row r="12" spans="1:12" x14ac:dyDescent="0.15">
      <c r="A12" s="5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2" x14ac:dyDescent="0.15">
      <c r="A13" s="5" t="s">
        <v>17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2" x14ac:dyDescent="0.15">
      <c r="A14" s="5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2" x14ac:dyDescent="0.15">
      <c r="A15" s="5" t="s">
        <v>21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2" x14ac:dyDescent="0.15">
      <c r="A16" s="7" t="s">
        <v>23</v>
      </c>
      <c r="B16" s="13">
        <f>IS!B21/IS!B$23</f>
        <v>1</v>
      </c>
      <c r="C16" s="13">
        <f>IS!C21/IS!C$23</f>
        <v>1</v>
      </c>
      <c r="D16" s="13">
        <f>IS!D21/IS!D$23</f>
        <v>1</v>
      </c>
      <c r="E16" s="13">
        <f>IS!E21/IS!E$23</f>
        <v>1</v>
      </c>
      <c r="F16" s="13">
        <f>IS!F21/IS!F$23</f>
        <v>0.98775147300812149</v>
      </c>
      <c r="G16" s="13">
        <f>IS!G21/IS!G$23</f>
        <v>0.98742830807046289</v>
      </c>
      <c r="H16" s="13">
        <f>IS!H21/IS!H$23</f>
        <v>0.98759098342257989</v>
      </c>
      <c r="I16" s="13">
        <f>IS!I21/IS!I$23</f>
        <v>0.98684967690203296</v>
      </c>
      <c r="J16" s="13">
        <f>IS!J21/IS!J$23</f>
        <v>0.98596041055718475</v>
      </c>
      <c r="K16" s="13">
        <f>IS!K21/IS!K$23</f>
        <v>0.9850202956839087</v>
      </c>
    </row>
    <row r="17" spans="1:12" x14ac:dyDescent="0.15">
      <c r="A17" s="7" t="s">
        <v>24</v>
      </c>
      <c r="B17" s="13"/>
      <c r="C17" s="13"/>
      <c r="D17" s="13"/>
      <c r="E17" s="13"/>
      <c r="F17" s="13">
        <f>IS!F22/IS!F$23</f>
        <v>1.2248526991878551E-2</v>
      </c>
      <c r="G17" s="13">
        <f>IS!G22/IS!G$23</f>
        <v>1.2571691929537075E-2</v>
      </c>
      <c r="H17" s="13">
        <f>IS!H22/IS!H$23</f>
        <v>1.2409016577420079E-2</v>
      </c>
      <c r="I17" s="13">
        <f>IS!I22/IS!I$23</f>
        <v>1.3150323097967077E-2</v>
      </c>
      <c r="J17" s="13">
        <f>IS!J22/IS!J$23</f>
        <v>1.403958944281525E-2</v>
      </c>
      <c r="K17" s="13">
        <f>IS!K22/IS!K$23</f>
        <v>1.4979704316091313E-2</v>
      </c>
    </row>
    <row r="18" spans="1:12" x14ac:dyDescent="0.15">
      <c r="A18" s="7" t="s">
        <v>26</v>
      </c>
      <c r="B18" s="13">
        <f>IS!B23/IS!B$23</f>
        <v>1</v>
      </c>
      <c r="C18" s="13">
        <f>IS!C23/IS!C$23</f>
        <v>1</v>
      </c>
      <c r="D18" s="13">
        <f>IS!D23/IS!D$23</f>
        <v>1</v>
      </c>
      <c r="E18" s="13">
        <f>IS!E23/IS!E$23</f>
        <v>1</v>
      </c>
      <c r="F18" s="13">
        <f>IS!F23/IS!F$23</f>
        <v>1</v>
      </c>
      <c r="G18" s="13">
        <f>IS!G23/IS!G$23</f>
        <v>1</v>
      </c>
      <c r="H18" s="13">
        <f>IS!H23/IS!H$23</f>
        <v>1</v>
      </c>
      <c r="I18" s="13">
        <f>IS!I23/IS!I$23</f>
        <v>1</v>
      </c>
      <c r="J18" s="13">
        <f>IS!J23/IS!J$23</f>
        <v>1</v>
      </c>
      <c r="K18" s="13">
        <f>IS!K23/IS!K$23</f>
        <v>1</v>
      </c>
    </row>
    <row r="19" spans="1:12" x14ac:dyDescent="0.15">
      <c r="A19" s="7" t="s">
        <v>27</v>
      </c>
      <c r="B19" s="13">
        <f>IS!B24/IS!B$23</f>
        <v>0.70613346553196177</v>
      </c>
      <c r="C19" s="13">
        <f>IS!C24/IS!C$23</f>
        <v>0.70470962932845427</v>
      </c>
      <c r="D19" s="13">
        <f>IS!D24/IS!D$23</f>
        <v>0.70324483775811208</v>
      </c>
      <c r="E19" s="13">
        <f>IS!E24/IS!E$23</f>
        <v>0.71126476439572062</v>
      </c>
      <c r="F19" s="13">
        <f>IS!F24/IS!F$23</f>
        <v>0.70729603482138115</v>
      </c>
      <c r="G19" s="13">
        <f>IS!G24/IS!G$23</f>
        <v>0.70237607537894309</v>
      </c>
      <c r="H19" s="13">
        <f>IS!H24/IS!H$23</f>
        <v>0.70731394491294453</v>
      </c>
      <c r="I19" s="13">
        <f>IS!I24/IS!I$23</f>
        <v>0.70716475637941612</v>
      </c>
      <c r="J19" s="13">
        <f>IS!J24/IS!J$23</f>
        <v>0.75356488269794719</v>
      </c>
      <c r="K19" s="13">
        <f>IS!K24/IS!K$23</f>
        <v>0.72371802033292365</v>
      </c>
      <c r="L19" s="13">
        <f>AVERAGE(B19:K19)</f>
        <v>0.71267864115378043</v>
      </c>
    </row>
    <row r="20" spans="1:12" x14ac:dyDescent="0.15">
      <c r="A20" s="7" t="s">
        <v>28</v>
      </c>
      <c r="B20" s="13">
        <f>IS!B25/IS!B$23</f>
        <v>0.29386653446803823</v>
      </c>
      <c r="C20" s="13">
        <f>IS!C25/IS!C$23</f>
        <v>0.29529037067154573</v>
      </c>
      <c r="D20" s="13">
        <f>IS!D25/IS!D$23</f>
        <v>0.29675516224188792</v>
      </c>
      <c r="E20" s="13">
        <f>IS!E25/IS!E$23</f>
        <v>0.28873523560427944</v>
      </c>
      <c r="F20" s="13">
        <f>IS!F25/IS!F$23</f>
        <v>0.2927039651786188</v>
      </c>
      <c r="G20" s="13">
        <f>IS!G25/IS!G$23</f>
        <v>0.29762392462105697</v>
      </c>
      <c r="H20" s="13">
        <f>IS!H25/IS!H$23</f>
        <v>0.29268605508705553</v>
      </c>
      <c r="I20" s="13">
        <f>IS!I25/IS!I$23</f>
        <v>0.29283524362058394</v>
      </c>
      <c r="J20" s="13">
        <f>IS!J25/IS!J$23</f>
        <v>0.24643511730205278</v>
      </c>
      <c r="K20" s="13">
        <f>IS!K25/IS!K$23</f>
        <v>0.27628197966707629</v>
      </c>
      <c r="L20" s="13">
        <f t="shared" ref="L20:L31" si="0">AVERAGE(B20:K20)</f>
        <v>0.28732135884621957</v>
      </c>
    </row>
    <row r="21" spans="1:12" x14ac:dyDescent="0.15">
      <c r="A21" s="7" t="s">
        <v>29</v>
      </c>
      <c r="B21" s="13">
        <f>IS!B26/IS!B$23</f>
        <v>0.20209865322647277</v>
      </c>
      <c r="C21" s="13">
        <f>IS!C26/IS!C$23</f>
        <v>0.19875313410584808</v>
      </c>
      <c r="D21" s="13">
        <f>IS!D26/IS!D$23</f>
        <v>0.19218648823656378</v>
      </c>
      <c r="E21" s="13">
        <f>IS!E26/IS!E$23</f>
        <v>0.19822201199237607</v>
      </c>
      <c r="F21" s="13">
        <f>IS!F26/IS!F$23</f>
        <v>0.20864960985190298</v>
      </c>
      <c r="G21" s="13">
        <f>IS!G26/IS!G$23</f>
        <v>0.20781698074559607</v>
      </c>
      <c r="H21" s="13">
        <f>IS!H26/IS!H$23</f>
        <v>0.19896110558886715</v>
      </c>
      <c r="I21" s="13">
        <f>IS!I26/IS!I$23</f>
        <v>0.18633083345125229</v>
      </c>
      <c r="J21" s="13">
        <f>IS!J26/IS!J$23</f>
        <v>0.18931451612903225</v>
      </c>
      <c r="K21" s="13">
        <f>IS!K26/IS!K$23</f>
        <v>0.20066659218709268</v>
      </c>
      <c r="L21" s="13">
        <f t="shared" si="0"/>
        <v>0.19829999255150041</v>
      </c>
    </row>
    <row r="22" spans="1:12" x14ac:dyDescent="0.15">
      <c r="A22" s="7" t="s">
        <v>30</v>
      </c>
      <c r="B22" s="13">
        <f>IS!B27/IS!B$23</f>
        <v>2.9317799994491724E-2</v>
      </c>
      <c r="C22" s="13">
        <f>IS!C27/IS!C$23</f>
        <v>2.9992545910415395E-2</v>
      </c>
      <c r="D22" s="13">
        <f>IS!D27/IS!D$23</f>
        <v>3.3067127131448305E-2</v>
      </c>
      <c r="E22" s="13">
        <f>IS!E27/IS!E$23</f>
        <v>3.0523518691133712E-2</v>
      </c>
      <c r="F22" s="13">
        <f>IS!F27/IS!F$23</f>
        <v>2.9513243802749615E-2</v>
      </c>
      <c r="G22" s="13">
        <f>IS!G27/IS!G$23</f>
        <v>3.0174621056943875E-2</v>
      </c>
      <c r="H22" s="13">
        <f>IS!H27/IS!H$23</f>
        <v>2.38347174570601E-2</v>
      </c>
      <c r="I22" s="13">
        <f>IS!I27/IS!I$23</f>
        <v>2.2112164520541485E-2</v>
      </c>
      <c r="J22" s="13">
        <f>IS!J27/IS!J$23</f>
        <v>2.1856671554252201E-2</v>
      </c>
      <c r="K22" s="13">
        <f>IS!K27/IS!K$23</f>
        <v>2.2483521394257626E-2</v>
      </c>
      <c r="L22" s="13">
        <f t="shared" si="0"/>
        <v>2.7287593151329403E-2</v>
      </c>
    </row>
    <row r="23" spans="1:12" x14ac:dyDescent="0.15">
      <c r="A23" s="7" t="s">
        <v>32</v>
      </c>
      <c r="B23" s="13">
        <f>IS!B29/IS!B$23</f>
        <v>0.23141645322096449</v>
      </c>
      <c r="C23" s="13">
        <f>IS!C29/IS!C$23</f>
        <v>0.22874568001626347</v>
      </c>
      <c r="D23" s="13">
        <f>IS!D29/IS!D$23</f>
        <v>0.22525361536801208</v>
      </c>
      <c r="E23" s="13">
        <f>IS!E29/IS!E$23</f>
        <v>0.22874553068350978</v>
      </c>
      <c r="F23" s="13">
        <f>IS!F29/IS!F$23</f>
        <v>0.23816285365465259</v>
      </c>
      <c r="G23" s="13">
        <f>IS!G29/IS!G$23</f>
        <v>0.23799160180253995</v>
      </c>
      <c r="H23" s="13">
        <f>IS!H29/IS!H$23</f>
        <v>0.22279582304592727</v>
      </c>
      <c r="I23" s="13">
        <f>IS!I29/IS!I$23</f>
        <v>0.20844299797179378</v>
      </c>
      <c r="J23" s="13">
        <f>IS!J29/IS!J$23</f>
        <v>0.21117118768328447</v>
      </c>
      <c r="K23" s="13">
        <f>IS!K29/IS!K$23</f>
        <v>0.22315011358135031</v>
      </c>
      <c r="L23" s="13">
        <f t="shared" si="0"/>
        <v>0.22558758570282983</v>
      </c>
    </row>
    <row r="24" spans="1:12" x14ac:dyDescent="0.15">
      <c r="A24" s="7" t="s">
        <v>33</v>
      </c>
      <c r="B24" s="13">
        <f>IS!B30/IS!B$23</f>
        <v>6.2450081247073727E-2</v>
      </c>
      <c r="C24" s="13">
        <f>IS!C30/IS!C$23</f>
        <v>6.6544690655282235E-2</v>
      </c>
      <c r="D24" s="13">
        <f>IS!D30/IS!D$23</f>
        <v>7.1501546873875818E-2</v>
      </c>
      <c r="E24" s="13">
        <f>IS!E30/IS!E$23</f>
        <v>5.9989704920769625E-2</v>
      </c>
      <c r="F24" s="13">
        <f>IS!F30/IS!F$23</f>
        <v>5.4541111523966242E-2</v>
      </c>
      <c r="G24" s="13">
        <f>IS!G30/IS!G$23</f>
        <v>5.9632322818516999E-2</v>
      </c>
      <c r="H24" s="13">
        <f>IS!H30/IS!H$23</f>
        <v>6.989023204112825E-2</v>
      </c>
      <c r="I24" s="13">
        <f>IS!I30/IS!I$23</f>
        <v>8.4392245648790151E-2</v>
      </c>
      <c r="J24" s="13">
        <f>IS!J30/IS!J$23</f>
        <v>3.5263929618768328E-2</v>
      </c>
      <c r="K24" s="13">
        <f>IS!K30/IS!K$23</f>
        <v>5.3131866085725989E-2</v>
      </c>
      <c r="L24" s="13">
        <f t="shared" si="0"/>
        <v>6.1733773143389736E-2</v>
      </c>
    </row>
    <row r="25" spans="1:12" x14ac:dyDescent="0.15">
      <c r="A25" s="7" t="s">
        <v>34</v>
      </c>
      <c r="B25" s="13">
        <f>IS!B31/IS!B$23</f>
        <v>-1.2145748987854251E-2</v>
      </c>
      <c r="C25" s="13">
        <f>IS!C31/IS!C$23</f>
        <v>-8.2266043233719596E-3</v>
      </c>
      <c r="D25" s="13">
        <f>IS!D31/IS!D$23</f>
        <v>-1.4447082523922584E-2</v>
      </c>
      <c r="E25" s="13">
        <f>IS!E31/IS!E$23</f>
        <v>-9.2655713073359399E-3</v>
      </c>
      <c r="F25" s="13">
        <f>IS!F31/IS!F$23</f>
        <v>-6.1176283242210311E-3</v>
      </c>
      <c r="G25" s="13">
        <f>IS!G31/IS!G$23</f>
        <v>-6.1066161409258505E-3</v>
      </c>
      <c r="H25" s="13">
        <f>IS!H31/IS!H$23</f>
        <v>-1.0442385181859963E-2</v>
      </c>
      <c r="I25" s="13">
        <f>IS!I31/IS!I$23</f>
        <v>-3.9715107777934999E-3</v>
      </c>
      <c r="J25" s="13">
        <f>IS!J31/IS!J$23</f>
        <v>-4.3804985337243399E-3</v>
      </c>
      <c r="K25" s="13">
        <f>IS!K31/IS!K$23</f>
        <v>-4.6735932670465127E-3</v>
      </c>
      <c r="L25" s="13">
        <f t="shared" si="0"/>
        <v>-7.977723936805594E-3</v>
      </c>
    </row>
    <row r="26" spans="1:12" x14ac:dyDescent="0.15">
      <c r="A26" s="7" t="s">
        <v>36</v>
      </c>
      <c r="B26" s="13"/>
      <c r="C26" s="13">
        <f>IS!C32/IS!C$23</f>
        <v>8.402791895371688E-3</v>
      </c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15">
      <c r="A27" s="7" t="s">
        <v>37</v>
      </c>
      <c r="B27" s="13">
        <f>IS!B33/IS!B$23</f>
        <v>0</v>
      </c>
      <c r="C27" s="13">
        <f>IS!C33/IS!C$23</f>
        <v>0</v>
      </c>
      <c r="D27" s="13">
        <f>IS!D33/IS!D$23</f>
        <v>0</v>
      </c>
      <c r="E27" s="13">
        <f>IS!E33/IS!E$23</f>
        <v>0</v>
      </c>
      <c r="F27" s="13">
        <f>IS!F33/IS!F$23</f>
        <v>3.5829927278517966E-4</v>
      </c>
      <c r="G27" s="13">
        <f>IS!G33/IS!G$23</f>
        <v>1.1521917247029905E-4</v>
      </c>
      <c r="H27" s="13">
        <f>IS!H33/IS!H$23</f>
        <v>-1.7101142570087965E-4</v>
      </c>
      <c r="I27" s="13">
        <f>IS!I33/IS!I$23</f>
        <v>3.6036036036036037E-3</v>
      </c>
      <c r="J27" s="13">
        <f>IS!J33/IS!J$23</f>
        <v>4.3988269794721408E-4</v>
      </c>
      <c r="K27" s="13">
        <f>IS!K33/IS!K$23</f>
        <v>8.5651510073362378E-4</v>
      </c>
      <c r="L27" s="13">
        <f t="shared" si="0"/>
        <v>5.2025084218390409E-4</v>
      </c>
    </row>
    <row r="28" spans="1:12" x14ac:dyDescent="0.15">
      <c r="A28" s="7" t="s">
        <v>38</v>
      </c>
      <c r="B28" s="13">
        <f>IS!B34/IS!B$23</f>
        <v>-1.2145748987854251E-2</v>
      </c>
      <c r="C28" s="13">
        <f>IS!C34/IS!C$23</f>
        <v>1.7618757199972895E-4</v>
      </c>
      <c r="D28" s="13">
        <f>IS!D34/IS!D$23</f>
        <v>-1.4447082523922584E-2</v>
      </c>
      <c r="E28" s="13">
        <f>IS!E34/IS!E$23</f>
        <v>-9.2655713073359399E-3</v>
      </c>
      <c r="F28" s="13">
        <f>IS!F34/IS!F$23</f>
        <v>-5.7593290514358509E-3</v>
      </c>
      <c r="G28" s="13">
        <f>IS!G34/IS!G$23</f>
        <v>-5.9913969684555514E-3</v>
      </c>
      <c r="H28" s="13">
        <f>IS!H34/IS!H$23</f>
        <v>-1.0613396607560843E-2</v>
      </c>
      <c r="I28" s="13">
        <f>IS!I34/IS!I$23</f>
        <v>-3.6790717418989672E-4</v>
      </c>
      <c r="J28" s="13">
        <f>IS!J34/IS!J$23</f>
        <v>-3.9406158357771261E-3</v>
      </c>
      <c r="K28" s="13">
        <f>IS!K34/IS!K$23</f>
        <v>-3.8170781663128886E-3</v>
      </c>
      <c r="L28" s="13">
        <f t="shared" si="0"/>
        <v>-6.6171939050845199E-3</v>
      </c>
    </row>
    <row r="29" spans="1:12" x14ac:dyDescent="0.15">
      <c r="A29" s="7" t="s">
        <v>39</v>
      </c>
      <c r="B29" s="13">
        <f>IS!B35/IS!B$23</f>
        <v>5.0304332259219479E-2</v>
      </c>
      <c r="C29" s="13">
        <f>IS!C35/IS!C$23</f>
        <v>6.6720878227281968E-2</v>
      </c>
      <c r="D29" s="13">
        <f>IS!D35/IS!D$23</f>
        <v>5.7054464349953232E-2</v>
      </c>
      <c r="E29" s="13">
        <f>IS!E35/IS!E$23</f>
        <v>5.072413361343369E-2</v>
      </c>
      <c r="F29" s="13">
        <f>IS!F35/IS!F$23</f>
        <v>4.8781782472530393E-2</v>
      </c>
      <c r="G29" s="13">
        <f>IS!G35/IS!G$23</f>
        <v>5.3640925850061451E-2</v>
      </c>
      <c r="H29" s="13">
        <f>IS!H35/IS!H$23</f>
        <v>5.9276835433567404E-2</v>
      </c>
      <c r="I29" s="13">
        <f>IS!I35/IS!I$23</f>
        <v>8.4024338474600252E-2</v>
      </c>
      <c r="J29" s="13">
        <f>IS!J35/IS!J$23</f>
        <v>3.1323313782991205E-2</v>
      </c>
      <c r="K29" s="13">
        <f>IS!K35/IS!K$23</f>
        <v>4.93147879194131E-2</v>
      </c>
      <c r="L29" s="13">
        <f t="shared" si="0"/>
        <v>5.5116579238305222E-2</v>
      </c>
    </row>
    <row r="30" spans="1:12" x14ac:dyDescent="0.15">
      <c r="A30" s="7" t="s">
        <v>40</v>
      </c>
      <c r="B30" s="13">
        <f>IS!B36/IS!B$23</f>
        <v>1.6579911316753421E-2</v>
      </c>
      <c r="C30" s="13">
        <f>IS!C36/IS!C$23</f>
        <v>2.1711730026428136E-2</v>
      </c>
      <c r="D30" s="13">
        <f>IS!D36/IS!D$23</f>
        <v>1.8648823656378155E-2</v>
      </c>
      <c r="E30" s="13">
        <f>IS!E36/IS!E$23</f>
        <v>9.9890093073081148E-3</v>
      </c>
      <c r="F30" s="13">
        <f>IS!F36/IS!F$23</f>
        <v>9.8996762036201499E-3</v>
      </c>
      <c r="G30" s="13">
        <f>IS!G36/IS!G$23</f>
        <v>1.1790761982793937E-2</v>
      </c>
      <c r="H30" s="13">
        <f>IS!H36/IS!H$23</f>
        <v>1.2590716217227264E-2</v>
      </c>
      <c r="I30" s="13">
        <f>IS!I36/IS!I$23</f>
        <v>1.8499127399650959E-2</v>
      </c>
      <c r="J30" s="13">
        <f>IS!J36/IS!J$23</f>
        <v>5.8467741935483873E-3</v>
      </c>
      <c r="K30" s="13">
        <f>IS!K36/IS!K$23</f>
        <v>1.0790228279894239E-2</v>
      </c>
      <c r="L30" s="13">
        <f t="shared" si="0"/>
        <v>1.3634675858360276E-2</v>
      </c>
    </row>
    <row r="31" spans="1:12" x14ac:dyDescent="0.15">
      <c r="A31" s="7" t="s">
        <v>43</v>
      </c>
      <c r="B31" s="13">
        <f>IS!B37/IS!B$23</f>
        <v>-5.6253270538984823E-2</v>
      </c>
      <c r="C31" s="13">
        <f>IS!C37/IS!C$23</f>
        <v>5.692213864606627E-4</v>
      </c>
      <c r="D31" s="13">
        <f>IS!D37/IS!D$23</f>
        <v>9.7848766098280462E-4</v>
      </c>
      <c r="E31" s="13">
        <f>IS!E37/IS!E$23</f>
        <v>8.3473615381404856E-5</v>
      </c>
      <c r="F31" s="13">
        <f>IS!F37/IS!F$23</f>
        <v>9.289240405541695E-5</v>
      </c>
      <c r="G31" s="13">
        <f>IS!G37/IS!G$23</f>
        <v>1.5362556329373209E-4</v>
      </c>
      <c r="H31" s="13">
        <f>IS!H40/IS!H$23</f>
        <v>4.6686119216340138E-2</v>
      </c>
      <c r="I31" s="13">
        <f>IS!I40/IS!I$23</f>
        <v>6.5525211074949297E-2</v>
      </c>
      <c r="J31" s="13">
        <f>IS!J40/IS!J$23</f>
        <v>2.5476539589442817E-2</v>
      </c>
      <c r="K31" s="13">
        <f>IS!K40/IS!K$23</f>
        <v>3.8524559639518861E-2</v>
      </c>
      <c r="L31" s="13">
        <f t="shared" si="0"/>
        <v>1.218368596114403E-2</v>
      </c>
    </row>
    <row r="32" spans="1:12" x14ac:dyDescent="0.15">
      <c r="A32" s="7" t="s">
        <v>45</v>
      </c>
      <c r="B32" s="13">
        <f>IS!B38/IS!B$23</f>
        <v>0</v>
      </c>
      <c r="C32" s="13">
        <f>IS!C38/IS!C$23</f>
        <v>0</v>
      </c>
      <c r="D32" s="13">
        <f>IS!D38/IS!D$23</f>
        <v>0</v>
      </c>
      <c r="E32" s="13">
        <f>IS!E38/IS!E$23</f>
        <v>0</v>
      </c>
      <c r="F32" s="13">
        <f>IS!F38/IS!F$23</f>
        <v>0</v>
      </c>
      <c r="G32" s="13">
        <f>IS!G38/IS!G$23</f>
        <v>0</v>
      </c>
      <c r="H32" s="13">
        <f>IS!H38/IS!H$23</f>
        <v>0</v>
      </c>
      <c r="I32" s="13">
        <f>IS!I38/IS!I$23</f>
        <v>0</v>
      </c>
      <c r="J32" s="13">
        <f>IS!J38/IS!J$23</f>
        <v>0</v>
      </c>
      <c r="K32" s="13">
        <f>IS!K38/IS!K$23</f>
        <v>0</v>
      </c>
    </row>
    <row r="33" spans="1:11" x14ac:dyDescent="0.1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1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15">
      <c r="A35" s="7" t="s">
        <v>46</v>
      </c>
      <c r="B35" s="10">
        <v>634.70000000000005</v>
      </c>
      <c r="C35" s="10">
        <v>627.70000000000005</v>
      </c>
      <c r="D35" s="10">
        <v>577.6</v>
      </c>
      <c r="E35" s="10">
        <v>546.79999999999995</v>
      </c>
      <c r="F35" s="10">
        <v>528.6</v>
      </c>
      <c r="G35" s="10">
        <v>510.9</v>
      </c>
      <c r="H35" s="10">
        <v>500.6</v>
      </c>
      <c r="I35" s="10">
        <v>488.1</v>
      </c>
      <c r="J35" s="10">
        <v>462.1</v>
      </c>
      <c r="K35" s="10">
        <v>461.5</v>
      </c>
    </row>
    <row r="36" spans="1:11" x14ac:dyDescent="0.15">
      <c r="A36" s="7" t="s">
        <v>47</v>
      </c>
      <c r="B36" s="11">
        <v>-2.58</v>
      </c>
      <c r="C36" s="11">
        <v>5.35</v>
      </c>
      <c r="D36" s="11">
        <v>4.74</v>
      </c>
      <c r="E36" s="11">
        <v>5.36</v>
      </c>
      <c r="F36" s="11">
        <v>5.55</v>
      </c>
      <c r="G36" s="11">
        <v>6.42</v>
      </c>
      <c r="H36" s="11">
        <v>8.7200000000000006</v>
      </c>
      <c r="I36" s="11">
        <v>14.23</v>
      </c>
      <c r="J36" s="11">
        <v>6.02</v>
      </c>
      <c r="K36" s="11">
        <v>8.9600000000000009</v>
      </c>
    </row>
    <row r="37" spans="1:11" x14ac:dyDescent="0.15">
      <c r="A37" s="7" t="s">
        <v>48</v>
      </c>
      <c r="B37" s="11">
        <v>3.86</v>
      </c>
      <c r="C37" s="11">
        <v>5.29</v>
      </c>
      <c r="D37" s="11">
        <v>4.62</v>
      </c>
      <c r="E37" s="11">
        <v>5.35</v>
      </c>
      <c r="F37" s="11">
        <v>5.54</v>
      </c>
      <c r="G37" s="11">
        <v>6.39</v>
      </c>
      <c r="H37" s="11">
        <v>8.7200000000000006</v>
      </c>
      <c r="I37" s="11">
        <v>14.23</v>
      </c>
      <c r="J37" s="11">
        <v>6.02</v>
      </c>
      <c r="K37" s="11">
        <v>8.9600000000000009</v>
      </c>
    </row>
    <row r="38" spans="1:11" x14ac:dyDescent="0.15">
      <c r="A38" s="7" t="s">
        <v>49</v>
      </c>
      <c r="B38" s="10">
        <v>640.1</v>
      </c>
      <c r="C38" s="10">
        <v>632.9</v>
      </c>
      <c r="D38" s="10">
        <v>582.5</v>
      </c>
      <c r="E38" s="10">
        <v>550.29999999999995</v>
      </c>
      <c r="F38" s="10">
        <v>533.20000000000005</v>
      </c>
      <c r="G38" s="10">
        <v>515.6</v>
      </c>
      <c r="H38" s="10">
        <v>505.4</v>
      </c>
      <c r="I38" s="10">
        <v>492.7</v>
      </c>
      <c r="J38" s="10">
        <v>464.7</v>
      </c>
      <c r="K38" s="10">
        <v>462.8</v>
      </c>
    </row>
    <row r="39" spans="1:11" x14ac:dyDescent="0.15">
      <c r="A39" s="7" t="s">
        <v>50</v>
      </c>
      <c r="B39" s="11">
        <v>-2.56</v>
      </c>
      <c r="C39" s="11">
        <v>5.31</v>
      </c>
      <c r="D39" s="10">
        <v>4.7</v>
      </c>
      <c r="E39" s="11">
        <v>5.33</v>
      </c>
      <c r="F39" s="11">
        <v>5.51</v>
      </c>
      <c r="G39" s="11">
        <v>6.36</v>
      </c>
      <c r="H39" s="11">
        <v>8.64</v>
      </c>
      <c r="I39" s="10">
        <v>14.1</v>
      </c>
      <c r="J39" s="11">
        <v>5.98</v>
      </c>
      <c r="K39" s="11">
        <v>8.94</v>
      </c>
    </row>
    <row r="40" spans="1:11" x14ac:dyDescent="0.15">
      <c r="A40" s="7" t="s">
        <v>51</v>
      </c>
      <c r="B40" s="11">
        <v>3.83</v>
      </c>
      <c r="C40" s="11">
        <v>5.25</v>
      </c>
      <c r="D40" s="11">
        <v>4.58</v>
      </c>
      <c r="E40" s="11">
        <v>5.32</v>
      </c>
      <c r="F40" s="10">
        <v>5.5</v>
      </c>
      <c r="G40" s="11">
        <v>6.34</v>
      </c>
      <c r="H40" s="11">
        <v>8.64</v>
      </c>
      <c r="I40" s="10">
        <v>14.1</v>
      </c>
      <c r="J40" s="11">
        <v>5.98</v>
      </c>
      <c r="K40" s="11">
        <v>8.94</v>
      </c>
    </row>
    <row r="41" spans="1:11" x14ac:dyDescent="0.15">
      <c r="A41" s="7" t="s">
        <v>52</v>
      </c>
      <c r="B41" s="12">
        <v>640.21400000000006</v>
      </c>
      <c r="C41" s="12">
        <v>602.22699999999998</v>
      </c>
      <c r="D41" s="12">
        <v>556.15599999999995</v>
      </c>
      <c r="E41" s="12">
        <v>541.68200000000002</v>
      </c>
      <c r="F41" s="12">
        <v>517.76199999999994</v>
      </c>
      <c r="G41" s="12">
        <v>504.19900000000001</v>
      </c>
      <c r="H41" s="12">
        <v>500.87700000000001</v>
      </c>
      <c r="I41" s="12">
        <v>471.274</v>
      </c>
      <c r="J41" s="12">
        <v>460.34699999999998</v>
      </c>
      <c r="K41" s="12">
        <v>461.67500000000001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DFF5-CA1A-EB4E-9055-F7EE890BDCA2}">
  <dimension ref="A4:W55"/>
  <sheetViews>
    <sheetView topLeftCell="A2" workbookViewId="0">
      <selection activeCell="K11" sqref="K11"/>
    </sheetView>
  </sheetViews>
  <sheetFormatPr baseColWidth="10" defaultColWidth="8.83203125" defaultRowHeight="13" x14ac:dyDescent="0.15"/>
  <cols>
    <col min="1" max="1" width="50" customWidth="1"/>
    <col min="2" max="191" width="12" customWidth="1"/>
  </cols>
  <sheetData>
    <row r="4" spans="1:23" x14ac:dyDescent="0.15">
      <c r="A4" s="1" t="s">
        <v>0</v>
      </c>
    </row>
    <row r="5" spans="1:23" ht="20" x14ac:dyDescent="0.2">
      <c r="A5" s="2" t="s">
        <v>1</v>
      </c>
    </row>
    <row r="7" spans="1:23" ht="14" x14ac:dyDescent="0.15">
      <c r="A7" s="3" t="s">
        <v>2</v>
      </c>
    </row>
    <row r="8" spans="1:23" x14ac:dyDescent="0.15">
      <c r="A8" s="22" t="s">
        <v>169</v>
      </c>
      <c r="B8">
        <v>2104.5</v>
      </c>
      <c r="C8">
        <v>1932.23</v>
      </c>
      <c r="D8">
        <v>2363.64</v>
      </c>
      <c r="E8">
        <v>2713.83</v>
      </c>
      <c r="F8">
        <v>2784.49</v>
      </c>
      <c r="G8">
        <v>2954.22</v>
      </c>
      <c r="H8">
        <v>3811.15</v>
      </c>
      <c r="I8">
        <v>4373.9399999999996</v>
      </c>
      <c r="J8">
        <v>3970.15</v>
      </c>
      <c r="K8">
        <v>5096.2700000000004</v>
      </c>
    </row>
    <row r="9" spans="1:23" x14ac:dyDescent="0.15">
      <c r="C9" s="19">
        <f>C8/B8-1</f>
        <v>-8.1857923497267726E-2</v>
      </c>
      <c r="D9" s="19">
        <f t="shared" ref="D9:K9" si="0">D8/C8-1</f>
        <v>0.22327052162527217</v>
      </c>
      <c r="E9" s="19">
        <f t="shared" si="0"/>
        <v>0.14815707975833892</v>
      </c>
      <c r="F9" s="19">
        <f t="shared" si="0"/>
        <v>2.6037003054723451E-2</v>
      </c>
      <c r="G9" s="19">
        <f t="shared" si="0"/>
        <v>6.0955507112613105E-2</v>
      </c>
      <c r="H9" s="19">
        <f t="shared" si="0"/>
        <v>0.29006979845779957</v>
      </c>
      <c r="I9" s="19">
        <f t="shared" si="0"/>
        <v>0.14766933865106324</v>
      </c>
      <c r="J9" s="19">
        <f t="shared" si="0"/>
        <v>-9.2317224287484456E-2</v>
      </c>
      <c r="K9" s="19">
        <f t="shared" si="0"/>
        <v>0.28364671360024185</v>
      </c>
    </row>
    <row r="10" spans="1:23" ht="14" x14ac:dyDescent="0.15">
      <c r="A10" s="4" t="s">
        <v>53</v>
      </c>
    </row>
    <row r="11" spans="1:23" ht="14" x14ac:dyDescent="0.15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  <c r="M11" s="33">
        <v>2015</v>
      </c>
      <c r="N11" s="33">
        <f>M11+1</f>
        <v>2016</v>
      </c>
      <c r="O11" s="33">
        <f t="shared" ref="O11:V11" si="1">N11+1</f>
        <v>2017</v>
      </c>
      <c r="P11" s="33">
        <f t="shared" si="1"/>
        <v>2018</v>
      </c>
      <c r="Q11" s="33">
        <f t="shared" si="1"/>
        <v>2019</v>
      </c>
      <c r="R11" s="33">
        <f t="shared" si="1"/>
        <v>2020</v>
      </c>
      <c r="S11" s="33">
        <f t="shared" si="1"/>
        <v>2021</v>
      </c>
      <c r="T11" s="33">
        <f t="shared" si="1"/>
        <v>2022</v>
      </c>
      <c r="U11" s="33">
        <f t="shared" si="1"/>
        <v>2023</v>
      </c>
      <c r="V11" s="33">
        <f t="shared" si="1"/>
        <v>2024</v>
      </c>
    </row>
    <row r="12" spans="1:23" ht="14" x14ac:dyDescent="0.15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  <c r="W12" s="33" t="s">
        <v>163</v>
      </c>
    </row>
    <row r="13" spans="1:23" ht="14" x14ac:dyDescent="0.15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</row>
    <row r="14" spans="1:23" ht="14" x14ac:dyDescent="0.15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</row>
    <row r="15" spans="1:23" ht="14" x14ac:dyDescent="0.15">
      <c r="A15" s="5" t="s">
        <v>21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5"/>
    </row>
    <row r="16" spans="1:23" x14ac:dyDescent="0.15">
      <c r="A16" s="7" t="s">
        <v>54</v>
      </c>
      <c r="B16" s="8">
        <v>2210</v>
      </c>
      <c r="C16" s="8">
        <v>4046</v>
      </c>
      <c r="D16" s="8">
        <v>2512</v>
      </c>
      <c r="E16" s="8">
        <v>2643</v>
      </c>
      <c r="F16" s="8">
        <v>1556</v>
      </c>
      <c r="G16" s="8">
        <v>2577</v>
      </c>
      <c r="H16" s="8">
        <v>8511</v>
      </c>
      <c r="I16" s="8">
        <v>5911</v>
      </c>
      <c r="J16" s="8">
        <v>2229</v>
      </c>
      <c r="K16" s="8">
        <v>3805</v>
      </c>
      <c r="L16" s="7"/>
    </row>
    <row r="17" spans="1:23" x14ac:dyDescent="0.15">
      <c r="A17" s="7" t="s">
        <v>55</v>
      </c>
      <c r="B17" s="8">
        <v>2210</v>
      </c>
      <c r="C17" s="8">
        <v>4046</v>
      </c>
      <c r="D17" s="8">
        <v>2512</v>
      </c>
      <c r="E17" s="8">
        <v>2643</v>
      </c>
      <c r="F17" s="8">
        <v>1556</v>
      </c>
      <c r="G17" s="8">
        <v>2577</v>
      </c>
      <c r="H17" s="8">
        <v>8511</v>
      </c>
      <c r="I17" s="8">
        <v>5911</v>
      </c>
      <c r="J17" s="8">
        <v>2229</v>
      </c>
      <c r="K17" s="8">
        <v>3805</v>
      </c>
      <c r="L17" s="7"/>
      <c r="M17" s="19">
        <f>B17/IS!B23</f>
        <v>3.0433225921947728E-2</v>
      </c>
      <c r="N17" s="19">
        <f>C17/IS!C23</f>
        <v>5.4834993562377178E-2</v>
      </c>
      <c r="O17" s="19">
        <f>D17/IS!D23</f>
        <v>3.6146485358658893E-2</v>
      </c>
      <c r="P17" s="19">
        <f>E17/IS!E23</f>
        <v>3.6770127575508842E-2</v>
      </c>
      <c r="Q17" s="19">
        <f>F17/IS!F23</f>
        <v>2.0648654387175541E-2</v>
      </c>
      <c r="R17" s="19">
        <f>G17/IS!G23</f>
        <v>3.2991089717328961E-2</v>
      </c>
      <c r="S17" s="19">
        <f>H17/IS!H23</f>
        <v>9.096739025876166E-2</v>
      </c>
      <c r="T17" s="19">
        <f>I17/IS!I23</f>
        <v>5.5761520682986648E-2</v>
      </c>
      <c r="U17" s="19">
        <f>J17/IS!J23</f>
        <v>2.0427052785923754E-2</v>
      </c>
      <c r="V17" s="19">
        <f>K17/IS!K23</f>
        <v>3.5424347372733027E-2</v>
      </c>
      <c r="W17" s="34">
        <f>AVERAGE(M17:V17)</f>
        <v>4.144048876234023E-2</v>
      </c>
    </row>
    <row r="18" spans="1:23" x14ac:dyDescent="0.15">
      <c r="A18" s="7" t="s">
        <v>56</v>
      </c>
      <c r="B18" s="8">
        <v>1122</v>
      </c>
      <c r="C18" s="8">
        <v>779</v>
      </c>
      <c r="D18" s="8">
        <v>749</v>
      </c>
      <c r="E18" s="8">
        <v>929</v>
      </c>
      <c r="F18" s="8">
        <v>1100</v>
      </c>
      <c r="G18" s="8">
        <v>962</v>
      </c>
      <c r="H18" s="8">
        <v>1135</v>
      </c>
      <c r="I18" s="8">
        <v>1353</v>
      </c>
      <c r="J18" s="8">
        <v>1695</v>
      </c>
      <c r="K18" s="8">
        <v>1404</v>
      </c>
      <c r="L18" s="7"/>
      <c r="M18" s="19">
        <f>B18/IS!$B$23</f>
        <v>1.5450714698834999E-2</v>
      </c>
      <c r="N18" s="19">
        <f>C18/IS!$B$23</f>
        <v>1.0727367870225013E-2</v>
      </c>
      <c r="O18" s="19">
        <f>D18/IS!$B$23</f>
        <v>1.0314247156352419E-2</v>
      </c>
      <c r="P18" s="19">
        <f>E18/IS!$B$23</f>
        <v>1.2792971439587981E-2</v>
      </c>
      <c r="Q18" s="19">
        <f>F18/IS!$B$23</f>
        <v>1.5147759508661764E-2</v>
      </c>
      <c r="R18" s="19">
        <f>G18/IS!$B$23</f>
        <v>1.3247404224847834E-2</v>
      </c>
      <c r="S18" s="19">
        <f>H18/IS!$B$23</f>
        <v>1.5629733674846456E-2</v>
      </c>
      <c r="T18" s="19">
        <f>I18/IS!$B$23</f>
        <v>1.8631744195653971E-2</v>
      </c>
      <c r="U18" s="19">
        <f>J18/IS!$B$23</f>
        <v>2.3341320333801537E-2</v>
      </c>
      <c r="V18" s="19">
        <f>K18/IS!$B$23</f>
        <v>1.9334049409237379E-2</v>
      </c>
      <c r="W18" s="34">
        <f t="shared" ref="W18:W55" si="2">AVERAGE(M18:V18)</f>
        <v>1.5461731251204935E-2</v>
      </c>
    </row>
    <row r="19" spans="1:23" x14ac:dyDescent="0.15">
      <c r="A19" s="7" t="s">
        <v>57</v>
      </c>
      <c r="B19" s="8">
        <v>8790</v>
      </c>
      <c r="C19" s="8">
        <v>8601</v>
      </c>
      <c r="D19" s="8">
        <v>8309</v>
      </c>
      <c r="E19" s="8">
        <v>8657</v>
      </c>
      <c r="F19" s="8">
        <v>9497</v>
      </c>
      <c r="G19" s="8">
        <v>8992</v>
      </c>
      <c r="H19" s="8">
        <v>10653</v>
      </c>
      <c r="I19" s="8">
        <v>13902</v>
      </c>
      <c r="J19" s="8">
        <v>13499</v>
      </c>
      <c r="K19" s="8">
        <v>11886</v>
      </c>
      <c r="L19" s="7"/>
      <c r="M19" s="19">
        <f>B19/IS!$B$23</f>
        <v>0.12104436916466992</v>
      </c>
      <c r="N19" s="19">
        <f>C19/IS!$B$23</f>
        <v>0.11844170866727258</v>
      </c>
      <c r="O19" s="19">
        <f>D19/IS!$B$23</f>
        <v>0.114420667052246</v>
      </c>
      <c r="P19" s="19">
        <f>E19/IS!$B$23</f>
        <v>0.11921286733316809</v>
      </c>
      <c r="Q19" s="19">
        <f>F19/IS!$B$23</f>
        <v>0.13078024732160071</v>
      </c>
      <c r="R19" s="19">
        <f>G19/IS!$B$23</f>
        <v>0.12382604863807871</v>
      </c>
      <c r="S19" s="19">
        <f>H19/IS!$B$23</f>
        <v>0.14669916549615797</v>
      </c>
      <c r="T19" s="19">
        <f>I19/IS!$B$23</f>
        <v>0.19144013880855987</v>
      </c>
      <c r="U19" s="19">
        <f>J19/IS!$B$23</f>
        <v>0.18589055055220469</v>
      </c>
      <c r="V19" s="19">
        <f>K19/IS!$B$23</f>
        <v>0.16367842683632158</v>
      </c>
      <c r="W19" s="34">
        <f t="shared" si="2"/>
        <v>0.14154341898702799</v>
      </c>
    </row>
    <row r="20" spans="1:23" x14ac:dyDescent="0.15">
      <c r="A20" s="7" t="s">
        <v>58</v>
      </c>
      <c r="B20" s="8">
        <v>188</v>
      </c>
      <c r="C20" s="9" t="s">
        <v>25</v>
      </c>
      <c r="D20" s="9" t="s">
        <v>25</v>
      </c>
      <c r="E20" s="9" t="s">
        <v>25</v>
      </c>
      <c r="F20" s="9" t="s">
        <v>25</v>
      </c>
      <c r="G20" s="9" t="s">
        <v>25</v>
      </c>
      <c r="H20" s="9" t="s">
        <v>25</v>
      </c>
      <c r="I20" s="9" t="s">
        <v>25</v>
      </c>
      <c r="J20" s="9" t="s">
        <v>25</v>
      </c>
      <c r="K20" s="9" t="s">
        <v>25</v>
      </c>
      <c r="L20" s="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34"/>
    </row>
    <row r="21" spans="1:23" x14ac:dyDescent="0.15">
      <c r="A21" s="7" t="s">
        <v>59</v>
      </c>
      <c r="B21" s="8">
        <v>231</v>
      </c>
      <c r="C21" s="8">
        <v>214</v>
      </c>
      <c r="D21" s="8">
        <v>207</v>
      </c>
      <c r="E21" s="8">
        <v>181</v>
      </c>
      <c r="F21" s="8">
        <v>157</v>
      </c>
      <c r="G21" s="8">
        <v>154</v>
      </c>
      <c r="H21" s="8">
        <v>171</v>
      </c>
      <c r="I21" s="8">
        <v>170</v>
      </c>
      <c r="J21" s="8">
        <v>188</v>
      </c>
      <c r="K21" s="8">
        <v>201</v>
      </c>
      <c r="L21" s="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34"/>
    </row>
    <row r="22" spans="1:23" x14ac:dyDescent="0.15">
      <c r="A22" s="7" t="s">
        <v>60</v>
      </c>
      <c r="B22" s="8">
        <v>1333</v>
      </c>
      <c r="C22" s="8">
        <v>322</v>
      </c>
      <c r="D22" s="8">
        <v>69</v>
      </c>
      <c r="E22" s="9" t="s">
        <v>25</v>
      </c>
      <c r="F22" s="9" t="s">
        <v>25</v>
      </c>
      <c r="G22" s="9" t="s">
        <v>25</v>
      </c>
      <c r="H22" s="9" t="s">
        <v>25</v>
      </c>
      <c r="I22" s="9" t="s">
        <v>25</v>
      </c>
      <c r="J22" s="9" t="s">
        <v>25</v>
      </c>
      <c r="K22" s="9" t="s">
        <v>25</v>
      </c>
      <c r="L22" s="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34"/>
    </row>
    <row r="23" spans="1:23" x14ac:dyDescent="0.15">
      <c r="A23" s="7" t="s">
        <v>61</v>
      </c>
      <c r="B23" s="8">
        <v>213</v>
      </c>
      <c r="C23" s="8">
        <v>168</v>
      </c>
      <c r="D23" s="8">
        <v>144</v>
      </c>
      <c r="E23" s="8">
        <v>154</v>
      </c>
      <c r="F23" s="8">
        <v>209</v>
      </c>
      <c r="G23" s="8">
        <v>217</v>
      </c>
      <c r="H23" s="8">
        <v>286</v>
      </c>
      <c r="I23" s="8">
        <v>237</v>
      </c>
      <c r="J23" s="8">
        <v>235</v>
      </c>
      <c r="K23" s="8">
        <v>202</v>
      </c>
      <c r="L23" s="7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34"/>
    </row>
    <row r="24" spans="1:23" x14ac:dyDescent="0.15">
      <c r="A24" s="7" t="s">
        <v>62</v>
      </c>
      <c r="B24" s="8">
        <v>14087</v>
      </c>
      <c r="C24" s="8">
        <v>14130</v>
      </c>
      <c r="D24" s="8">
        <v>11990</v>
      </c>
      <c r="E24" s="8">
        <v>12564</v>
      </c>
      <c r="F24" s="8">
        <v>12519</v>
      </c>
      <c r="G24" s="8">
        <v>12902</v>
      </c>
      <c r="H24" s="8">
        <v>20756</v>
      </c>
      <c r="I24" s="8">
        <v>21573</v>
      </c>
      <c r="J24" s="8">
        <v>17846</v>
      </c>
      <c r="K24" s="8">
        <v>17498</v>
      </c>
      <c r="L24" s="7"/>
      <c r="M24" s="19">
        <f>B24/IS!$B$23</f>
        <v>0.19398771654410751</v>
      </c>
      <c r="N24" s="19">
        <f>C24/IS!$B$23</f>
        <v>0.19457985623399157</v>
      </c>
      <c r="O24" s="19">
        <f>D24/IS!$B$23</f>
        <v>0.16511057864441323</v>
      </c>
      <c r="P24" s="19">
        <f>E24/IS!$B$23</f>
        <v>0.17301495496984218</v>
      </c>
      <c r="Q24" s="19">
        <f>F24/IS!$B$23</f>
        <v>0.17239527389903331</v>
      </c>
      <c r="R24" s="19">
        <f>G24/IS!$B$23</f>
        <v>0.17766944834614007</v>
      </c>
      <c r="S24" s="19">
        <f>H24/IS!$B$23</f>
        <v>0.28582445123798506</v>
      </c>
      <c r="T24" s="19">
        <f>I24/IS!$B$23</f>
        <v>0.29707510534578202</v>
      </c>
      <c r="U24" s="19">
        <f>J24/IS!$B$23</f>
        <v>0.24575174199234351</v>
      </c>
      <c r="V24" s="19">
        <f>K24/IS!$B$23</f>
        <v>0.24095954171142142</v>
      </c>
      <c r="W24" s="34">
        <f t="shared" si="2"/>
        <v>0.214636866892506</v>
      </c>
    </row>
    <row r="25" spans="1:23" x14ac:dyDescent="0.15">
      <c r="A25" s="7" t="s">
        <v>63</v>
      </c>
      <c r="B25" s="8">
        <v>41064</v>
      </c>
      <c r="C25" s="8">
        <v>41463</v>
      </c>
      <c r="D25" s="8">
        <v>42071</v>
      </c>
      <c r="E25" s="8">
        <v>43199</v>
      </c>
      <c r="F25" s="8">
        <v>44220</v>
      </c>
      <c r="G25" s="8">
        <v>45947</v>
      </c>
      <c r="H25" s="8">
        <v>47157</v>
      </c>
      <c r="I25" s="8">
        <v>49318</v>
      </c>
      <c r="J25" s="8">
        <v>54143</v>
      </c>
      <c r="K25" s="8">
        <v>57509</v>
      </c>
      <c r="L25" s="7"/>
      <c r="M25" s="19">
        <f>B25/IS!$B$23</f>
        <v>0.56547963314880612</v>
      </c>
      <c r="N25" s="19">
        <f>C25/IS!$B$23</f>
        <v>0.57097413864331159</v>
      </c>
      <c r="O25" s="19">
        <f>D25/IS!$B$23</f>
        <v>0.57934671844446284</v>
      </c>
      <c r="P25" s="19">
        <f>E25/IS!$B$23</f>
        <v>0.59488005728607229</v>
      </c>
      <c r="Q25" s="19">
        <f>F25/IS!$B$23</f>
        <v>0.60893993224820298</v>
      </c>
      <c r="R25" s="19">
        <f>G25/IS!$B$23</f>
        <v>0.63272191467680194</v>
      </c>
      <c r="S25" s="19">
        <f>H25/IS!$B$23</f>
        <v>0.64938445013632984</v>
      </c>
      <c r="T25" s="19">
        <f>I25/IS!$B$23</f>
        <v>0.67914291222561896</v>
      </c>
      <c r="U25" s="19">
        <f>J25/IS!$B$23</f>
        <v>0.74558649370679442</v>
      </c>
      <c r="V25" s="19">
        <f>K25/IS!$B$23</f>
        <v>0.79193863780329943</v>
      </c>
      <c r="W25" s="34">
        <f t="shared" si="2"/>
        <v>0.64183948883197006</v>
      </c>
    </row>
    <row r="26" spans="1:23" x14ac:dyDescent="0.15">
      <c r="A26" s="7" t="s">
        <v>64</v>
      </c>
      <c r="B26" s="8">
        <v>15106</v>
      </c>
      <c r="C26" s="8">
        <v>16246</v>
      </c>
      <c r="D26" s="8">
        <v>17413</v>
      </c>
      <c r="E26" s="8">
        <v>18181</v>
      </c>
      <c r="F26" s="8">
        <v>18687</v>
      </c>
      <c r="G26" s="8">
        <v>19664</v>
      </c>
      <c r="H26" s="8">
        <v>20278</v>
      </c>
      <c r="I26" s="8">
        <v>21137</v>
      </c>
      <c r="J26" s="8">
        <v>22631</v>
      </c>
      <c r="K26" s="8">
        <v>24413</v>
      </c>
      <c r="L26" s="7"/>
      <c r="M26" s="19">
        <f>B26/B25</f>
        <v>0.36786479641535164</v>
      </c>
      <c r="N26" s="19">
        <f t="shared" ref="N26:V26" si="3">C26/C25</f>
        <v>0.39181921230977018</v>
      </c>
      <c r="O26" s="19">
        <f t="shared" si="3"/>
        <v>0.41389555750992368</v>
      </c>
      <c r="P26" s="19">
        <f t="shared" si="3"/>
        <v>0.42086622375517951</v>
      </c>
      <c r="Q26" s="19">
        <f t="shared" si="3"/>
        <v>0.42259158751696063</v>
      </c>
      <c r="R26" s="19">
        <f t="shared" si="3"/>
        <v>0.42797135830413302</v>
      </c>
      <c r="S26" s="19">
        <f t="shared" si="3"/>
        <v>0.43001039082214731</v>
      </c>
      <c r="T26" s="19">
        <f t="shared" si="3"/>
        <v>0.42858591183746297</v>
      </c>
      <c r="U26" s="19">
        <f t="shared" si="3"/>
        <v>0.41798570452320705</v>
      </c>
      <c r="V26" s="19">
        <f t="shared" si="3"/>
        <v>0.42450746839625103</v>
      </c>
      <c r="W26" s="34">
        <f t="shared" si="2"/>
        <v>0.41460982113903871</v>
      </c>
    </row>
    <row r="27" spans="1:23" x14ac:dyDescent="0.15">
      <c r="A27" s="7" t="s">
        <v>65</v>
      </c>
      <c r="B27" s="8">
        <v>25958</v>
      </c>
      <c r="C27" s="8">
        <v>25217</v>
      </c>
      <c r="D27" s="8">
        <v>24658</v>
      </c>
      <c r="E27" s="8">
        <v>25018</v>
      </c>
      <c r="F27" s="8">
        <v>25533</v>
      </c>
      <c r="G27" s="8">
        <v>26283</v>
      </c>
      <c r="H27" s="8">
        <v>26879</v>
      </c>
      <c r="I27" s="8">
        <v>28181</v>
      </c>
      <c r="J27" s="8">
        <v>31512</v>
      </c>
      <c r="K27" s="8">
        <v>33096</v>
      </c>
      <c r="L27" s="7"/>
      <c r="M27" s="19">
        <f>B27/IS!$B$23</f>
        <v>0.35745958302349279</v>
      </c>
      <c r="N27" s="19">
        <f>C27/IS!$B$23</f>
        <v>0.34725550139083972</v>
      </c>
      <c r="O27" s="19">
        <f>D27/IS!$B$23</f>
        <v>0.3395576854223471</v>
      </c>
      <c r="P27" s="19">
        <f>E27/IS!$B$23</f>
        <v>0.34451513398881822</v>
      </c>
      <c r="Q27" s="19">
        <f>F27/IS!$B$23</f>
        <v>0.35160703957696438</v>
      </c>
      <c r="R27" s="19">
        <f>G27/IS!$B$23</f>
        <v>0.36193505742377924</v>
      </c>
      <c r="S27" s="19">
        <f>H27/IS!$B$23</f>
        <v>0.37014238893938139</v>
      </c>
      <c r="T27" s="19">
        <f>I27/IS!$B$23</f>
        <v>0.38807182792145201</v>
      </c>
      <c r="U27" s="19">
        <f>J27/IS!$B$23</f>
        <v>0.43394199785177229</v>
      </c>
      <c r="V27" s="19">
        <f>K27/IS!$B$23</f>
        <v>0.45575477154424521</v>
      </c>
      <c r="W27" s="34">
        <f t="shared" si="2"/>
        <v>0.37502409870830922</v>
      </c>
    </row>
    <row r="28" spans="1:23" x14ac:dyDescent="0.15">
      <c r="A28" s="7" t="s">
        <v>66</v>
      </c>
      <c r="B28" s="8">
        <v>302</v>
      </c>
      <c r="C28" s="8">
        <v>277</v>
      </c>
      <c r="D28" s="8">
        <v>259</v>
      </c>
      <c r="E28" s="8">
        <v>782</v>
      </c>
      <c r="F28" s="8">
        <v>699</v>
      </c>
      <c r="G28" s="8">
        <v>686</v>
      </c>
      <c r="H28" s="8">
        <v>668</v>
      </c>
      <c r="I28" s="8">
        <v>656</v>
      </c>
      <c r="J28" s="8">
        <v>645</v>
      </c>
      <c r="K28" s="8">
        <v>639</v>
      </c>
      <c r="L28" s="7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34"/>
    </row>
    <row r="29" spans="1:23" x14ac:dyDescent="0.15">
      <c r="A29" s="7" t="s">
        <v>67</v>
      </c>
      <c r="B29" s="9" t="s">
        <v>25</v>
      </c>
      <c r="C29" s="8">
        <v>66</v>
      </c>
      <c r="D29" s="8">
        <v>43</v>
      </c>
      <c r="E29" s="8">
        <v>46</v>
      </c>
      <c r="F29" s="8">
        <v>11</v>
      </c>
      <c r="G29" s="9" t="s">
        <v>25</v>
      </c>
      <c r="H29" s="9" t="s">
        <v>25</v>
      </c>
      <c r="I29" s="9" t="s">
        <v>25</v>
      </c>
      <c r="J29" s="9" t="s">
        <v>25</v>
      </c>
      <c r="K29" s="8">
        <v>57</v>
      </c>
      <c r="L29" s="7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34"/>
    </row>
    <row r="30" spans="1:23" x14ac:dyDescent="0.15">
      <c r="A30" s="7" t="s">
        <v>68</v>
      </c>
      <c r="B30" s="8">
        <v>442</v>
      </c>
      <c r="C30" s="8">
        <v>75</v>
      </c>
      <c r="D30" s="8">
        <v>12</v>
      </c>
      <c r="E30" s="9" t="s">
        <v>25</v>
      </c>
      <c r="F30" s="9" t="s">
        <v>25</v>
      </c>
      <c r="G30" s="9" t="s">
        <v>25</v>
      </c>
      <c r="H30" s="9" t="s">
        <v>25</v>
      </c>
      <c r="I30" s="9" t="s">
        <v>25</v>
      </c>
      <c r="J30" s="9" t="s">
        <v>25</v>
      </c>
      <c r="K30" s="9" t="s">
        <v>25</v>
      </c>
      <c r="L30" s="7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34"/>
    </row>
    <row r="31" spans="1:23" x14ac:dyDescent="0.15">
      <c r="A31" s="7" t="s">
        <v>69</v>
      </c>
      <c r="B31" s="8">
        <v>615</v>
      </c>
      <c r="C31" s="8">
        <v>497</v>
      </c>
      <c r="D31" s="8">
        <v>469</v>
      </c>
      <c r="E31" s="8">
        <v>589</v>
      </c>
      <c r="F31" s="8">
        <v>2528</v>
      </c>
      <c r="G31" s="8">
        <v>2908</v>
      </c>
      <c r="H31" s="8">
        <v>2945</v>
      </c>
      <c r="I31" s="8">
        <v>3401</v>
      </c>
      <c r="J31" s="8">
        <v>3332</v>
      </c>
      <c r="K31" s="8">
        <v>4066</v>
      </c>
      <c r="L31" s="7"/>
      <c r="M31" s="19">
        <f>B31/IS!$B$23</f>
        <v>8.4689746343881676E-3</v>
      </c>
      <c r="N31" s="19">
        <f>C31/IS!$B$23</f>
        <v>6.8440331598226337E-3</v>
      </c>
      <c r="O31" s="19">
        <f>D31/IS!$B$23</f>
        <v>6.4584538268748796E-3</v>
      </c>
      <c r="P31" s="19">
        <f>E31/IS!$B$23</f>
        <v>8.1109366823652537E-3</v>
      </c>
      <c r="Q31" s="19">
        <f>F31/IS!$B$23</f>
        <v>3.4812305488997219E-2</v>
      </c>
      <c r="R31" s="19">
        <f>G31/IS!$B$23</f>
        <v>4.0045167864716735E-2</v>
      </c>
      <c r="S31" s="19">
        <f>H31/IS!$B$23</f>
        <v>4.0554683411826269E-2</v>
      </c>
      <c r="T31" s="19">
        <f>I31/IS!$B$23</f>
        <v>4.683411826268969E-2</v>
      </c>
      <c r="U31" s="19">
        <f>J31/IS!$B$23</f>
        <v>4.5883940620782729E-2</v>
      </c>
      <c r="V31" s="19">
        <f>K31/IS!$B$23</f>
        <v>5.599162742019885E-2</v>
      </c>
      <c r="W31" s="34">
        <f t="shared" si="2"/>
        <v>2.9400424137266245E-2</v>
      </c>
    </row>
    <row r="32" spans="1:23" x14ac:dyDescent="0.15">
      <c r="A32" s="7" t="s">
        <v>70</v>
      </c>
      <c r="B32" s="8">
        <v>41404</v>
      </c>
      <c r="C32" s="8">
        <v>40262</v>
      </c>
      <c r="D32" s="8">
        <v>37431</v>
      </c>
      <c r="E32" s="8">
        <v>38999</v>
      </c>
      <c r="F32" s="8">
        <v>41290</v>
      </c>
      <c r="G32" s="8">
        <v>42779</v>
      </c>
      <c r="H32" s="8">
        <v>51248</v>
      </c>
      <c r="I32" s="8">
        <v>53811</v>
      </c>
      <c r="J32" s="8">
        <v>53335</v>
      </c>
      <c r="K32" s="8">
        <v>55356</v>
      </c>
      <c r="L32" s="16"/>
      <c r="M32" s="19">
        <f>B32/IS!$B$23</f>
        <v>0.57016166790602885</v>
      </c>
      <c r="N32" s="19">
        <f>C32/IS!$B$23</f>
        <v>0.55443553939794543</v>
      </c>
      <c r="O32" s="19">
        <f>D32/IS!$B$23</f>
        <v>0.51545071469883497</v>
      </c>
      <c r="P32" s="19">
        <f>E32/IS!$B$23</f>
        <v>0.53704315734390917</v>
      </c>
      <c r="Q32" s="19">
        <f>F32/IS!$B$23</f>
        <v>0.56859180919331298</v>
      </c>
      <c r="R32" s="19">
        <f>G32/IS!$B$23</f>
        <v>0.58909636729185599</v>
      </c>
      <c r="S32" s="19">
        <f>H32/IS!$B$23</f>
        <v>0.70572034481808921</v>
      </c>
      <c r="T32" s="19">
        <f>I32/IS!$B$23</f>
        <v>0.74101462447327104</v>
      </c>
      <c r="U32" s="19">
        <f>J32/IS!$B$23</f>
        <v>0.73445977581315924</v>
      </c>
      <c r="V32" s="19">
        <f>K32/IS!$B$23</f>
        <v>0.76229034123770967</v>
      </c>
      <c r="W32" s="34">
        <f t="shared" si="2"/>
        <v>0.62782643421741158</v>
      </c>
    </row>
    <row r="33" spans="1:23" x14ac:dyDescent="0.15">
      <c r="A33" s="7" t="s">
        <v>71</v>
      </c>
      <c r="B33" s="8">
        <v>10755</v>
      </c>
      <c r="C33" s="8">
        <v>10414</v>
      </c>
      <c r="D33" s="8">
        <v>10145</v>
      </c>
      <c r="E33" s="8">
        <v>12118</v>
      </c>
      <c r="F33" s="8">
        <v>12966</v>
      </c>
      <c r="G33" s="8">
        <v>13171</v>
      </c>
      <c r="H33" s="8">
        <v>17263</v>
      </c>
      <c r="I33" s="8">
        <v>20012</v>
      </c>
      <c r="J33" s="8">
        <v>17582</v>
      </c>
      <c r="K33" s="8">
        <v>16697</v>
      </c>
      <c r="L33" s="7"/>
      <c r="M33" s="19">
        <f>B33/IS!$B$23</f>
        <v>0.1481037759233248</v>
      </c>
      <c r="N33" s="19">
        <f>C33/IS!$B$23</f>
        <v>0.14340797047563966</v>
      </c>
      <c r="O33" s="19">
        <f>D33/IS!$B$23</f>
        <v>0.13970365474124874</v>
      </c>
      <c r="P33" s="19">
        <f>E33/IS!$B$23</f>
        <v>0.16687322702360297</v>
      </c>
      <c r="Q33" s="19">
        <f>F33/IS!$B$23</f>
        <v>0.17855077253573495</v>
      </c>
      <c r="R33" s="19">
        <f>G33/IS!$B$23</f>
        <v>0.18137376408053099</v>
      </c>
      <c r="S33" s="19">
        <f>H33/IS!$B$23</f>
        <v>0.23772342945275277</v>
      </c>
      <c r="T33" s="19">
        <f>I33/IS!$B$23</f>
        <v>0.27557905753394474</v>
      </c>
      <c r="U33" s="19">
        <f>J33/IS!$B$23</f>
        <v>0.24211627971026467</v>
      </c>
      <c r="V33" s="19">
        <f>K33/IS!$B$23</f>
        <v>0.22992921865102317</v>
      </c>
      <c r="W33" s="34">
        <f t="shared" si="2"/>
        <v>0.19433611501280673</v>
      </c>
    </row>
    <row r="34" spans="1:23" x14ac:dyDescent="0.15">
      <c r="A34" s="7" t="s">
        <v>72</v>
      </c>
      <c r="B34" s="8">
        <v>7759</v>
      </c>
      <c r="C34" s="8">
        <v>7418</v>
      </c>
      <c r="D34" s="8">
        <v>7252</v>
      </c>
      <c r="E34" s="8">
        <v>8677</v>
      </c>
      <c r="F34" s="8">
        <v>9761</v>
      </c>
      <c r="G34" s="8">
        <v>9920</v>
      </c>
      <c r="H34" s="8">
        <v>12859</v>
      </c>
      <c r="I34" s="8">
        <v>15478</v>
      </c>
      <c r="J34" s="8">
        <v>13487</v>
      </c>
      <c r="K34" s="8">
        <v>12098</v>
      </c>
      <c r="L34" s="7"/>
      <c r="M34" s="19">
        <f>B34/IS!$B$23</f>
        <v>0.10684678729791512</v>
      </c>
      <c r="N34" s="19">
        <f>C34/IS!$B$23</f>
        <v>0.10215098185022997</v>
      </c>
      <c r="O34" s="19">
        <f>D34/IS!$B$23</f>
        <v>9.9865047233468285E-2</v>
      </c>
      <c r="P34" s="19">
        <f>E34/IS!$B$23</f>
        <v>0.11948828114241648</v>
      </c>
      <c r="Q34" s="19">
        <f>F34/IS!$B$23</f>
        <v>0.13441570960367952</v>
      </c>
      <c r="R34" s="19">
        <f>G34/IS!$B$23</f>
        <v>0.13660524938720428</v>
      </c>
      <c r="S34" s="19">
        <f>H34/IS!$B$23</f>
        <v>0.17707730865625604</v>
      </c>
      <c r="T34" s="19">
        <f>I34/IS!$B$23</f>
        <v>0.21314274697733343</v>
      </c>
      <c r="U34" s="19">
        <f>J34/IS!$B$23</f>
        <v>0.18572530226665565</v>
      </c>
      <c r="V34" s="19">
        <f>K34/IS!$B$23</f>
        <v>0.16659781321435457</v>
      </c>
      <c r="W34" s="34">
        <f t="shared" si="2"/>
        <v>0.14419152276295136</v>
      </c>
    </row>
    <row r="35" spans="1:23" x14ac:dyDescent="0.15">
      <c r="A35" s="7" t="s">
        <v>73</v>
      </c>
      <c r="B35" s="8">
        <v>2387</v>
      </c>
      <c r="C35" s="8">
        <v>2352</v>
      </c>
      <c r="D35" s="8">
        <v>2200</v>
      </c>
      <c r="E35" s="8">
        <v>2714</v>
      </c>
      <c r="F35" s="8">
        <v>2365</v>
      </c>
      <c r="G35" s="8">
        <v>2316</v>
      </c>
      <c r="H35" s="8">
        <v>3369</v>
      </c>
      <c r="I35" s="8">
        <v>3332</v>
      </c>
      <c r="J35" s="8">
        <v>2855</v>
      </c>
      <c r="K35" s="8">
        <v>4599</v>
      </c>
      <c r="L35" s="7"/>
      <c r="M35" s="19">
        <f>B35/IS!$B$23</f>
        <v>3.287063813379603E-2</v>
      </c>
      <c r="N35" s="19">
        <f>C35/IS!$B$23</f>
        <v>3.2388663967611336E-2</v>
      </c>
      <c r="O35" s="19">
        <f>D35/IS!$B$23</f>
        <v>3.0295519017323528E-2</v>
      </c>
      <c r="P35" s="19">
        <f>E35/IS!$B$23</f>
        <v>3.7373653915007299E-2</v>
      </c>
      <c r="Q35" s="19">
        <f>F35/IS!$B$23</f>
        <v>3.2567682943622792E-2</v>
      </c>
      <c r="R35" s="19">
        <f>G35/IS!$B$23</f>
        <v>3.1892919110964223E-2</v>
      </c>
      <c r="S35" s="19">
        <f>H35/IS!$B$23</f>
        <v>4.6393456167892255E-2</v>
      </c>
      <c r="T35" s="19">
        <f>I35/IS!$B$23</f>
        <v>4.5883940620782729E-2</v>
      </c>
      <c r="U35" s="19">
        <f>J35/IS!$B$23</f>
        <v>3.9315321270208488E-2</v>
      </c>
      <c r="V35" s="19">
        <f>K35/IS!$B$23</f>
        <v>6.3331405436668597E-2</v>
      </c>
      <c r="W35" s="34">
        <f t="shared" si="2"/>
        <v>3.9231320058387732E-2</v>
      </c>
    </row>
    <row r="36" spans="1:23" x14ac:dyDescent="0.15">
      <c r="A36" s="7" t="s">
        <v>74</v>
      </c>
      <c r="B36" s="8">
        <v>91</v>
      </c>
      <c r="C36" s="8">
        <v>815</v>
      </c>
      <c r="D36" s="8">
        <v>1718</v>
      </c>
      <c r="E36" s="8">
        <v>270</v>
      </c>
      <c r="F36" s="8">
        <v>1052</v>
      </c>
      <c r="G36" s="8">
        <v>161</v>
      </c>
      <c r="H36" s="8">
        <v>1144</v>
      </c>
      <c r="I36" s="8">
        <v>171</v>
      </c>
      <c r="J36" s="8">
        <v>130</v>
      </c>
      <c r="K36" s="8">
        <v>997</v>
      </c>
      <c r="L36" s="7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34"/>
    </row>
    <row r="37" spans="1:23" x14ac:dyDescent="0.15">
      <c r="A37" s="7" t="s">
        <v>75</v>
      </c>
      <c r="B37" s="9" t="s">
        <v>25</v>
      </c>
      <c r="C37" s="9" t="s">
        <v>25</v>
      </c>
      <c r="D37" s="9" t="s">
        <v>25</v>
      </c>
      <c r="E37" s="9" t="s">
        <v>25</v>
      </c>
      <c r="F37" s="9" t="s">
        <v>25</v>
      </c>
      <c r="G37" s="9" t="s">
        <v>25</v>
      </c>
      <c r="H37" s="9" t="s">
        <v>25</v>
      </c>
      <c r="I37" s="9" t="s">
        <v>25</v>
      </c>
      <c r="J37" s="9" t="s">
        <v>25</v>
      </c>
      <c r="K37" s="8">
        <v>119</v>
      </c>
      <c r="L37" s="7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34"/>
    </row>
    <row r="38" spans="1:23" x14ac:dyDescent="0.15">
      <c r="A38" s="7" t="s">
        <v>76</v>
      </c>
      <c r="B38" s="8">
        <v>103</v>
      </c>
      <c r="C38" s="8">
        <v>153</v>
      </c>
      <c r="D38" s="8">
        <v>1</v>
      </c>
      <c r="E38" s="9" t="s">
        <v>25</v>
      </c>
      <c r="F38" s="9" t="s">
        <v>25</v>
      </c>
      <c r="G38" s="9" t="s">
        <v>25</v>
      </c>
      <c r="H38" s="9" t="s">
        <v>25</v>
      </c>
      <c r="I38" s="9" t="s">
        <v>25</v>
      </c>
      <c r="J38" s="9" t="s">
        <v>25</v>
      </c>
      <c r="K38" s="9" t="s">
        <v>25</v>
      </c>
      <c r="L38" s="7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34"/>
    </row>
    <row r="39" spans="1:23" x14ac:dyDescent="0.15">
      <c r="A39" s="7" t="s">
        <v>77</v>
      </c>
      <c r="B39" s="8">
        <v>787</v>
      </c>
      <c r="C39" s="8">
        <v>1240</v>
      </c>
      <c r="D39" s="8">
        <v>844</v>
      </c>
      <c r="E39" s="8">
        <v>813</v>
      </c>
      <c r="F39" s="8">
        <v>996</v>
      </c>
      <c r="G39" s="8">
        <v>1155</v>
      </c>
      <c r="H39" s="8">
        <v>1718</v>
      </c>
      <c r="I39" s="8">
        <v>1564</v>
      </c>
      <c r="J39" s="8">
        <v>1788</v>
      </c>
      <c r="K39" s="8">
        <v>1491</v>
      </c>
      <c r="L39" s="7"/>
      <c r="M39" s="19">
        <f>B39/IS!$B$23</f>
        <v>1.0837533393924372E-2</v>
      </c>
      <c r="N39" s="19">
        <f>C39/IS!$B$23</f>
        <v>1.7075656173400535E-2</v>
      </c>
      <c r="O39" s="19">
        <f>D39/IS!$B$23</f>
        <v>1.16224627502823E-2</v>
      </c>
      <c r="P39" s="19">
        <f>E39/IS!$B$23</f>
        <v>1.1195571345947286E-2</v>
      </c>
      <c r="Q39" s="19">
        <f>F39/IS!$B$23</f>
        <v>1.3715607700570107E-2</v>
      </c>
      <c r="R39" s="19">
        <f>G39/IS!$B$23</f>
        <v>1.5905147484094852E-2</v>
      </c>
      <c r="S39" s="19">
        <f>H39/IS!$B$23</f>
        <v>2.3658046214437192E-2</v>
      </c>
      <c r="T39" s="19">
        <f>I39/IS!$B$23</f>
        <v>2.1537359883224545E-2</v>
      </c>
      <c r="U39" s="19">
        <f>J39/IS!$B$23</f>
        <v>2.4621994546806577E-2</v>
      </c>
      <c r="V39" s="19">
        <f>K39/IS!$B$23</f>
        <v>2.0532099479467901E-2</v>
      </c>
      <c r="W39" s="34">
        <f t="shared" si="2"/>
        <v>1.7070147897215567E-2</v>
      </c>
    </row>
    <row r="40" spans="1:23" x14ac:dyDescent="0.15">
      <c r="A40" s="7" t="s">
        <v>78</v>
      </c>
      <c r="B40" s="8">
        <v>11736</v>
      </c>
      <c r="C40" s="8">
        <v>12622</v>
      </c>
      <c r="D40" s="8">
        <v>12708</v>
      </c>
      <c r="E40" s="8">
        <v>13201</v>
      </c>
      <c r="F40" s="8">
        <v>15014</v>
      </c>
      <c r="G40" s="8">
        <v>14487</v>
      </c>
      <c r="H40" s="8">
        <v>20125</v>
      </c>
      <c r="I40" s="8">
        <v>21747</v>
      </c>
      <c r="J40" s="8">
        <v>19500</v>
      </c>
      <c r="K40" s="8">
        <v>19304</v>
      </c>
      <c r="L40" s="7"/>
      <c r="M40" s="19">
        <f>B40/IS!$B$23</f>
        <v>0.16161282326695861</v>
      </c>
      <c r="N40" s="19">
        <f>C40/IS!$B$23</f>
        <v>0.17381365501666254</v>
      </c>
      <c r="O40" s="19">
        <f>D40/IS!$B$23</f>
        <v>0.17499793439643063</v>
      </c>
      <c r="P40" s="19">
        <f>E40/IS!$B$23</f>
        <v>0.18178688479440358</v>
      </c>
      <c r="Q40" s="19">
        <f>F40/IS!$B$23</f>
        <v>0.20675314660277067</v>
      </c>
      <c r="R40" s="19">
        <f>G40/IS!$B$23</f>
        <v>0.19949599272907542</v>
      </c>
      <c r="S40" s="19">
        <f>H40/IS!$B$23</f>
        <v>0.27713514555619817</v>
      </c>
      <c r="T40" s="19">
        <f>I40/IS!$B$23</f>
        <v>0.29947120548624306</v>
      </c>
      <c r="U40" s="19">
        <f>J40/IS!$B$23</f>
        <v>0.26852846401718583</v>
      </c>
      <c r="V40" s="19">
        <f>K40/IS!$B$23</f>
        <v>0.26582940868655153</v>
      </c>
      <c r="W40" s="34">
        <f t="shared" si="2"/>
        <v>0.220942466055248</v>
      </c>
    </row>
    <row r="41" spans="1:23" x14ac:dyDescent="0.15">
      <c r="A41" s="7" t="s">
        <v>79</v>
      </c>
      <c r="B41" s="8">
        <v>12705</v>
      </c>
      <c r="C41" s="8">
        <v>11945</v>
      </c>
      <c r="D41" s="8">
        <v>11031</v>
      </c>
      <c r="E41" s="8">
        <v>11317</v>
      </c>
      <c r="F41" s="8">
        <v>10223</v>
      </c>
      <c r="G41" s="8">
        <v>11338</v>
      </c>
      <c r="H41" s="8">
        <v>11536</v>
      </c>
      <c r="I41" s="8">
        <v>13549</v>
      </c>
      <c r="J41" s="8">
        <v>16009</v>
      </c>
      <c r="K41" s="8">
        <v>14922</v>
      </c>
      <c r="L41" s="7"/>
      <c r="M41" s="19">
        <f>B41/IS!$B$23</f>
        <v>0.17495662232504339</v>
      </c>
      <c r="N41" s="19">
        <f>C41/IS!$B$23</f>
        <v>0.16449089757360433</v>
      </c>
      <c r="O41" s="19">
        <f>D41/IS!$B$23</f>
        <v>0.15190448649095264</v>
      </c>
      <c r="P41" s="19">
        <f>E41/IS!$B$23</f>
        <v>0.15584290396320472</v>
      </c>
      <c r="Q41" s="19">
        <f>F41/IS!$B$23</f>
        <v>0.14077776859731747</v>
      </c>
      <c r="R41" s="19">
        <f>G41/IS!$B$23</f>
        <v>0.15613208846291554</v>
      </c>
      <c r="S41" s="19">
        <f>H41/IS!$B$23</f>
        <v>0.15885868517447466</v>
      </c>
      <c r="T41" s="19">
        <f>I41/IS!$B$23</f>
        <v>0.18657908507532567</v>
      </c>
      <c r="U41" s="19">
        <f>J41/IS!$B$23</f>
        <v>0.22045498361287835</v>
      </c>
      <c r="V41" s="19">
        <f>K41/IS!$B$23</f>
        <v>0.20548624308022803</v>
      </c>
      <c r="W41" s="34">
        <f t="shared" si="2"/>
        <v>0.17154837643559451</v>
      </c>
    </row>
    <row r="42" spans="1:23" x14ac:dyDescent="0.15">
      <c r="A42" s="7" t="s">
        <v>80</v>
      </c>
      <c r="B42" s="8">
        <v>151</v>
      </c>
      <c r="C42" s="8">
        <v>54</v>
      </c>
      <c r="D42" s="8">
        <v>46</v>
      </c>
      <c r="E42" s="8">
        <v>41</v>
      </c>
      <c r="F42" s="8">
        <v>40</v>
      </c>
      <c r="G42" s="8">
        <v>107</v>
      </c>
      <c r="H42" s="8">
        <v>57</v>
      </c>
      <c r="I42" s="8">
        <v>45</v>
      </c>
      <c r="J42" s="8">
        <v>37</v>
      </c>
      <c r="K42" s="8">
        <v>33</v>
      </c>
      <c r="L42" s="7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34"/>
    </row>
    <row r="43" spans="1:23" x14ac:dyDescent="0.15">
      <c r="A43" s="7" t="s">
        <v>81</v>
      </c>
      <c r="B43" s="8">
        <v>193</v>
      </c>
      <c r="C43" s="8">
        <v>18</v>
      </c>
      <c r="D43" s="8">
        <v>18</v>
      </c>
      <c r="E43" s="9" t="s">
        <v>25</v>
      </c>
      <c r="F43" s="9" t="s">
        <v>25</v>
      </c>
      <c r="G43" s="9" t="s">
        <v>25</v>
      </c>
      <c r="H43" s="9" t="s">
        <v>25</v>
      </c>
      <c r="I43" s="9" t="s">
        <v>25</v>
      </c>
      <c r="J43" s="9" t="s">
        <v>25</v>
      </c>
      <c r="K43" s="9" t="s">
        <v>25</v>
      </c>
      <c r="L43" s="7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34"/>
    </row>
    <row r="44" spans="1:23" x14ac:dyDescent="0.15">
      <c r="A44" s="7" t="s">
        <v>82</v>
      </c>
      <c r="B44" s="8">
        <v>1321</v>
      </c>
      <c r="C44" s="8">
        <v>1483</v>
      </c>
      <c r="D44" s="8">
        <v>1491</v>
      </c>
      <c r="E44" s="8">
        <v>1313</v>
      </c>
      <c r="F44" s="8">
        <v>1542</v>
      </c>
      <c r="G44" s="8">
        <v>1661</v>
      </c>
      <c r="H44" s="8">
        <v>1499</v>
      </c>
      <c r="I44" s="8">
        <v>2045</v>
      </c>
      <c r="J44" s="8">
        <v>2645</v>
      </c>
      <c r="K44" s="8">
        <v>2899</v>
      </c>
      <c r="L44" s="7"/>
      <c r="M44" s="19">
        <f>B44/IS!$B$23</f>
        <v>1.8191082100856536E-2</v>
      </c>
      <c r="N44" s="19">
        <f>C44/IS!$B$23</f>
        <v>2.0421933955768544E-2</v>
      </c>
      <c r="O44" s="19">
        <f>D44/IS!$B$23</f>
        <v>2.0532099479467901E-2</v>
      </c>
      <c r="P44" s="19">
        <f>E44/IS!$B$23</f>
        <v>1.8080916577157179E-2</v>
      </c>
      <c r="Q44" s="19">
        <f>F44/IS!$B$23</f>
        <v>2.1234404693051309E-2</v>
      </c>
      <c r="R44" s="19">
        <f>G44/IS!$B$23</f>
        <v>2.2873116858079263E-2</v>
      </c>
      <c r="S44" s="19">
        <f>H44/IS!$B$23</f>
        <v>2.0642265003167258E-2</v>
      </c>
      <c r="T44" s="19">
        <f>I44/IS!$B$23</f>
        <v>2.8161061995648461E-2</v>
      </c>
      <c r="U44" s="19">
        <f>J44/IS!$B$23</f>
        <v>3.642347627310033E-2</v>
      </c>
      <c r="V44" s="19">
        <f>K44/IS!$B$23</f>
        <v>3.9921231650554959E-2</v>
      </c>
      <c r="W44" s="34">
        <f t="shared" si="2"/>
        <v>2.4648158858685175E-2</v>
      </c>
    </row>
    <row r="45" spans="1:23" x14ac:dyDescent="0.15">
      <c r="A45" s="7" t="s">
        <v>83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7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34"/>
    </row>
    <row r="46" spans="1:23" x14ac:dyDescent="0.15">
      <c r="A46" s="7" t="s">
        <v>84</v>
      </c>
      <c r="B46" s="8">
        <v>1301</v>
      </c>
      <c r="C46" s="8">
        <v>1183</v>
      </c>
      <c r="D46" s="8">
        <v>1184</v>
      </c>
      <c r="E46" s="8">
        <v>1418</v>
      </c>
      <c r="F46" s="8">
        <v>3174</v>
      </c>
      <c r="G46" s="8">
        <v>3353</v>
      </c>
      <c r="H46" s="8">
        <v>3591</v>
      </c>
      <c r="I46" s="8">
        <v>3598</v>
      </c>
      <c r="J46" s="8">
        <v>3912</v>
      </c>
      <c r="K46" s="8">
        <v>4766</v>
      </c>
      <c r="L46" s="7"/>
      <c r="M46" s="19">
        <f>B46/IS!$B$23</f>
        <v>1.791566829160814E-2</v>
      </c>
      <c r="N46" s="19">
        <f>C46/IS!$B$23</f>
        <v>1.6290726817042606E-2</v>
      </c>
      <c r="O46" s="19">
        <f>D46/IS!$B$23</f>
        <v>1.6304497507505025E-2</v>
      </c>
      <c r="P46" s="19">
        <f>E46/IS!$B$23</f>
        <v>1.9526839075711257E-2</v>
      </c>
      <c r="Q46" s="19">
        <f>F46/IS!$B$23</f>
        <v>4.3708171527720399E-2</v>
      </c>
      <c r="R46" s="19">
        <f>G46/IS!$B$23</f>
        <v>4.6173125120493541E-2</v>
      </c>
      <c r="S46" s="19">
        <f>H46/IS!$B$23</f>
        <v>4.9450549450549448E-2</v>
      </c>
      <c r="T46" s="19">
        <f>I46/IS!$B$23</f>
        <v>4.9546944283786386E-2</v>
      </c>
      <c r="U46" s="19">
        <f>J46/IS!$B$23</f>
        <v>5.3870941088986199E-2</v>
      </c>
      <c r="V46" s="19">
        <f>K46/IS!$B$23</f>
        <v>6.5631110743892704E-2</v>
      </c>
      <c r="W46" s="34">
        <f t="shared" si="2"/>
        <v>3.7841857390729573E-2</v>
      </c>
    </row>
    <row r="47" spans="1:23" x14ac:dyDescent="0.15">
      <c r="A47" s="7" t="s">
        <v>85</v>
      </c>
      <c r="B47" s="8">
        <v>27407</v>
      </c>
      <c r="C47" s="8">
        <v>27305</v>
      </c>
      <c r="D47" s="8">
        <v>26478</v>
      </c>
      <c r="E47" s="8">
        <v>27290</v>
      </c>
      <c r="F47" s="8">
        <v>29993</v>
      </c>
      <c r="G47" s="8">
        <v>30946</v>
      </c>
      <c r="H47" s="8">
        <v>36808</v>
      </c>
      <c r="I47" s="8">
        <v>40984</v>
      </c>
      <c r="J47" s="8">
        <v>42103</v>
      </c>
      <c r="K47" s="8">
        <v>41924</v>
      </c>
      <c r="L47" s="7"/>
      <c r="M47" s="19">
        <f>B47/IS!$B$23</f>
        <v>0.37741331350353907</v>
      </c>
      <c r="N47" s="19">
        <f>C47/IS!$B$23</f>
        <v>0.37600870307637224</v>
      </c>
      <c r="O47" s="19">
        <f>D47/IS!$B$23</f>
        <v>0.36462034206395111</v>
      </c>
      <c r="P47" s="19">
        <f>E47/IS!$B$23</f>
        <v>0.37580214271943596</v>
      </c>
      <c r="Q47" s="19">
        <f>F47/IS!$B$23</f>
        <v>0.41302431903935666</v>
      </c>
      <c r="R47" s="19">
        <f>G47/IS!$B$23</f>
        <v>0.42614778705004269</v>
      </c>
      <c r="S47" s="19">
        <f>H47/IS!$B$23</f>
        <v>0.50687157454074749</v>
      </c>
      <c r="T47" s="19">
        <f>I47/IS!$B$23</f>
        <v>0.56437797791181255</v>
      </c>
      <c r="U47" s="19">
        <f>J47/IS!$B$23</f>
        <v>0.57978738053926027</v>
      </c>
      <c r="V47" s="19">
        <f>K47/IS!$B$23</f>
        <v>0.57732242694648706</v>
      </c>
      <c r="W47" s="34">
        <f t="shared" si="2"/>
        <v>0.45613759673910048</v>
      </c>
    </row>
    <row r="48" spans="1:23" x14ac:dyDescent="0.15">
      <c r="A48" s="7" t="s">
        <v>86</v>
      </c>
      <c r="B48" s="8">
        <v>53</v>
      </c>
      <c r="C48" s="8">
        <v>50</v>
      </c>
      <c r="D48" s="8">
        <v>46</v>
      </c>
      <c r="E48" s="8">
        <v>45</v>
      </c>
      <c r="F48" s="8">
        <v>43</v>
      </c>
      <c r="G48" s="8">
        <v>42</v>
      </c>
      <c r="H48" s="8">
        <v>42</v>
      </c>
      <c r="I48" s="8">
        <v>39</v>
      </c>
      <c r="J48" s="8">
        <v>38</v>
      </c>
      <c r="K48" s="8">
        <v>38</v>
      </c>
      <c r="L48" s="7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34"/>
    </row>
    <row r="49" spans="1:23" x14ac:dyDescent="0.15">
      <c r="A49" s="7" t="s">
        <v>87</v>
      </c>
      <c r="B49" s="8">
        <v>4899</v>
      </c>
      <c r="C49" s="8">
        <v>5348</v>
      </c>
      <c r="D49" s="8">
        <v>5661</v>
      </c>
      <c r="E49" s="8">
        <v>5858</v>
      </c>
      <c r="F49" s="8">
        <v>6042</v>
      </c>
      <c r="G49" s="8">
        <v>6226</v>
      </c>
      <c r="H49" s="8">
        <v>6329</v>
      </c>
      <c r="I49" s="8">
        <v>6421</v>
      </c>
      <c r="J49" s="8">
        <v>6608</v>
      </c>
      <c r="K49" s="8">
        <v>6761</v>
      </c>
      <c r="L49" s="7"/>
      <c r="M49" s="19">
        <f>B49/IS!$B$23</f>
        <v>6.7462612575394529E-2</v>
      </c>
      <c r="N49" s="19">
        <f>C49/IS!$B$23</f>
        <v>7.3645652593021013E-2</v>
      </c>
      <c r="O49" s="19">
        <f>D49/IS!$B$23</f>
        <v>7.7955878707758414E-2</v>
      </c>
      <c r="P49" s="19">
        <f>E49/IS!$B$23</f>
        <v>8.0668704728855109E-2</v>
      </c>
      <c r="Q49" s="19">
        <f>F49/IS!$B$23</f>
        <v>8.3202511773940349E-2</v>
      </c>
      <c r="R49" s="19">
        <f>G49/IS!$B$23</f>
        <v>8.5736318819025589E-2</v>
      </c>
      <c r="S49" s="19">
        <f>H49/IS!$B$23</f>
        <v>8.7154699936654825E-2</v>
      </c>
      <c r="T49" s="19">
        <f>I49/IS!$B$23</f>
        <v>8.8421603459197445E-2</v>
      </c>
      <c r="U49" s="19">
        <f>J49/IS!$B$23</f>
        <v>9.0996722575669944E-2</v>
      </c>
      <c r="V49" s="19">
        <f>K49/IS!$B$23</f>
        <v>9.3103638216420176E-2</v>
      </c>
      <c r="W49" s="34">
        <f t="shared" si="2"/>
        <v>8.2834834338593746E-2</v>
      </c>
    </row>
    <row r="50" spans="1:23" x14ac:dyDescent="0.15">
      <c r="A50" s="7" t="s">
        <v>88</v>
      </c>
      <c r="B50" s="8">
        <v>9644</v>
      </c>
      <c r="C50" s="8">
        <v>8188</v>
      </c>
      <c r="D50" s="8">
        <v>5884</v>
      </c>
      <c r="E50" s="8">
        <v>6553</v>
      </c>
      <c r="F50" s="8">
        <v>6017</v>
      </c>
      <c r="G50" s="8">
        <v>6433</v>
      </c>
      <c r="H50" s="8">
        <v>8825</v>
      </c>
      <c r="I50" s="8">
        <v>6920</v>
      </c>
      <c r="J50" s="8">
        <v>5005</v>
      </c>
      <c r="K50" s="8">
        <v>7093</v>
      </c>
      <c r="L50" s="7"/>
      <c r="M50" s="19">
        <f>B50/IS!$B$23</f>
        <v>0.13280453881957641</v>
      </c>
      <c r="N50" s="19">
        <f>C50/IS!$B$23</f>
        <v>0.1127544135062932</v>
      </c>
      <c r="O50" s="19">
        <f>D50/IS!$B$23</f>
        <v>8.1026742680878019E-2</v>
      </c>
      <c r="P50" s="19">
        <f>E50/IS!$B$23</f>
        <v>9.0239334600236851E-2</v>
      </c>
      <c r="Q50" s="19">
        <f>F50/IS!$B$23</f>
        <v>8.2858244512379844E-2</v>
      </c>
      <c r="R50" s="19">
        <f>G50/IS!$B$23</f>
        <v>8.8586851744746481E-2</v>
      </c>
      <c r="S50" s="19">
        <f>H50/IS!$B$23</f>
        <v>0.1215263433308546</v>
      </c>
      <c r="T50" s="19">
        <f>I50/IS!$B$23</f>
        <v>9.5293177999944911E-2</v>
      </c>
      <c r="U50" s="19">
        <f>J50/IS!$B$23</f>
        <v>6.8922305764411024E-2</v>
      </c>
      <c r="V50" s="19">
        <f>K50/IS!$B$23</f>
        <v>9.7675507449943536E-2</v>
      </c>
      <c r="W50" s="34">
        <f t="shared" si="2"/>
        <v>9.7168746040926485E-2</v>
      </c>
    </row>
    <row r="51" spans="1:23" x14ac:dyDescent="0.15">
      <c r="A51" s="7" t="s">
        <v>89</v>
      </c>
      <c r="B51" s="8">
        <v>-599</v>
      </c>
      <c r="C51" s="8">
        <v>-629</v>
      </c>
      <c r="D51" s="8">
        <v>-638</v>
      </c>
      <c r="E51" s="8">
        <v>-747</v>
      </c>
      <c r="F51" s="8">
        <v>-805</v>
      </c>
      <c r="G51" s="8">
        <v>-868</v>
      </c>
      <c r="H51" s="8">
        <v>-756</v>
      </c>
      <c r="I51" s="8">
        <v>-553</v>
      </c>
      <c r="J51" s="8">
        <v>-419</v>
      </c>
      <c r="K51" s="8">
        <v>-460</v>
      </c>
      <c r="L51" s="7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34"/>
    </row>
    <row r="52" spans="1:23" x14ac:dyDescent="0.15">
      <c r="A52" s="7" t="s">
        <v>90</v>
      </c>
      <c r="B52" s="9" t="s">
        <v>25</v>
      </c>
      <c r="C52" s="9" t="s">
        <v>25</v>
      </c>
      <c r="D52" s="9" t="s">
        <v>25</v>
      </c>
      <c r="E52" s="8">
        <v>-13</v>
      </c>
      <c r="F52" s="8">
        <v>-20</v>
      </c>
      <c r="G52" s="8">
        <v>-19</v>
      </c>
      <c r="H52" s="8">
        <v>-18</v>
      </c>
      <c r="I52" s="8">
        <v>-19</v>
      </c>
      <c r="J52" s="8">
        <v>-23</v>
      </c>
      <c r="K52" s="8">
        <v>283</v>
      </c>
      <c r="L52" s="7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34"/>
    </row>
    <row r="53" spans="1:23" x14ac:dyDescent="0.15">
      <c r="A53" s="7" t="s">
        <v>91</v>
      </c>
      <c r="B53" s="8">
        <v>0</v>
      </c>
      <c r="C53" s="8">
        <v>0</v>
      </c>
      <c r="D53" s="8">
        <v>0</v>
      </c>
      <c r="E53" s="8">
        <v>13</v>
      </c>
      <c r="F53" s="8">
        <v>20</v>
      </c>
      <c r="G53" s="8">
        <v>19</v>
      </c>
      <c r="H53" s="8">
        <v>18</v>
      </c>
      <c r="I53" s="8">
        <v>19</v>
      </c>
      <c r="J53" s="8">
        <v>23</v>
      </c>
      <c r="K53" s="8">
        <v>-283</v>
      </c>
      <c r="L53" s="7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34"/>
    </row>
    <row r="54" spans="1:23" x14ac:dyDescent="0.15">
      <c r="A54" s="7" t="s">
        <v>92</v>
      </c>
      <c r="B54" s="8">
        <v>13997</v>
      </c>
      <c r="C54" s="8">
        <v>12957</v>
      </c>
      <c r="D54" s="8">
        <v>10953</v>
      </c>
      <c r="E54" s="8">
        <v>11709</v>
      </c>
      <c r="F54" s="8">
        <v>11297</v>
      </c>
      <c r="G54" s="8">
        <v>11833</v>
      </c>
      <c r="H54" s="8">
        <v>14440</v>
      </c>
      <c r="I54" s="8">
        <v>12827</v>
      </c>
      <c r="J54" s="8">
        <v>11232</v>
      </c>
      <c r="K54" s="8">
        <v>13432</v>
      </c>
      <c r="L54" s="16"/>
      <c r="M54" s="19">
        <f>B54/IS!$B$23</f>
        <v>0.19274835440248975</v>
      </c>
      <c r="N54" s="19">
        <f>C54/IS!$B$23</f>
        <v>0.17842683632157316</v>
      </c>
      <c r="O54" s="19">
        <f>D54/IS!$B$23</f>
        <v>0.15083037263488391</v>
      </c>
      <c r="P54" s="19">
        <f>E54/IS!$B$23</f>
        <v>0.16124101462447327</v>
      </c>
      <c r="Q54" s="19">
        <f>F54/IS!$B$23</f>
        <v>0.15556749015395632</v>
      </c>
      <c r="R54" s="19">
        <f>G54/IS!$B$23</f>
        <v>0.16294858024181333</v>
      </c>
      <c r="S54" s="19">
        <f>H54/IS!$B$23</f>
        <v>0.19884877027734171</v>
      </c>
      <c r="T54" s="19">
        <f>I54/IS!$B$23</f>
        <v>0.17663664656145858</v>
      </c>
      <c r="U54" s="19">
        <f>J54/IS!$B$23</f>
        <v>0.15467239527389903</v>
      </c>
      <c r="V54" s="19">
        <f>K54/IS!$B$23</f>
        <v>0.18496791429122256</v>
      </c>
      <c r="W54" s="34">
        <f t="shared" si="2"/>
        <v>0.17168883747831118</v>
      </c>
    </row>
    <row r="55" spans="1:23" x14ac:dyDescent="0.15">
      <c r="A55" s="7" t="s">
        <v>93</v>
      </c>
      <c r="B55" s="8">
        <v>41404</v>
      </c>
      <c r="C55" s="8">
        <v>40262</v>
      </c>
      <c r="D55" s="8">
        <v>37431</v>
      </c>
      <c r="E55" s="8">
        <v>38999</v>
      </c>
      <c r="F55" s="8">
        <v>41290</v>
      </c>
      <c r="G55" s="8">
        <v>42779</v>
      </c>
      <c r="H55" s="8">
        <v>51248</v>
      </c>
      <c r="I55" s="8">
        <v>53811</v>
      </c>
      <c r="J55" s="8">
        <v>53335</v>
      </c>
      <c r="K55" s="8">
        <v>55356</v>
      </c>
      <c r="L55" s="7"/>
      <c r="M55" s="19">
        <f>B55/IS!$B$23</f>
        <v>0.57016166790602885</v>
      </c>
      <c r="N55" s="19">
        <f>C55/IS!$B$23</f>
        <v>0.55443553939794543</v>
      </c>
      <c r="O55" s="19">
        <f>D55/IS!$B$23</f>
        <v>0.51545071469883497</v>
      </c>
      <c r="P55" s="19">
        <f>E55/IS!$B$23</f>
        <v>0.53704315734390917</v>
      </c>
      <c r="Q55" s="19">
        <f>F55/IS!$B$23</f>
        <v>0.56859180919331298</v>
      </c>
      <c r="R55" s="19">
        <f>G55/IS!$B$23</f>
        <v>0.58909636729185599</v>
      </c>
      <c r="S55" s="19">
        <f>H55/IS!$B$23</f>
        <v>0.70572034481808921</v>
      </c>
      <c r="T55" s="19">
        <f>I55/IS!$B$23</f>
        <v>0.74101462447327104</v>
      </c>
      <c r="U55" s="19">
        <f>J55/IS!$B$23</f>
        <v>0.73445977581315924</v>
      </c>
      <c r="V55" s="19">
        <f>K55/IS!$B$23</f>
        <v>0.76229034123770967</v>
      </c>
      <c r="W55" s="34">
        <f t="shared" si="2"/>
        <v>0.62782643421741158</v>
      </c>
    </row>
  </sheetData>
  <sortState xmlns:xlrd2="http://schemas.microsoft.com/office/spreadsheetml/2017/richdata2" columnSort="1" ref="B11:K55">
    <sortCondition ref="B11:K1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5EC6-D598-AF47-822E-FF8221F68960}">
  <dimension ref="A4:L62"/>
  <sheetViews>
    <sheetView topLeftCell="A44" zoomScale="75" zoomScaleNormal="96" workbookViewId="0">
      <selection activeCell="D85" sqref="D85"/>
    </sheetView>
  </sheetViews>
  <sheetFormatPr baseColWidth="10" defaultRowHeight="13" x14ac:dyDescent="0.15"/>
  <cols>
    <col min="1" max="1" width="50" customWidth="1"/>
    <col min="2" max="2" width="21" bestFit="1" customWidth="1"/>
    <col min="3" max="11" width="12.6640625" bestFit="1" customWidth="1"/>
  </cols>
  <sheetData>
    <row r="4" spans="1:11" x14ac:dyDescent="0.15">
      <c r="A4" s="1" t="s">
        <v>0</v>
      </c>
    </row>
    <row r="5" spans="1:11" ht="20" x14ac:dyDescent="0.2">
      <c r="A5" s="2" t="s">
        <v>1</v>
      </c>
    </row>
    <row r="7" spans="1:11" ht="14" x14ac:dyDescent="0.15">
      <c r="A7" s="3" t="s">
        <v>2</v>
      </c>
    </row>
    <row r="10" spans="1:11" ht="14" x14ac:dyDescent="0.15">
      <c r="A10" s="4" t="s">
        <v>53</v>
      </c>
    </row>
    <row r="11" spans="1:11" x14ac:dyDescent="0.15">
      <c r="A11" s="5" t="s">
        <v>4</v>
      </c>
      <c r="B11" s="6">
        <v>2015</v>
      </c>
      <c r="C11" s="6">
        <v>2016</v>
      </c>
      <c r="D11" s="6">
        <v>2017</v>
      </c>
      <c r="E11" s="6">
        <v>2018</v>
      </c>
      <c r="F11" s="6">
        <v>2019</v>
      </c>
      <c r="G11" s="6">
        <v>2020</v>
      </c>
      <c r="H11" s="6">
        <v>2021</v>
      </c>
      <c r="I11" s="6">
        <v>2022</v>
      </c>
      <c r="J11" s="6">
        <v>2023</v>
      </c>
      <c r="K11" s="6">
        <v>2024</v>
      </c>
    </row>
    <row r="12" spans="1:11" x14ac:dyDescent="0.15">
      <c r="A12" s="5"/>
    </row>
    <row r="13" spans="1:11" x14ac:dyDescent="0.15">
      <c r="A13" s="5" t="s">
        <v>111</v>
      </c>
    </row>
    <row r="14" spans="1:11" x14ac:dyDescent="0.15">
      <c r="A14" s="20" t="s">
        <v>94</v>
      </c>
      <c r="B14" s="11">
        <f>BS!B24/BS!B40</f>
        <v>1.2003237900477164</v>
      </c>
      <c r="C14" s="11">
        <f>BS!C24/BS!C40</f>
        <v>1.1194739344002536</v>
      </c>
      <c r="D14" s="11">
        <f>BS!D24/BS!D40</f>
        <v>0.94350015738117721</v>
      </c>
      <c r="E14" s="11">
        <f>BS!E24/BS!E40</f>
        <v>0.9517460798424362</v>
      </c>
      <c r="F14" s="11">
        <f>BS!F24/BS!F40</f>
        <v>0.83382176635140537</v>
      </c>
      <c r="G14" s="11">
        <f>BS!G24/BS!G40</f>
        <v>0.89059156485124591</v>
      </c>
      <c r="H14" s="11">
        <f>BS!H24/BS!H40</f>
        <v>1.0313540372670806</v>
      </c>
      <c r="I14" s="11">
        <f>BS!I24/BS!I40</f>
        <v>0.99199889639950334</v>
      </c>
      <c r="J14" s="11">
        <f>BS!J24/BS!J40</f>
        <v>0.91517948717948716</v>
      </c>
      <c r="K14" s="11">
        <f>BS!K24/BS!K40</f>
        <v>0.90644426025694158</v>
      </c>
    </row>
    <row r="15" spans="1:11" x14ac:dyDescent="0.15">
      <c r="A15" s="20" t="s">
        <v>95</v>
      </c>
      <c r="B15" s="11">
        <f>(BS!B17+BS!B18)/BS!B40</f>
        <v>0.28391274710293113</v>
      </c>
      <c r="C15" s="11">
        <f>(BS!C17+BS!C18)/BS!C40</f>
        <v>0.38226905403264144</v>
      </c>
      <c r="D15" s="11">
        <f>(BS!D17+BS!D18)/BS!D40</f>
        <v>0.25661000944287066</v>
      </c>
      <c r="E15" s="11">
        <f>(BS!E17+BS!E18)/BS!E40</f>
        <v>0.27058556169987125</v>
      </c>
      <c r="F15" s="11">
        <f>(BS!F17+BS!F18)/BS!F40</f>
        <v>0.17690155854535766</v>
      </c>
      <c r="G15" s="11">
        <f>(BS!G17+BS!G18)/BS!G40</f>
        <v>0.2442879823289846</v>
      </c>
      <c r="H15" s="11">
        <f>(BS!H17+BS!H18)/BS!H40</f>
        <v>0.47930434782608694</v>
      </c>
      <c r="I15" s="11">
        <f>(BS!I17+BS!I18)/BS!I40</f>
        <v>0.33402308364372096</v>
      </c>
      <c r="J15" s="11">
        <f>(BS!J17+BS!J18)/BS!J40</f>
        <v>0.20123076923076924</v>
      </c>
      <c r="K15" s="11">
        <f>(BS!K17+BS!K18)/BS!K40</f>
        <v>0.26984044757563197</v>
      </c>
    </row>
    <row r="16" spans="1:11" x14ac:dyDescent="0.15">
      <c r="A16" s="14" t="s">
        <v>97</v>
      </c>
      <c r="B16" s="11">
        <f>BS!B16/BS!B40</f>
        <v>0.18830947511929108</v>
      </c>
      <c r="C16" s="11">
        <f>BS!C16/BS!C40</f>
        <v>0.32055141815877042</v>
      </c>
      <c r="D16" s="11">
        <f>BS!D16/BS!D40</f>
        <v>0.19767075857727415</v>
      </c>
      <c r="E16" s="11">
        <f>BS!E16/BS!E40</f>
        <v>0.20021210514354973</v>
      </c>
      <c r="F16" s="11">
        <f>BS!F16/BS!F40</f>
        <v>0.10363660583455442</v>
      </c>
      <c r="G16" s="11">
        <f>BS!G16/BS!G40</f>
        <v>0.17788361979705944</v>
      </c>
      <c r="H16" s="11">
        <f>BS!H16/BS!H40</f>
        <v>0.42290683229813664</v>
      </c>
      <c r="I16" s="11">
        <f>BS!I16/BS!I40</f>
        <v>0.27180760564675588</v>
      </c>
      <c r="J16" s="11">
        <f>BS!J16/BS!J40</f>
        <v>0.1143076923076923</v>
      </c>
      <c r="K16" s="11">
        <f>BS!K16/BS!K40</f>
        <v>0.19710940737670948</v>
      </c>
    </row>
    <row r="17" spans="1:12" x14ac:dyDescent="0.15">
      <c r="A17" s="7"/>
    </row>
    <row r="18" spans="1:12" x14ac:dyDescent="0.15">
      <c r="A18" s="15" t="s">
        <v>116</v>
      </c>
    </row>
    <row r="19" spans="1:12" x14ac:dyDescent="0.15">
      <c r="A19" s="20" t="s">
        <v>96</v>
      </c>
      <c r="B19" s="11"/>
      <c r="C19" s="11">
        <f>IS!C24/((BS!B19+BS!C19)/2)</f>
        <v>5.9797596457938011</v>
      </c>
      <c r="D19" s="11">
        <f>IS!D24/((BS!C19+BS!D19)/2)</f>
        <v>5.7802483737433468</v>
      </c>
      <c r="E19" s="11">
        <f>IS!E24/((BS!D19+BS!E19)/2)</f>
        <v>6.0267594011552514</v>
      </c>
      <c r="F19" s="11">
        <f>IS!F24/((BS!E19+BS!F19)/2)</f>
        <v>5.8718739671697699</v>
      </c>
      <c r="G19" s="11">
        <f>IS!G24/((BS!F19+BS!G19)/2)</f>
        <v>5.9347720266104167</v>
      </c>
      <c r="H19" s="11">
        <f>IS!H24/((BS!G19+BS!H19)/2)</f>
        <v>6.7372868414354796</v>
      </c>
      <c r="I19" s="11">
        <f>IS!I24/((BS!H19+BS!I19)/2)</f>
        <v>6.1057218489106084</v>
      </c>
      <c r="J19" s="11">
        <f>IS!J24/((BS!I19+BS!J19)/2)</f>
        <v>6.0018977409583592</v>
      </c>
      <c r="K19" s="11">
        <f>IS!K24/((BS!J19+BS!K19)/2)</f>
        <v>6.1245617490644078</v>
      </c>
    </row>
    <row r="20" spans="1:12" x14ac:dyDescent="0.15">
      <c r="A20" s="14" t="s">
        <v>98</v>
      </c>
      <c r="B20" s="11"/>
      <c r="C20" s="11">
        <f>IS!C21/((BS!B27+BS!C27)/2)</f>
        <v>2.8836345872007816</v>
      </c>
      <c r="D20" s="11">
        <f>IS!D21/((BS!C27+BS!D27)/2)</f>
        <v>2.786766917293233</v>
      </c>
      <c r="E20" s="11">
        <f>IS!E21/((BS!D27+BS!E27)/2)</f>
        <v>2.8939125533456802</v>
      </c>
      <c r="F20" s="11">
        <f>IS!F21/((BS!E27+BS!F27)/2)</f>
        <v>2.9448675594943721</v>
      </c>
      <c r="G20" s="11">
        <f>IS!G21/((BS!F27+BS!G27)/2)</f>
        <v>2.97707271885132</v>
      </c>
      <c r="H20" s="11">
        <f>IS!H21/((BS!G27+BS!H27)/2)</f>
        <v>3.4761671870885218</v>
      </c>
      <c r="I20" s="11">
        <f>IS!I21/((BS!H27+BS!I27)/2)</f>
        <v>3.7998910279694877</v>
      </c>
      <c r="J20" s="11">
        <f>IS!J21/((BS!I27+BS!J27)/2)</f>
        <v>3.6047107701070478</v>
      </c>
      <c r="K20" s="11">
        <f>IS!K21/((BS!J27+BS!K27)/2)</f>
        <v>3.2752290737989105</v>
      </c>
    </row>
    <row r="21" spans="1:12" x14ac:dyDescent="0.15">
      <c r="A21" s="14" t="s">
        <v>112</v>
      </c>
      <c r="B21" s="11"/>
      <c r="C21" s="11">
        <f>365/C19</f>
        <v>61.039242648614348</v>
      </c>
      <c r="D21" s="11">
        <f t="shared" ref="D21:K21" si="0">365/D19</f>
        <v>63.146075462432478</v>
      </c>
      <c r="E21" s="11">
        <f t="shared" si="0"/>
        <v>60.563227383863087</v>
      </c>
      <c r="F21" s="11">
        <f t="shared" si="0"/>
        <v>62.160734722977914</v>
      </c>
      <c r="G21" s="11">
        <f t="shared" si="0"/>
        <v>61.501941163604556</v>
      </c>
      <c r="H21" s="11">
        <f t="shared" si="0"/>
        <v>54.176111035556161</v>
      </c>
      <c r="I21" s="11">
        <f t="shared" si="0"/>
        <v>59.779991462454817</v>
      </c>
      <c r="J21" s="11">
        <f t="shared" si="0"/>
        <v>60.814098432426519</v>
      </c>
      <c r="K21" s="11">
        <f t="shared" si="0"/>
        <v>59.596100905629314</v>
      </c>
    </row>
    <row r="22" spans="1:12" x14ac:dyDescent="0.15">
      <c r="A22" s="7"/>
    </row>
    <row r="23" spans="1:12" x14ac:dyDescent="0.15">
      <c r="A23" s="15" t="s">
        <v>113</v>
      </c>
    </row>
    <row r="24" spans="1:12" x14ac:dyDescent="0.15">
      <c r="A24" s="14" t="s">
        <v>99</v>
      </c>
      <c r="B24" s="21">
        <f>(BS!B36+BS!B41)/BS!B32</f>
        <v>0.30905226548159598</v>
      </c>
      <c r="C24" s="21">
        <f>(BS!C36+BS!C41)/BS!C32</f>
        <v>0.31692414683820974</v>
      </c>
      <c r="D24" s="21">
        <f>(BS!D36+BS!D41)/BS!D32</f>
        <v>0.34060003740215328</v>
      </c>
      <c r="E24" s="21">
        <f>(BS!E36+BS!E41)/BS!E32</f>
        <v>0.29711018231236697</v>
      </c>
      <c r="F24" s="21">
        <f>(BS!F36+BS!F41)/BS!F32</f>
        <v>0.27306853959796562</v>
      </c>
      <c r="G24" s="21">
        <f>(BS!G36+BS!G41)/BS!G32</f>
        <v>0.26880011220458638</v>
      </c>
      <c r="H24" s="21">
        <f>(BS!H36+BS!H41)/BS!H32</f>
        <v>0.24742428972837965</v>
      </c>
      <c r="I24" s="21">
        <f>(BS!I36+BS!I41)/BS!I32</f>
        <v>0.25496645667242757</v>
      </c>
      <c r="J24" s="21">
        <f>(BS!J36+BS!J41)/BS!J32</f>
        <v>0.30259679385019217</v>
      </c>
      <c r="K24" s="21">
        <f>(BS!K36+BS!K41)/BS!K32</f>
        <v>0.28757496928968856</v>
      </c>
      <c r="L24" s="8"/>
    </row>
    <row r="25" spans="1:12" x14ac:dyDescent="0.15">
      <c r="A25" s="14" t="s">
        <v>100</v>
      </c>
      <c r="B25" s="21">
        <f>(BS!B36+BS!B41)/BS!B54</f>
        <v>0.91419589912124022</v>
      </c>
      <c r="C25" s="21">
        <f>(BS!C36+BS!C41)/BS!C54</f>
        <v>0.9847958632399475</v>
      </c>
      <c r="D25" s="21">
        <f>(BS!D36+BS!D41)/BS!D54</f>
        <v>1.1639733406372683</v>
      </c>
      <c r="E25" s="21">
        <f>(BS!E36+BS!E41)/BS!E54</f>
        <v>0.98958066444615256</v>
      </c>
      <c r="F25" s="21">
        <f>(BS!F36+BS!F41)/BS!F54</f>
        <v>0.99805258033106137</v>
      </c>
      <c r="G25" s="21">
        <f>(BS!G36+BS!G41)/BS!G54</f>
        <v>0.9717738527845855</v>
      </c>
      <c r="H25" s="21">
        <f>(BS!H36+BS!H41)/BS!H54</f>
        <v>0.87811634349030476</v>
      </c>
      <c r="I25" s="21">
        <f>(BS!I36+BS!I41)/BS!I54</f>
        <v>1.0696187729009121</v>
      </c>
      <c r="J25" s="21">
        <f>(BS!J36+BS!J41)/BS!J54</f>
        <v>1.4368767806267806</v>
      </c>
      <c r="K25" s="21">
        <f>(BS!K36+BS!K41)/BS!K54</f>
        <v>1.1851548540798094</v>
      </c>
    </row>
    <row r="26" spans="1:12" x14ac:dyDescent="0.15">
      <c r="A26" s="14" t="s">
        <v>101</v>
      </c>
      <c r="B26" s="11">
        <f>IS!B35/(-IS!B31)</f>
        <v>4.14172335600907</v>
      </c>
      <c r="C26" s="11">
        <f>IS!C35/(-IS!C31)</f>
        <v>8.1103789126853378</v>
      </c>
      <c r="D26" s="11">
        <f>IS!D35/(-IS!D31)</f>
        <v>3.9492031872509958</v>
      </c>
      <c r="E26" s="11">
        <f>IS!E35/(-IS!E31)</f>
        <v>5.4744744744744747</v>
      </c>
      <c r="F26" s="11">
        <f>IS!F35/(-IS!F31)</f>
        <v>7.9739696312364421</v>
      </c>
      <c r="G26" s="11">
        <f>IS!G35/(-IS!G31)</f>
        <v>8.784067085953879</v>
      </c>
      <c r="H26" s="11">
        <f>IS!H35/(-IS!H31)</f>
        <v>5.6765609007164795</v>
      </c>
      <c r="I26" s="11">
        <f>IS!I35/(-IS!I31)</f>
        <v>21.156769596199524</v>
      </c>
      <c r="J26" s="11">
        <f>IS!J35/(-IS!J31)</f>
        <v>7.1506276150627617</v>
      </c>
      <c r="K26" s="11">
        <f>IS!K35/(-IS!K31)</f>
        <v>10.55179282868526</v>
      </c>
    </row>
    <row r="27" spans="1:12" x14ac:dyDescent="0.15">
      <c r="A27" s="14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2" x14ac:dyDescent="0.15">
      <c r="A28" s="15" t="s">
        <v>114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2" x14ac:dyDescent="0.15">
      <c r="A29" s="14" t="s">
        <v>102</v>
      </c>
      <c r="B29" s="13">
        <f>(IS!B23-IS!B24)/IS!B23</f>
        <v>0.29386653446803823</v>
      </c>
      <c r="C29" s="13">
        <f>(IS!C23-IS!C24)/IS!C23</f>
        <v>0.29529037067154573</v>
      </c>
      <c r="D29" s="13">
        <f>(IS!D23-IS!D24)/IS!D23</f>
        <v>0.29675516224188792</v>
      </c>
      <c r="E29" s="13">
        <f>(IS!E23-IS!E24)/IS!E23</f>
        <v>0.28873523560427944</v>
      </c>
      <c r="F29" s="13">
        <f>(IS!F23-IS!F24)/IS!F23</f>
        <v>0.2927039651786188</v>
      </c>
      <c r="G29" s="13">
        <f>(IS!G23-IS!G24)/IS!G23</f>
        <v>0.29762392462105697</v>
      </c>
      <c r="H29" s="13">
        <f>(IS!H23-IS!H24)/IS!H23</f>
        <v>0.29268605508705553</v>
      </c>
      <c r="I29" s="13">
        <f>(IS!I23-IS!I24)/IS!I23</f>
        <v>0.29283524362058394</v>
      </c>
      <c r="J29" s="13">
        <f>(IS!J23-IS!J24)/IS!J23</f>
        <v>0.24643511730205278</v>
      </c>
      <c r="K29" s="13">
        <f>(IS!K23-IS!K24)/IS!K23</f>
        <v>0.27628197966707629</v>
      </c>
    </row>
    <row r="30" spans="1:12" x14ac:dyDescent="0.15">
      <c r="A30" s="14" t="s">
        <v>103</v>
      </c>
      <c r="B30" s="13">
        <f>IS!B30/IS!B23</f>
        <v>6.2450081247073727E-2</v>
      </c>
      <c r="C30" s="13">
        <f>IS!C30/IS!C23</f>
        <v>6.6544690655282235E-2</v>
      </c>
      <c r="D30" s="13">
        <f>IS!D30/IS!D23</f>
        <v>7.1501546873875818E-2</v>
      </c>
      <c r="E30" s="13">
        <f>IS!E30/IS!E23</f>
        <v>5.9989704920769625E-2</v>
      </c>
      <c r="F30" s="13">
        <f>IS!F30/IS!F23</f>
        <v>5.4541111523966242E-2</v>
      </c>
      <c r="G30" s="13">
        <f>IS!G30/IS!G23</f>
        <v>5.9632322818516999E-2</v>
      </c>
      <c r="H30" s="13">
        <f>IS!H30/IS!H23</f>
        <v>6.989023204112825E-2</v>
      </c>
      <c r="I30" s="13">
        <f>IS!I30/IS!I23</f>
        <v>8.4392245648790151E-2</v>
      </c>
      <c r="J30" s="13">
        <f>IS!J30/IS!J23</f>
        <v>3.5263929618768328E-2</v>
      </c>
      <c r="K30" s="13">
        <f>IS!K30/IS!K23</f>
        <v>5.3131866085725989E-2</v>
      </c>
    </row>
    <row r="31" spans="1:12" x14ac:dyDescent="0.15">
      <c r="A31" s="14" t="s">
        <v>104</v>
      </c>
      <c r="B31" s="13">
        <f>IS!B40/IS!B23</f>
        <v>-2.2528849596518769E-2</v>
      </c>
      <c r="C31" s="13">
        <f>IS!C40/IS!C23</f>
        <v>4.5578369587314496E-2</v>
      </c>
      <c r="D31" s="13">
        <f>IS!D40/IS!D23</f>
        <v>3.938412835455788E-2</v>
      </c>
      <c r="E31" s="13">
        <f>IS!E40/IS!E23</f>
        <v>4.081859792150698E-2</v>
      </c>
      <c r="F31" s="13">
        <f>IS!F40/IS!F23</f>
        <v>3.8974998672965659E-2</v>
      </c>
      <c r="G31" s="13">
        <f>IS!G40/IS!G23</f>
        <v>4.2003789430561246E-2</v>
      </c>
      <c r="H31" s="13">
        <f>IS!H40/IS!H23</f>
        <v>4.6686119216340138E-2</v>
      </c>
      <c r="I31" s="13">
        <f>IS!I40/IS!I23</f>
        <v>6.5525211074949297E-2</v>
      </c>
      <c r="J31" s="13">
        <f>IS!J40/IS!J23</f>
        <v>2.5476539589442817E-2</v>
      </c>
      <c r="K31" s="13">
        <f>IS!K40/IS!K23</f>
        <v>3.8524559639518861E-2</v>
      </c>
      <c r="L31" s="17"/>
    </row>
    <row r="32" spans="1:12" x14ac:dyDescent="0.15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7"/>
    </row>
    <row r="33" spans="1:12" x14ac:dyDescent="0.15">
      <c r="A33" s="15" t="s">
        <v>115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7"/>
    </row>
    <row r="34" spans="1:12" x14ac:dyDescent="0.15">
      <c r="A34" s="14" t="s">
        <v>105</v>
      </c>
      <c r="B34" s="13">
        <f>IS!B40/BS!B32</f>
        <v>-3.9513090522654816E-2</v>
      </c>
      <c r="C34" s="13">
        <f>IS!C40/BS!C32</f>
        <v>8.3527892305399629E-2</v>
      </c>
      <c r="D34" s="13">
        <f>IS!D40/BS!D32</f>
        <v>7.3121209692500869E-2</v>
      </c>
      <c r="E34" s="13">
        <f>IS!E40/BS!E32</f>
        <v>7.5232698274314724E-2</v>
      </c>
      <c r="F34" s="13">
        <f>IS!F40/BS!F32</f>
        <v>7.1131024461128609E-2</v>
      </c>
      <c r="G34" s="13">
        <f>IS!G40/BS!G32</f>
        <v>7.669650996984502E-2</v>
      </c>
      <c r="H34" s="13">
        <f>IS!H40/BS!H32</f>
        <v>8.5232594442709961E-2</v>
      </c>
      <c r="I34" s="13">
        <f>IS!I40/BS!I32</f>
        <v>0.12908141458066194</v>
      </c>
      <c r="J34" s="13">
        <f>IS!J40/BS!J32</f>
        <v>5.212337114465173E-2</v>
      </c>
      <c r="K34" s="13">
        <f>IS!K40/BS!K32</f>
        <v>7.4752511019582343E-2</v>
      </c>
    </row>
    <row r="35" spans="1:12" x14ac:dyDescent="0.15">
      <c r="A35" s="14" t="s">
        <v>106</v>
      </c>
      <c r="B35" s="13">
        <f>IS!B40/BS!B54</f>
        <v>-0.11688218904050868</v>
      </c>
      <c r="C35" s="13">
        <f>IS!C40/BS!C54</f>
        <v>0.25955082194952533</v>
      </c>
      <c r="D35" s="13">
        <f>IS!D40/BS!D54</f>
        <v>0.24988587601570347</v>
      </c>
      <c r="E35" s="13">
        <f>IS!E40/BS!E54</f>
        <v>0.25057647963105306</v>
      </c>
      <c r="F35" s="13">
        <f>IS!F40/BS!F54</f>
        <v>0.2599805258033106</v>
      </c>
      <c r="G35" s="13">
        <f>IS!G40/BS!G54</f>
        <v>0.27727541620890728</v>
      </c>
      <c r="H35" s="13">
        <f>IS!H40/BS!H54</f>
        <v>0.30249307479224374</v>
      </c>
      <c r="I35" s="13">
        <f>IS!I40/BS!I54</f>
        <v>0.54151399391907695</v>
      </c>
      <c r="J35" s="13">
        <f>IS!J40/BS!J54</f>
        <v>0.24750712250712251</v>
      </c>
      <c r="K35" s="13">
        <f>IS!K40/BS!K54</f>
        <v>0.30807027992852887</v>
      </c>
    </row>
    <row r="36" spans="1:12" x14ac:dyDescent="0.1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2" x14ac:dyDescent="0.15">
      <c r="A37" s="15" t="s">
        <v>117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2" x14ac:dyDescent="0.15">
      <c r="A38" s="14" t="s">
        <v>109</v>
      </c>
      <c r="B38" s="18">
        <v>73.19</v>
      </c>
      <c r="C38" s="18">
        <v>71.25</v>
      </c>
      <c r="D38" s="18">
        <v>63.98</v>
      </c>
      <c r="E38" s="18">
        <v>74.63</v>
      </c>
      <c r="F38" s="18">
        <v>73.099999999999994</v>
      </c>
      <c r="G38" s="18">
        <v>111.14</v>
      </c>
      <c r="H38" s="18">
        <v>182.18</v>
      </c>
      <c r="I38" s="18">
        <v>221.99</v>
      </c>
      <c r="J38" s="18">
        <v>172.11</v>
      </c>
      <c r="K38" s="18">
        <v>139.08000000000001</v>
      </c>
    </row>
    <row r="39" spans="1:12" x14ac:dyDescent="0.15">
      <c r="A39" s="14" t="s">
        <v>107</v>
      </c>
      <c r="B39" s="11">
        <f>B38/B40</f>
        <v>-28.641358594132029</v>
      </c>
      <c r="C39" s="11">
        <f t="shared" ref="C39:K39" si="1">C38/C40</f>
        <v>12.75904661016949</v>
      </c>
      <c r="D39" s="11">
        <f t="shared" si="1"/>
        <v>13.000679897698209</v>
      </c>
      <c r="E39" s="11">
        <f t="shared" si="1"/>
        <v>13.778366618950239</v>
      </c>
      <c r="F39" s="11">
        <f t="shared" si="1"/>
        <v>12.886755941436837</v>
      </c>
      <c r="G39" s="11">
        <f t="shared" si="1"/>
        <v>17.079145644620542</v>
      </c>
      <c r="H39" s="11">
        <f t="shared" si="1"/>
        <v>20.890515535714286</v>
      </c>
      <c r="I39" s="11">
        <f t="shared" si="1"/>
        <v>15.061634791246762</v>
      </c>
      <c r="J39" s="11">
        <f t="shared" si="1"/>
        <v>28.500115888489209</v>
      </c>
      <c r="K39" s="11">
        <f t="shared" si="1"/>
        <v>15.51709980666989</v>
      </c>
    </row>
    <row r="40" spans="1:12" x14ac:dyDescent="0.15">
      <c r="A40" s="14" t="s">
        <v>108</v>
      </c>
      <c r="B40" s="11">
        <f>IS!B40/IS!B49</f>
        <v>-2.5553955396164407</v>
      </c>
      <c r="C40" s="11">
        <f>IS!C40/IS!C49</f>
        <v>5.5842730399002374</v>
      </c>
      <c r="D40" s="11">
        <f>IS!D40/IS!D49</f>
        <v>4.9212810794093746</v>
      </c>
      <c r="E40" s="11">
        <f>IS!E40/IS!E49</f>
        <v>5.4164620570740762</v>
      </c>
      <c r="F40" s="11">
        <f>IS!F40/IS!F49</f>
        <v>5.6724904492797856</v>
      </c>
      <c r="G40" s="11">
        <f>IS!G40/IS!G49</f>
        <v>6.5073512640842202</v>
      </c>
      <c r="H40" s="11">
        <f>IS!H40/IS!H49</f>
        <v>8.7207038853850349</v>
      </c>
      <c r="I40" s="11">
        <f>IS!I40/IS!I49</f>
        <v>14.738771924612857</v>
      </c>
      <c r="J40" s="11">
        <f>IS!J40/IS!J49</f>
        <v>6.0389228125739933</v>
      </c>
      <c r="K40" s="11">
        <f>IS!K40/IS!K49</f>
        <v>8.9630151080305414</v>
      </c>
    </row>
    <row r="41" spans="1:12" x14ac:dyDescent="0.15">
      <c r="A41" s="14" t="s">
        <v>118</v>
      </c>
      <c r="B41" s="11">
        <f>B38*IS!B49/IS!B21</f>
        <v>0.64525686000716076</v>
      </c>
      <c r="C41" s="11">
        <f>C38*IS!C49/IS!C21</f>
        <v>0.58153654198007732</v>
      </c>
      <c r="D41" s="11">
        <f>D38*IS!D49/IS!D21</f>
        <v>0.51202044578746664</v>
      </c>
      <c r="E41" s="11">
        <f>E38*IS!E49/IS!E21</f>
        <v>0.56241360703404331</v>
      </c>
      <c r="F41" s="11">
        <f>F38*IS!F49/IS!F21</f>
        <v>0.50848954361640653</v>
      </c>
      <c r="G41" s="11">
        <f>G38*IS!G49/IS!G21</f>
        <v>0.72652245377933355</v>
      </c>
      <c r="H41" s="11">
        <f>H38*IS!H49/IS!H21</f>
        <v>0.9875516435064936</v>
      </c>
      <c r="I41" s="11">
        <f>I38*IS!I49/IS!I21</f>
        <v>1.0000680163653919</v>
      </c>
      <c r="J41" s="11">
        <f>J38*IS!J49/IS!J21</f>
        <v>0.73642341311298654</v>
      </c>
      <c r="K41" s="11">
        <f>K38*IS!K49/IS!K21</f>
        <v>0.6068803247544966</v>
      </c>
    </row>
    <row r="42" spans="1:12" x14ac:dyDescent="0.15">
      <c r="A42" s="14" t="s">
        <v>119</v>
      </c>
      <c r="B42" s="11">
        <f>B38*IS!B49/IS!B35</f>
        <v>12.827063416370107</v>
      </c>
      <c r="C42" s="11">
        <f>C38*IS!C49/IS!C35</f>
        <v>8.7159605423522244</v>
      </c>
      <c r="D42" s="11">
        <f>D38*IS!D49/IS!D35</f>
        <v>8.9742398184110961</v>
      </c>
      <c r="E42" s="11">
        <f>E38*IS!E49/IS!E35</f>
        <v>11.087692720789907</v>
      </c>
      <c r="F42" s="11">
        <f>F38*IS!F49/IS!F35</f>
        <v>10.296083297062021</v>
      </c>
      <c r="G42" s="11">
        <f>G38*IS!G49/IS!G35</f>
        <v>13.373908558472554</v>
      </c>
      <c r="H42" s="11">
        <f>H38*IS!H49/IS!H35</f>
        <v>16.453258539487919</v>
      </c>
      <c r="I42" s="11">
        <f>I38*IS!I49/IS!I35</f>
        <v>11.745606293926127</v>
      </c>
      <c r="J42" s="11">
        <f>J38*IS!J49/IS!J35</f>
        <v>23.180316609128145</v>
      </c>
      <c r="K42" s="11">
        <f>K38*IS!K49/IS!K35</f>
        <v>12.121910326599963</v>
      </c>
    </row>
    <row r="43" spans="1:12" x14ac:dyDescent="0.15">
      <c r="A43" s="14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2" x14ac:dyDescent="0.15">
      <c r="A44" s="14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2" x14ac:dyDescent="0.15">
      <c r="A45" s="14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2" x14ac:dyDescent="0.15">
      <c r="A46" s="7"/>
    </row>
    <row r="47" spans="1:12" x14ac:dyDescent="0.15">
      <c r="A47" s="7"/>
    </row>
    <row r="48" spans="1:12" x14ac:dyDescent="0.15">
      <c r="A48" s="7"/>
    </row>
    <row r="49" spans="1:1" x14ac:dyDescent="0.15">
      <c r="A49" s="7"/>
    </row>
    <row r="50" spans="1:1" x14ac:dyDescent="0.15">
      <c r="A50" s="7"/>
    </row>
    <row r="51" spans="1:1" x14ac:dyDescent="0.15">
      <c r="A51" s="7"/>
    </row>
    <row r="52" spans="1:1" x14ac:dyDescent="0.15">
      <c r="A52" s="7"/>
    </row>
    <row r="53" spans="1:1" x14ac:dyDescent="0.15">
      <c r="A53" s="7"/>
    </row>
    <row r="54" spans="1:1" x14ac:dyDescent="0.15">
      <c r="A54" s="7"/>
    </row>
    <row r="55" spans="1:1" x14ac:dyDescent="0.15">
      <c r="A55" s="7"/>
    </row>
    <row r="56" spans="1:1" x14ac:dyDescent="0.15">
      <c r="A56" s="7"/>
    </row>
    <row r="57" spans="1:1" x14ac:dyDescent="0.15">
      <c r="A57" s="7"/>
    </row>
    <row r="58" spans="1:1" x14ac:dyDescent="0.15">
      <c r="A58" s="7"/>
    </row>
    <row r="59" spans="1:1" x14ac:dyDescent="0.15">
      <c r="A59" s="7"/>
    </row>
    <row r="60" spans="1:1" x14ac:dyDescent="0.15">
      <c r="A60" s="7"/>
    </row>
    <row r="61" spans="1:1" x14ac:dyDescent="0.15">
      <c r="A61" s="7"/>
    </row>
    <row r="62" spans="1:1" x14ac:dyDescent="0.15">
      <c r="A62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58CC-2B3B-1341-9B3F-0A48FEA57349}">
  <dimension ref="A5:B34"/>
  <sheetViews>
    <sheetView workbookViewId="0">
      <selection activeCell="B6" sqref="B6:B34"/>
    </sheetView>
  </sheetViews>
  <sheetFormatPr baseColWidth="10" defaultRowHeight="13" x14ac:dyDescent="0.15"/>
  <cols>
    <col min="1" max="1" width="33.1640625" customWidth="1"/>
  </cols>
  <sheetData>
    <row r="5" spans="1:2" x14ac:dyDescent="0.15">
      <c r="A5" s="5" t="s">
        <v>111</v>
      </c>
    </row>
    <row r="6" spans="1:2" x14ac:dyDescent="0.15">
      <c r="A6" s="20" t="s">
        <v>94</v>
      </c>
      <c r="B6" s="11"/>
    </row>
    <row r="7" spans="1:2" x14ac:dyDescent="0.15">
      <c r="A7" s="20" t="s">
        <v>95</v>
      </c>
      <c r="B7" s="11"/>
    </row>
    <row r="8" spans="1:2" x14ac:dyDescent="0.15">
      <c r="A8" s="14" t="s">
        <v>97</v>
      </c>
      <c r="B8" s="11"/>
    </row>
    <row r="9" spans="1:2" x14ac:dyDescent="0.15">
      <c r="A9" s="7"/>
    </row>
    <row r="10" spans="1:2" x14ac:dyDescent="0.15">
      <c r="A10" s="15" t="s">
        <v>116</v>
      </c>
    </row>
    <row r="11" spans="1:2" x14ac:dyDescent="0.15">
      <c r="A11" s="20" t="s">
        <v>96</v>
      </c>
      <c r="B11" s="11"/>
    </row>
    <row r="12" spans="1:2" x14ac:dyDescent="0.15">
      <c r="A12" s="14" t="s">
        <v>98</v>
      </c>
      <c r="B12" s="11"/>
    </row>
    <row r="13" spans="1:2" x14ac:dyDescent="0.15">
      <c r="A13" s="14" t="s">
        <v>112</v>
      </c>
      <c r="B13" s="11"/>
    </row>
    <row r="14" spans="1:2" x14ac:dyDescent="0.15">
      <c r="A14" s="7"/>
    </row>
    <row r="15" spans="1:2" x14ac:dyDescent="0.15">
      <c r="A15" s="15" t="s">
        <v>113</v>
      </c>
    </row>
    <row r="16" spans="1:2" x14ac:dyDescent="0.15">
      <c r="A16" s="14" t="s">
        <v>99</v>
      </c>
      <c r="B16" s="21"/>
    </row>
    <row r="17" spans="1:2" x14ac:dyDescent="0.15">
      <c r="A17" s="14" t="s">
        <v>100</v>
      </c>
      <c r="B17" s="21"/>
    </row>
    <row r="18" spans="1:2" x14ac:dyDescent="0.15">
      <c r="A18" s="14" t="s">
        <v>101</v>
      </c>
      <c r="B18" s="11"/>
    </row>
    <row r="19" spans="1:2" x14ac:dyDescent="0.15">
      <c r="A19" s="14"/>
      <c r="B19" s="11"/>
    </row>
    <row r="20" spans="1:2" x14ac:dyDescent="0.15">
      <c r="A20" s="15" t="s">
        <v>114</v>
      </c>
      <c r="B20" s="11"/>
    </row>
    <row r="21" spans="1:2" x14ac:dyDescent="0.15">
      <c r="A21" s="14" t="s">
        <v>102</v>
      </c>
      <c r="B21" s="13"/>
    </row>
    <row r="22" spans="1:2" x14ac:dyDescent="0.15">
      <c r="A22" s="14" t="s">
        <v>103</v>
      </c>
      <c r="B22" s="13"/>
    </row>
    <row r="23" spans="1:2" x14ac:dyDescent="0.15">
      <c r="A23" s="14" t="s">
        <v>104</v>
      </c>
      <c r="B23" s="13"/>
    </row>
    <row r="24" spans="1:2" x14ac:dyDescent="0.15">
      <c r="A24" s="14"/>
      <c r="B24" s="13"/>
    </row>
    <row r="25" spans="1:2" x14ac:dyDescent="0.15">
      <c r="A25" s="15" t="s">
        <v>115</v>
      </c>
      <c r="B25" s="13"/>
    </row>
    <row r="26" spans="1:2" x14ac:dyDescent="0.15">
      <c r="A26" s="14" t="s">
        <v>105</v>
      </c>
      <c r="B26" s="13"/>
    </row>
    <row r="27" spans="1:2" x14ac:dyDescent="0.15">
      <c r="A27" s="14" t="s">
        <v>106</v>
      </c>
      <c r="B27" s="13"/>
    </row>
    <row r="28" spans="1:2" x14ac:dyDescent="0.15">
      <c r="A28" s="14"/>
      <c r="B28" s="13"/>
    </row>
    <row r="29" spans="1:2" x14ac:dyDescent="0.15">
      <c r="A29" s="15" t="s">
        <v>117</v>
      </c>
      <c r="B29" s="13"/>
    </row>
    <row r="30" spans="1:2" x14ac:dyDescent="0.15">
      <c r="A30" s="14" t="s">
        <v>109</v>
      </c>
      <c r="B30" s="18"/>
    </row>
    <row r="31" spans="1:2" x14ac:dyDescent="0.15">
      <c r="A31" s="14" t="s">
        <v>107</v>
      </c>
      <c r="B31" s="11"/>
    </row>
    <row r="32" spans="1:2" x14ac:dyDescent="0.15">
      <c r="A32" s="14" t="s">
        <v>108</v>
      </c>
      <c r="B32" s="11"/>
    </row>
    <row r="33" spans="1:2" x14ac:dyDescent="0.15">
      <c r="A33" s="14" t="s">
        <v>118</v>
      </c>
      <c r="B33" s="11"/>
    </row>
    <row r="34" spans="1:2" x14ac:dyDescent="0.15">
      <c r="A34" s="14" t="s">
        <v>119</v>
      </c>
      <c r="B34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3FAF-CA30-D34F-BB0F-04B876CB077E}">
  <dimension ref="A10:L42"/>
  <sheetViews>
    <sheetView workbookViewId="0">
      <selection activeCell="C11" sqref="C11"/>
    </sheetView>
  </sheetViews>
  <sheetFormatPr baseColWidth="10" defaultRowHeight="13" x14ac:dyDescent="0.15"/>
  <cols>
    <col min="1" max="1" width="34.5" customWidth="1"/>
    <col min="2" max="2" width="18" customWidth="1"/>
  </cols>
  <sheetData>
    <row r="10" spans="1:12" ht="14" x14ac:dyDescent="0.15">
      <c r="A10" s="4" t="s">
        <v>120</v>
      </c>
      <c r="B10" s="4"/>
    </row>
    <row r="11" spans="1:12" x14ac:dyDescent="0.15">
      <c r="A11" s="5" t="s">
        <v>121</v>
      </c>
      <c r="B11" s="5"/>
      <c r="C11">
        <v>1.2203719122953094</v>
      </c>
      <c r="D11">
        <v>1.045888754534462</v>
      </c>
      <c r="E11">
        <v>0.97707865168539321</v>
      </c>
      <c r="F11">
        <v>0.98982566447556442</v>
      </c>
      <c r="G11">
        <v>1.0182174043962662</v>
      </c>
      <c r="H11">
        <v>1.0106726341610364</v>
      </c>
      <c r="I11">
        <v>1.1318628240218966</v>
      </c>
      <c r="J11">
        <v>1.0021738392038313</v>
      </c>
      <c r="K11">
        <v>1.0218138633664604</v>
      </c>
      <c r="L11">
        <v>1.0683679242473871</v>
      </c>
    </row>
    <row r="12" spans="1:12" x14ac:dyDescent="0.15">
      <c r="A12" s="5" t="s">
        <v>122</v>
      </c>
      <c r="B12" s="5"/>
      <c r="C12">
        <v>0.58721898417985008</v>
      </c>
      <c r="D12">
        <v>0.4620918984280532</v>
      </c>
      <c r="E12">
        <v>0.38401284109149275</v>
      </c>
      <c r="F12">
        <v>0.41217490711631893</v>
      </c>
      <c r="G12">
        <v>0.44805781391147242</v>
      </c>
      <c r="H12">
        <v>0.47247923570168265</v>
      </c>
      <c r="I12">
        <v>0.59793109000161004</v>
      </c>
      <c r="J12">
        <v>0.47478006861179989</v>
      </c>
      <c r="K12">
        <v>0.41533845865366587</v>
      </c>
      <c r="L12">
        <v>0.52166274603221863</v>
      </c>
    </row>
    <row r="13" spans="1:12" x14ac:dyDescent="0.15">
      <c r="A13" s="5" t="s">
        <v>123</v>
      </c>
      <c r="B13" s="5"/>
      <c r="C13">
        <v>0.39814043852345266</v>
      </c>
      <c r="D13">
        <v>0.29026602176541716</v>
      </c>
      <c r="E13">
        <v>0.21695024077046549</v>
      </c>
      <c r="F13">
        <v>0.2598456701914833</v>
      </c>
      <c r="G13">
        <v>0.30387433503964667</v>
      </c>
      <c r="H13">
        <v>0.36080389034729093</v>
      </c>
      <c r="I13">
        <v>0.49416358074384159</v>
      </c>
      <c r="J13">
        <v>0.3823919024489657</v>
      </c>
      <c r="K13">
        <v>0.31886367897993623</v>
      </c>
      <c r="L13">
        <v>0.40794449572700475</v>
      </c>
    </row>
    <row r="14" spans="1:12" x14ac:dyDescent="0.15">
      <c r="A14" s="20"/>
      <c r="B14" s="20"/>
    </row>
    <row r="15" spans="1:12" x14ac:dyDescent="0.15">
      <c r="A15" s="20" t="s">
        <v>124</v>
      </c>
      <c r="B15" s="20"/>
    </row>
    <row r="16" spans="1:12" x14ac:dyDescent="0.15">
      <c r="A16" s="14" t="s">
        <v>125</v>
      </c>
      <c r="B16" s="14"/>
      <c r="C16">
        <v>3.7199928977272725</v>
      </c>
      <c r="D16">
        <v>3.844783517930447</v>
      </c>
      <c r="E16">
        <v>3.8492574903764352</v>
      </c>
      <c r="F16">
        <v>4.0509978686301107</v>
      </c>
      <c r="G16">
        <v>4.3028832570492179</v>
      </c>
      <c r="H16">
        <v>3.6690503788399704</v>
      </c>
      <c r="I16">
        <v>3.3925797998332947</v>
      </c>
      <c r="J16">
        <v>3.3588442752221468</v>
      </c>
      <c r="K16">
        <v>3.6041003903874795</v>
      </c>
      <c r="L16">
        <v>3.4422592760741262</v>
      </c>
    </row>
    <row r="17" spans="1:12" x14ac:dyDescent="0.15">
      <c r="A17" s="7" t="s">
        <v>126</v>
      </c>
      <c r="B17" s="7"/>
      <c r="C17">
        <v>11.643566698202459</v>
      </c>
      <c r="D17">
        <v>11.345419847328245</v>
      </c>
      <c r="E17">
        <v>11.472962426134464</v>
      </c>
      <c r="F17">
        <v>11.37705918242831</v>
      </c>
      <c r="G17">
        <v>11.155072463768116</v>
      </c>
      <c r="H17">
        <v>11.661781483106626</v>
      </c>
      <c r="I17">
        <v>11.839487011926156</v>
      </c>
      <c r="J17">
        <v>12.007316215265565</v>
      </c>
      <c r="K17">
        <v>11.13430502038309</v>
      </c>
      <c r="L17">
        <v>12.767161131463576</v>
      </c>
    </row>
    <row r="18" spans="1:12" x14ac:dyDescent="0.15">
      <c r="A18" s="15" t="s">
        <v>127</v>
      </c>
      <c r="B18" s="15"/>
    </row>
    <row r="19" spans="1:12" x14ac:dyDescent="0.15">
      <c r="A19" s="20"/>
      <c r="B19" s="20"/>
    </row>
    <row r="20" spans="1:12" x14ac:dyDescent="0.15">
      <c r="A20" s="14"/>
      <c r="B20" s="14"/>
      <c r="C20" s="22"/>
    </row>
    <row r="21" spans="1:12" x14ac:dyDescent="0.15">
      <c r="A21" s="14" t="s">
        <v>128</v>
      </c>
      <c r="B21" s="14"/>
    </row>
    <row r="22" spans="1:12" x14ac:dyDescent="0.15">
      <c r="A22" s="7"/>
      <c r="B22" s="7"/>
    </row>
    <row r="23" spans="1:12" x14ac:dyDescent="0.15">
      <c r="A23" s="15" t="s">
        <v>99</v>
      </c>
      <c r="B23" s="15"/>
      <c r="C23" t="e">
        <v>#VALUE!</v>
      </c>
      <c r="D23">
        <v>0.18382177033492822</v>
      </c>
      <c r="E23">
        <v>0.15562524500196001</v>
      </c>
      <c r="F23">
        <v>0.18320631688997716</v>
      </c>
      <c r="G23">
        <v>0.16108253734998776</v>
      </c>
      <c r="H23">
        <v>0.15092511013215859</v>
      </c>
      <c r="I23">
        <v>0.13782489740082079</v>
      </c>
      <c r="J23">
        <v>0.12706688263481136</v>
      </c>
      <c r="K23">
        <v>0.10270236573886482</v>
      </c>
      <c r="L23" t="e">
        <v>#VALUE!</v>
      </c>
    </row>
    <row r="24" spans="1:12" x14ac:dyDescent="0.15">
      <c r="A24" s="14" t="s">
        <v>129</v>
      </c>
      <c r="B24" s="14"/>
      <c r="C24" t="e">
        <v>#VALUE!</v>
      </c>
      <c r="D24">
        <v>0.56690952688370377</v>
      </c>
      <c r="E24">
        <v>0.41850470321115796</v>
      </c>
      <c r="F24">
        <v>0.60104702590486503</v>
      </c>
      <c r="G24">
        <v>0.5019461192093414</v>
      </c>
      <c r="H24">
        <v>0.43968172484599588</v>
      </c>
      <c r="I24">
        <v>0.40935578722266774</v>
      </c>
      <c r="J24">
        <v>0.41658369288638125</v>
      </c>
      <c r="K24">
        <v>0.31917469850341457</v>
      </c>
      <c r="L24" t="e">
        <v>#VALUE!</v>
      </c>
    </row>
    <row r="25" spans="1:12" x14ac:dyDescent="0.15">
      <c r="A25" s="14"/>
      <c r="B25" s="14"/>
    </row>
    <row r="26" spans="1:12" x14ac:dyDescent="0.15">
      <c r="A26" s="14"/>
      <c r="B26" s="14"/>
    </row>
    <row r="27" spans="1:12" x14ac:dyDescent="0.15">
      <c r="A27" s="14" t="s">
        <v>114</v>
      </c>
      <c r="B27" s="14"/>
      <c r="C27" s="22"/>
    </row>
    <row r="28" spans="1:12" x14ac:dyDescent="0.15">
      <c r="A28" s="15" t="s">
        <v>130</v>
      </c>
      <c r="B28" s="15"/>
      <c r="C28">
        <v>0.12590553977272723</v>
      </c>
      <c r="D28">
        <v>0.13024208469952414</v>
      </c>
      <c r="E28">
        <v>0.13323899291604546</v>
      </c>
      <c r="F28">
        <v>0.13286572369695793</v>
      </c>
      <c r="G28">
        <v>0.13013505113861101</v>
      </c>
      <c r="H28">
        <v>0.12977479158890137</v>
      </c>
      <c r="I28">
        <v>0.13085793440912441</v>
      </c>
      <c r="J28">
        <v>0.12884769482822855</v>
      </c>
    </row>
    <row r="29" spans="1:12" x14ac:dyDescent="0.15">
      <c r="A29" s="14" t="s">
        <v>103</v>
      </c>
      <c r="B29" s="14"/>
      <c r="C29">
        <v>2.8586647727272728E-2</v>
      </c>
      <c r="D29">
        <v>3.1187875971393903E-2</v>
      </c>
      <c r="E29">
        <v>3.0930179667955426E-2</v>
      </c>
      <c r="F29">
        <v>3.1862042239875994E-2</v>
      </c>
      <c r="G29">
        <v>3.164378143188111E-2</v>
      </c>
      <c r="H29">
        <v>3.1021001552032378E-2</v>
      </c>
      <c r="I29">
        <v>3.259155318089961E-2</v>
      </c>
      <c r="J29">
        <v>3.4236891935343926E-2</v>
      </c>
    </row>
    <row r="30" spans="1:12" x14ac:dyDescent="0.15">
      <c r="A30" s="14" t="s">
        <v>104</v>
      </c>
      <c r="B30" s="14"/>
      <c r="C30">
        <v>1.8270596590909093E-2</v>
      </c>
      <c r="D30">
        <v>2.0456286198676409E-2</v>
      </c>
      <c r="E30">
        <v>1.9794641127367986E-2</v>
      </c>
      <c r="F30">
        <v>2.0763417942259253E-2</v>
      </c>
      <c r="G30">
        <v>2.2136520314177545E-2</v>
      </c>
      <c r="H30">
        <v>2.3961546269555937E-2</v>
      </c>
      <c r="I30">
        <v>2.3998416896036844E-2</v>
      </c>
      <c r="J30">
        <v>2.5555175599324246E-2</v>
      </c>
    </row>
    <row r="31" spans="1:12" x14ac:dyDescent="0.15">
      <c r="A31" s="14" t="s">
        <v>105</v>
      </c>
      <c r="B31" s="14"/>
      <c r="C31">
        <v>6.2318313953488372E-2</v>
      </c>
      <c r="D31">
        <v>7.1082535885167469E-2</v>
      </c>
      <c r="E31">
        <v>7.0862105358381333E-2</v>
      </c>
      <c r="F31">
        <v>7.3706220595922634E-2</v>
      </c>
      <c r="G31">
        <v>7.6757286309086459E-2</v>
      </c>
      <c r="H31">
        <v>8.0594713656387665E-2</v>
      </c>
      <c r="I31">
        <v>7.2035423716610272E-2</v>
      </c>
      <c r="J31">
        <v>8.4480664102044953E-2</v>
      </c>
    </row>
    <row r="32" spans="1:12" x14ac:dyDescent="0.15">
      <c r="A32" s="14" t="s">
        <v>106</v>
      </c>
      <c r="B32" s="14"/>
      <c r="C32">
        <v>0.16444266879744307</v>
      </c>
      <c r="D32">
        <v>0.21921977312551877</v>
      </c>
      <c r="E32">
        <v>0.19056114174505351</v>
      </c>
      <c r="F32">
        <v>0.24180882751150826</v>
      </c>
      <c r="G32">
        <v>0.23918186674807296</v>
      </c>
      <c r="H32">
        <v>0.23479209445585217</v>
      </c>
      <c r="I32">
        <v>0.21395348837209302</v>
      </c>
      <c r="J32">
        <v>0.27696647859276469</v>
      </c>
    </row>
    <row r="33" spans="1:2" x14ac:dyDescent="0.15">
      <c r="A33" s="15"/>
      <c r="B33" s="15"/>
    </row>
    <row r="34" spans="1:2" x14ac:dyDescent="0.15">
      <c r="A34" s="14"/>
      <c r="B34" s="14"/>
    </row>
    <row r="35" spans="1:2" x14ac:dyDescent="0.15">
      <c r="A35" s="14"/>
      <c r="B35" s="14"/>
    </row>
    <row r="36" spans="1:2" x14ac:dyDescent="0.15">
      <c r="A36" s="14"/>
      <c r="B36" s="14"/>
    </row>
    <row r="37" spans="1:2" x14ac:dyDescent="0.15">
      <c r="A37" s="15"/>
      <c r="B37" s="15"/>
    </row>
    <row r="38" spans="1:2" x14ac:dyDescent="0.15">
      <c r="A38" s="14"/>
      <c r="B38" s="14"/>
    </row>
    <row r="39" spans="1:2" x14ac:dyDescent="0.15">
      <c r="A39" s="14"/>
      <c r="B39" s="14"/>
    </row>
    <row r="40" spans="1:2" x14ac:dyDescent="0.15">
      <c r="A40" s="14"/>
      <c r="B40" s="14"/>
    </row>
    <row r="41" spans="1:2" x14ac:dyDescent="0.15">
      <c r="A41" s="14"/>
      <c r="B41" s="14"/>
    </row>
    <row r="42" spans="1:2" x14ac:dyDescent="0.15">
      <c r="A42" s="14"/>
      <c r="B4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IS</vt:lpstr>
      <vt:lpstr>SalesGrowthRegression</vt:lpstr>
      <vt:lpstr>SalesRegression</vt:lpstr>
      <vt:lpstr>StockReturns</vt:lpstr>
      <vt:lpstr>Projections</vt:lpstr>
      <vt:lpstr>WACC,RV</vt:lpstr>
      <vt:lpstr>CS IS</vt:lpstr>
      <vt:lpstr>BS</vt:lpstr>
      <vt:lpstr>Financial Ratios</vt:lpstr>
      <vt:lpstr>Sheet2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Pravallika Adusumilli</cp:lastModifiedBy>
  <dcterms:created xsi:type="dcterms:W3CDTF">2024-08-29T12:50:22Z</dcterms:created>
  <dcterms:modified xsi:type="dcterms:W3CDTF">2024-10-08T05:22:15Z</dcterms:modified>
  <cp:category/>
</cp:coreProperties>
</file>